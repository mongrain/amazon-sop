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8760" windowHeight="8460"/>
  </bookViews>
  <sheets>
    <sheet name="Sheet1" sheetId="1" r:id="rId1"/>
    <sheet name="50库存" sheetId="2" r:id="rId2"/>
    <sheet name="Sheet3" sheetId="3" r:id="rId3"/>
    <sheet name="Sheet4" sheetId="4" r:id="rId4"/>
    <sheet name="149库存" sheetId="5" r:id="rId5"/>
    <sheet name="48库存" sheetId="6" r:id="rId6"/>
    <sheet name="82欧洲库存" sheetId="7" r:id="rId7"/>
    <sheet name="50欧洲库存" sheetId="8" r:id="rId8"/>
  </sheets>
  <externalReferences>
    <externalReference r:id="rId9"/>
  </externalReferences>
  <definedNames>
    <definedName name="_xlnm._FilterDatabase" localSheetId="0" hidden="1">Sheet1!$A$270:$O$375</definedName>
    <definedName name="_xlnm._FilterDatabase" localSheetId="1" hidden="1">'50库存'!$A$1:$CT$313</definedName>
    <definedName name="ApplicablePTList1">AND(LEN('[1]Changes to the template'!$B1)&gt;0,NOT('[1]Changes to the template'!$B1="NON_RIDING_TOY_VEHICLE"))</definedName>
    <definedName name="CONDITION_LIST_0">'[1]Conditions List'!$A$2</definedName>
    <definedName name="CONDITION_LIST_1">'[1]Conditions List'!$B$2:$B$3</definedName>
    <definedName name="CONDITION_LIST_10">'[1]Conditions List'!$K$2:$K$4</definedName>
    <definedName name="CONDITION_LIST_11">'[1]Conditions List'!$L$2:$L$3</definedName>
    <definedName name="CONDITION_LIST_12">'[1]Conditions List'!$M$2:$M$7</definedName>
    <definedName name="CONDITION_LIST_13">'[1]Conditions List'!$N$2:$N$10</definedName>
    <definedName name="CONDITION_LIST_14">'[1]Conditions List'!$O$2:$O$4</definedName>
    <definedName name="CONDITION_LIST_15">'[1]Conditions List'!$P$2:$P$5</definedName>
    <definedName name="CONDITION_LIST_16">'[1]Conditions List'!$Q$2</definedName>
    <definedName name="CONDITION_LIST_17">'[1]Conditions List'!$R$2</definedName>
    <definedName name="CONDITION_LIST_18">'[1]Conditions List'!$S$2</definedName>
    <definedName name="CONDITION_LIST_19">'[1]Conditions List'!$T$2:$T$6</definedName>
    <definedName name="CONDITION_LIST_2">'[1]Conditions List'!$C$2:$C$9</definedName>
    <definedName name="CONDITION_LIST_20">'[1]Conditions List'!$U$2:$U$14</definedName>
    <definedName name="CONDITION_LIST_21">'[1]Conditions List'!$V$2:$V$6</definedName>
    <definedName name="CONDITION_LIST_22">'[1]Conditions List'!$W$2:$W$5</definedName>
    <definedName name="CONDITION_LIST_23">'[1]Conditions List'!$X$2</definedName>
    <definedName name="CONDITION_LIST_24">'[1]Conditions List'!$Y$2:$Y$11</definedName>
    <definedName name="CONDITION_LIST_25">'[1]Conditions List'!$Z$2:$Z$3</definedName>
    <definedName name="CONDITION_LIST_26">'[1]Conditions List'!$AA$2:$AA$5</definedName>
    <definedName name="CONDITION_LIST_27">'[1]Conditions List'!$AB$2:$AB$4</definedName>
    <definedName name="CONDITION_LIST_28">'[1]Conditions List'!$AC$2</definedName>
    <definedName name="CONDITION_LIST_29">'[1]Conditions List'!$AD$2</definedName>
    <definedName name="CONDITION_LIST_3">'[1]Conditions List'!$D$2:$D$3</definedName>
    <definedName name="CONDITION_LIST_30">'[1]Conditions List'!$AE$2:$AE$4</definedName>
    <definedName name="CONDITION_LIST_31">'[1]Conditions List'!$AF$2:$AF$3</definedName>
    <definedName name="CONDITION_LIST_32">'[1]Conditions List'!$AG$2</definedName>
    <definedName name="CONDITION_LIST_33">'[1]Conditions List'!$AH$2</definedName>
    <definedName name="CONDITION_LIST_34">'[1]Conditions List'!$AI$2</definedName>
    <definedName name="CONDITION_LIST_35">'[1]Conditions List'!$AJ$2:$AJ$3</definedName>
    <definedName name="CONDITION_LIST_36">'[1]Conditions List'!$AK$2:$AK$8</definedName>
    <definedName name="CONDITION_LIST_37">'[1]Conditions List'!$AL$2</definedName>
    <definedName name="CONDITION_LIST_38">'[1]Conditions List'!$AM$2</definedName>
    <definedName name="CONDITION_LIST_39">'[1]Conditions List'!$AN$2</definedName>
    <definedName name="CONDITION_LIST_4">'[1]Conditions List'!$E$2:$E$17</definedName>
    <definedName name="CONDITION_LIST_40">'[1]Conditions List'!$AO$2</definedName>
    <definedName name="CONDITION_LIST_5">'[1]Conditions List'!$F$2:$F$11</definedName>
    <definedName name="CONDITION_LIST_6">'[1]Conditions List'!$G$2</definedName>
    <definedName name="CONDITION_LIST_7">'[1]Conditions List'!$H$2</definedName>
    <definedName name="CONDITION_LIST_8">'[1]Conditions List'!$I$2:$I$5</definedName>
    <definedName name="CONDITION_LIST_9">'[1]Conditions List'!$J$2</definedName>
    <definedName name="for_maxfPTList0batterymarketplace_idATVPDKIKX0DER1.cell_composition_other_than_listedlanguage_tagen_US1.value">AND(AND(OR(AND(AND(IF(COUNTIF([1]!CONDITION_LIST_37,'[1]Changes to the template'!$FQ1)&gt;0,FALSE,TRUE)))),'[1]Changes to the template'!$B1&lt;&gt;""))</definedName>
    <definedName name="for_maxfPTList0california_proposition_65marketplace_idATVPDKIKX0DER1.chemical_names1">AND(AND(OR(AND(AND(IF(COUNTIF([1]!for_minPTList0fcc_radio_frequency_emission_compliancemarketplace_idATVPDKIKX0DER1.point_of_contact_email,'[1]Changes to the template'!$HF1)&gt;0,FALSE,TRUE)))),'[1]Changes to the template'!$B1&lt;&gt;""))</definedName>
    <definedName name="for_maxfPTList0california_proposition_65marketplace_idATVPDKIKX0DER1.chemical_names2">AND(AND(OR(AND(AND(IF(COUNTIF([1]!for_minPTList0fcc_radio_frequency_emission_compliancemarketplace_idATVPDKIKX0DER1.point_of_contact_email,'[1]Changes to the template'!$HF1)&gt;0,FALSE,TRUE)))),'[1]Changes to the template'!$B1&lt;&gt;""))</definedName>
    <definedName name="for_maxfPTList0california_proposition_65marketplace_idATVPDKIKX0DER1.chemical_names3">AND(AND(OR(AND(AND(IF(COUNTIF([1]!for_minPTList0fcc_radio_frequency_emission_compliancemarketplace_idATVPDKIKX0DER1.point_of_contact_email,'[1]Changes to the template'!$HF1)&gt;0,FALSE,TRUE)))),'[1]Changes to the template'!$B1&lt;&gt;""))</definedName>
    <definedName name="for_maxfPTList0california_proposition_65marketplace_idATVPDKIKX0DER1.chemical_names4">AND(AND(OR(AND(AND(IF(COUNTIF([1]!for_minPTList0fcc_radio_frequency_emission_compliancemarketplace_idATVPDKIKX0DER1.point_of_contact_email,'[1]Changes to the template'!$HF1)&gt;0,FALSE,TRUE)))),'[1]Changes to the template'!$B1&lt;&gt;""))</definedName>
    <definedName name="for_maxfPTList0california_proposition_65marketplace_idATVPDKIKX0DER1.chemical_names5">AND(AND(OR(AND(AND(IF(COUNTIF([1]!for_minPTList0fcc_radio_frequency_emission_compliancemarketplace_idATVPDKIKX0DER1.point_of_contact_email,'[1]Changes to the template'!$HF1)&gt;0,FALSE,TRUE)))),'[1]Changes to the template'!$B1&lt;&gt;""))</definedName>
    <definedName name="for_maxfPTList0child_parent_sku_relationshipmarketplace_idATVPDKIKX0DER1.parent_sku">AND(AND(OR(AND(OR(OR('[1]Changes to the template'!$D1&lt;&gt;"Child",'[1]Changes to the template'!$D1="")))),'[1]Changes to the template'!$B1&lt;&gt;""))</definedName>
    <definedName name="for_maxfPTList0compliance_age_rangemarketplace_idATVPDKIKX0DER1.value">AND(AND(OR(AND(AND(IF(COUNTIF([1]!CONDITION_LIST_35,'[1]Changes to the template'!$JN1)&gt;0,FALSE,TRUE)))),'[1]Changes to the template'!$B1&lt;&gt;""))</definedName>
    <definedName name="for_maxfPTList0compliance_operation_modemarketplace_idATVPDKIKX0DER1.value">AND(AND(OR(AND(AND(IF(COUNTIF([1]!CONDITION_LIST_35,'[1]Changes to the template'!$JN1)&gt;0,FALSE,TRUE)))),'[1]Changes to the template'!$B1&lt;&gt;""))</definedName>
    <definedName name="for_maxfPTList0compliance_recommended_agemarketplace_idATVPDKIKX0DER1.value">AND(AND(OR(AND(AND(IF(COUNTIF([1]!CONDITION_LIST_35,'[1]Changes to the template'!$JN1)&gt;0,FALSE,TRUE)))),'[1]Changes to the template'!$B1&lt;&gt;""))</definedName>
    <definedName name="for_maxfPTList0compliance_toy_materialmarketplace_idATVPDKIKX0DER1.value">AND(AND(OR(AND(AND(IF(COUNTIF([1]!CONDITION_LIST_35,'[1]Changes to the template'!$JN1)&gt;0,FALSE,TRUE)))),'[1]Changes to the template'!$B1&lt;&gt;""))</definedName>
    <definedName name="for_maxfPTList0compliance_toy_typemarketplace_idATVPDKIKX0DER1.value">AND(AND(OR(AND(AND(IF(COUNTIF([1]!CONDITION_LIST_35,'[1]Changes to the template'!$JN1)&gt;0,FALSE,TRUE)))),'[1]Changes to the template'!$B1&lt;&gt;""))</definedName>
    <definedName name="for_maxfPTList0fulfillment_availability1.is_inventory_available">AND(AND(OR(AND(AND(IF(COUNTIF([1]!CONDITION_LIST_31,'[1]Changes to the template'!$DP1)&gt;0,FALSE,TRUE))),AND(AND(NOT('[1]Changes to the template'!$DQ1="")))),'[1]Changes to the template'!$B1&lt;&gt;""))</definedName>
    <definedName name="for_maxfPTList0fulfillment_availability1.lead_time_to_ship_max_days">AND(AND(OR(AND(AND(IF(COUNTIF([1]!CONDITION_LIST_31,'[1]Changes to the template'!$DP1)&gt;0,FALSE,TRUE)))),'[1]Changes to the template'!$B1&lt;&gt;""))</definedName>
    <definedName name="for_maxfPTList0fulfillment_availability1.quantity">AND(AND(OR(AND(AND(IF(COUNTIF([1]!CONDITION_LIST_31,'[1]Changes to the template'!$DP1)&gt;0,FALSE,TRUE))),AND(AND(NOT('[1]Changes to the template'!$DT1="")))),'[1]Changes to the template'!$B1&lt;&gt;""))</definedName>
    <definedName name="for_maxfPTList0fulfillment_availability1.restock_date">AND(AND(OR(AND(AND(IF(COUNTIF([1]!CONDITION_LIST_31,'[1]Changes to the template'!$DP1)&gt;0,FALSE,TRUE)))),'[1]Changes to the template'!$B1&lt;&gt;""))</definedName>
    <definedName name="for_minPTList0california_proposition_65marketplace_idATVPDKIKX0DER1.chemical_names1">AND('[1]Changes to the template'!$B1&lt;&gt;"",OR(OR(AND(OR(OR(IF(COUNTIF([1]!for_minPTList0fcc_radio_frequency_emission_compliancemarketplace_idATVPDKIKX0DER1.point_of_contact_email,'[1]Changes to the template'!$HF1)&gt;0,TRUE,FALSE)))))))</definedName>
    <definedName name="for_minPTList0child_parent_sku_relationshipmarketplace_idATVPDKIKX0DER1.parent_sku">AND('[1]Changes to the template'!$B1&lt;&gt;"",OR(OR(AND(OR(OR(IF(COUNTIF([1]!CONDITION_LIST_20,'[1]Changes to the template'!$D1)&gt;0,TRUE,FALSE)))))))</definedName>
    <definedName name="for_minPTList0fcc_radio_frequency_emission_compliancemarketplace_idATVPDKIKX0DER1.identification_number">AND('[1]Changes to the template'!$B1&lt;&gt;"",OR(OR(AND(OR(OR(IF(COUNTIF([1]!for_minPTList0pesticide_markingmarketplace_idATVPDKIKX0DER1.registration_status,'[1]Changes to the template'!$HZ1)&gt;0,TRUE,FALSE)))))))</definedName>
    <definedName name="for_minPTList0fcc_radio_frequency_emission_compliancemarketplace_idATVPDKIKX0DER1.point_of_contact_address">AND('[1]Changes to the template'!$B1&lt;&gt;"",OR(OR(AND(OR(OR(IF(COUNTIF([1]!for_minPTList0pesticide_markingmarketplace_idATVPDKIKX0DER2.registration_status,'[1]Changes to the template'!$HZ1)&gt;0,TRUE,FALSE)))))))</definedName>
    <definedName name="for_minPTList0fcc_radio_frequency_emission_compliancemarketplace_idATVPDKIKX0DER1.point_of_contact_email">AND('[1]Changes to the template'!$B1&lt;&gt;"",OR(OR(AND(OR(OR(IF(COUNTIF([1]!for_minPTList0pesticide_markingmarketplace_idATVPDKIKX0DER2.registration_status,'[1]Changes to the template'!$HZ1)&gt;0,TRUE,FALSE)))))))</definedName>
    <definedName name="for_minPTList0fcc_radio_frequency_emission_compliancemarketplace_idATVPDKIKX0DER1.point_of_contact_name">AND('[1]Changes to the template'!$B1&lt;&gt;"",OR(OR(AND(OR(OR(IF(COUNTIF([1]!for_minPTList0pesticide_markingmarketplace_idATVPDKIKX0DER2.registration_status,'[1]Changes to the template'!$HZ1)&gt;0,TRUE,FALSE)))))))</definedName>
    <definedName name="for_minPTList0fcc_radio_frequency_emission_compliancemarketplace_idATVPDKIKX0DER1.point_of_contact_phone_number">AND('[1]Changes to the template'!$B1&lt;&gt;"",OR(OR(AND(OR(OR(IF(COUNTIF([1]!for_minPTList0pesticide_markingmarketplace_idATVPDKIKX0DER2.registration_status,'[1]Changes to the template'!$HZ1)&gt;0,TRUE,FALSE)))))))</definedName>
    <definedName name="for_minPTList0fulfillment_availability1.is_inventory_available">AND('[1]Changes to the template'!$B1&lt;&gt;"",OR(OR(AND(OR(OR(IF(COUNTIF([1]!CONDITION_LIST_31,'[1]Changes to the template'!$DP1)&gt;0,TRUE,FALSE))),OR(OR(('[1]Changes to the template'!$DQ1="")))))))</definedName>
    <definedName name="for_minPTList0fulfillment_availability1.quantity">AND('[1]Changes to the template'!$B1&lt;&gt;"",OR(OR(AND(OR(OR(IF(COUNTIF([1]!CONDITION_LIST_31,'[1]Changes to the template'!$DP1)&gt;0,TRUE,FALSE))),OR(OR(('[1]Changes to the template'!$DT1="")))))))</definedName>
    <definedName name="for_minPTList0pesticide_markingmarketplace_idATVPDKIKX0DER1.certification_number">AND('[1]Changes to the template'!$B1&lt;&gt;"",OR(OR(AND(OR(OR(IF(COUNTIF([1]!for_minPTList0fulfillment_availability1.quantity,'[1]Changes to the template'!$HR1)&gt;0,TRUE,FALSE)))))))</definedName>
    <definedName name="for_minPTList0pesticide_markingmarketplace_idATVPDKIKX0DER1.registration_status">AND('[1]Changes to the template'!$B1&lt;&gt;"",OR(OR(AND(OR(OR(IF(COUNTIF([1]!for_minPTList0fcc_radio_frequency_emission_compliancemarketplace_idATVPDKIKX0DER1.point_of_contact_phone_number,'[1]Changes to the template'!$HQ1)&gt;0,TRUE,FALSE)))))))</definedName>
    <definedName name="for_minPTList0pesticide_markingmarketplace_idATVPDKIKX0DER2.certification_number">AND('[1]Changes to the template'!$B1&lt;&gt;"",OR(OR(AND(OR(OR(IF(COUNTIF([1]!for_minPTList0fulfillment_availability1.quantity,'[1]Changes to the template'!$HU1)&gt;0,TRUE,FALSE)))))))</definedName>
    <definedName name="for_minPTList0pesticide_markingmarketplace_idATVPDKIKX0DER2.registration_status">AND('[1]Changes to the template'!$B1&lt;&gt;"",OR(OR(AND(OR(OR(IF(COUNTIF([1]!for_minPTList0fcc_radio_frequency_emission_compliancemarketplace_idATVPDKIKX0DER1.point_of_contact_phone_number,'[1]Changes to the template'!$HT1)&gt;0,TRUE,FALSE)))))))</definedName>
    <definedName name="for_minPTList0pesticide_markingmarketplace_idATVPDKIKX0DER3.certification_number">AND('[1]Changes to the template'!$B1&lt;&gt;"",OR(OR(AND(OR(OR(IF(COUNTIF([1]!for_minPTList0fulfillment_availability1.quantity,'[1]Changes to the template'!$HX1)&gt;0,TRUE,FALSE)))))))</definedName>
    <definedName name="for_minPTList0pesticide_markingmarketplace_idATVPDKIKX0DER3.registration_status">AND('[1]Changes to the template'!$B1&lt;&gt;"",OR(OR(AND(OR(OR(IF(COUNTIF([1]!for_minPTList0fcc_radio_frequency_emission_compliancemarketplace_idATVPDKIKX0DER1.point_of_contact_phone_number,'[1]Changes to the template'!$HW1)&gt;0,TRUE,FALSE)))))))</definedName>
    <definedName name="form_rgPTList0age_range_descriptionmarketplace_idATVPDKIKX0DERlanguage_tagen_US1.value">AND(AND(AND((AND(OR(OR(AND(NOT('[1]Changes to the template'!$D1="")))),'[1]Changes to the template'!$B1&lt;&gt;"")),(AND(OR(OR(OR(NOT('[1]Changes to the template'!$D1&lt;&gt;"Parent")))),'[1]Changes to the template'!$B1&lt;&gt;"")),1=1)),1=1)</definedName>
    <definedName name="form_rgPTList0amzn1.volt.ca.product_id_type">AND(AND(AND((AND(OR(OR(OR(NOT('[1]Changes to the template'!$D1&lt;&gt;"Parent")))),'[1]Changes to the template'!$B1&lt;&gt;"")),1=1)),1=1)</definedName>
    <definedName name="form_rgPTList0amzn1.volt.ca.product_id_value">AND(AND(AND((AND(OR(OR(OR(NOT('[1]Changes to the template'!$D1&lt;&gt;"Parent"))),AND(OR(NOT('[1]Changes to the template'!$I1&lt;&gt;"GTIN Exempt"))),AND(AND(NOT('[1]Changes to the template'!$I1&lt;&gt;"")))),'[1]Changes to the template'!$B1&lt;&gt;"")),1=1)),1=1)</definedName>
    <definedName name="form_rgPTList0baa_taa_compliance_acknowledgementmarketplace_idATVPDKIKX0DER1.value">AND(AND(AND((AND(OR(OR(AND(NOT('[1]Changes to the template'!$KI1&lt;&gt;"")))),'[1]Changes to the template'!$B1&lt;&gt;"")),1=1),AND((AND(OR(OR(AND(NOT('[1]Changes to the template'!$KI1&lt;&gt;""))),AND(AND(NOT('[1]Changes to the template'!$D1="")))),'[1]Changes to the template'!$B1&lt;&gt;"")),(AND(OR(OR(AND(NOT('[1]Changes to the template'!$KI1&lt;&gt;""))),AND(OR(NOT('[1]Changes to the template'!$D1&lt;&gt;"Parent")))),'[1]Changes to the template'!$B1&lt;&gt;"")),1=1)),1=1)</definedName>
    <definedName name="form_rgPTList0batteries_includedmarketplace_idATVPDKIKX0DER1.value">AND(AND(AND((AND(OR(AND(AND(IF(COUNTIF([1]!CONDITION_LIST_35,'[1]Changes to the template'!$FO1)&gt;0,FALSE,TRUE)))),'[1]Changes to the template'!$B1&lt;&gt;"")),1=1)),1=1)</definedName>
    <definedName name="form_rgPTList0batteries_requiredmarketplace_idATVPDKIKX0DER1.value">AND(AND(AND((AND(OR(AND(AND(IF(COUNTIF([1]!CONDITION_LIST_33,'[1]Changes to the template'!$DP1)&gt;0,FALSE,TRUE)))),'[1]Changes to the template'!$B1&lt;&gt;"")),(AND(OR(OR(AND(NOT('[1]Changes to the template'!$DP1="")))),'[1]Changes to the template'!$B1&lt;&gt;"")),1=1)),1=1)</definedName>
    <definedName name="form_rgPTList0battery_contains_free_unabsorbed_liquidmarketplace_idATVPDKIKX0DER1.value">AND(AND(AND((AND(OR(AND(AND(IF(COUNTIF([1]!CONDITION_LIST_35,'[1]Changes to the template'!$JV1)&gt;0,FALSE,TRUE)))),'[1]Changes to the template'!$B1&lt;&gt;"")),1=1),AND((AND(OR(AND(AND(IF(COUNTIF([1]!CONDITION_LIST_35,'[1]Changes to the template'!$JV1)&gt;0,FALSE,TRUE))),AND(AND(NOT('[1]Changes to the template'!$D1="")))),'[1]Changes to the template'!$B1&lt;&gt;"")),(AND(OR(AND(AND(IF(COUNTIF([1]!CONDITION_LIST_35,'[1]Changes to the template'!$JV1)&gt;0,FALSE,TRUE))),AND(OR(NOT('[1]Changes to the template'!$D1&lt;&gt;"Parent")))),'[1]Changes to the template'!$B1&lt;&gt;"")),1=1)),1=1)</definedName>
    <definedName name="form_rgPTList0battery_installation_device_typemarketplace_idATVPDKIKX0DER1.value">AND(AND(AND((AND(OR(AND(AND(IF(COUNTIF([1]!form_rgPTList0battery_installation_device_typemarketplace_idATVPDKIKX0DER1.value,'[1]Changes to the template'!$GK1)&gt;0,FALSE,TRUE)))),'[1]Changes to the template'!$B1&lt;&gt;"")),(AND(OR(AND(AND(IF(COUNTIF([1]!form_rgPTList0battery_installation_device_typemarketplace_idATVPDKIKX0DER1.value,'[1]Changes to the template'!$JW1)&gt;0,FALSE,TRUE)))),'[1]Changes to the template'!$B1&lt;&gt;"")),1=1),AND((AND(OR(AND(AND(IF(COUNTIF([1]!form_rgPTList0battery_installation_device_typemarketplace_idATVPDKIKX0DER1.value,'[1]Changes to the template'!$GK1)&gt;0,FALSE,TRUE))),AND(AND(NOT('[1]Changes to the template'!$D1="")))),'[1]Changes to the template'!$B1&lt;&gt;"")),(AND(OR(AND(AND(IF(COUNTIF([1]!form_rgPTList0battery_installation_device_typemarketplace_idATVPDKIKX0DER1.value,'[1]Changes to the template'!$GK1)&gt;0,FALSE,TRUE))),AND(OR(NOT('[1]Changes to the template'!$D1&lt;&gt;"Parent")))),'[1]Changes to the template'!$B1&lt;&gt;"")),(AND(OR(AND(AND(IF(COUNTIF([1]!form_rgPTList0battery_installation_device_typemarketplace_idATVPDKIKX0DER1.value,'[1]Changes to the template'!$JW1)&gt;0,FALSE,TRUE))),AND(AND(NOT('[1]Changes to the template'!$D1="")))),'[1]Changes to the template'!$B1&lt;&gt;"")),(AND(OR(AND(AND(IF(COUNTIF([1]!form_rgPTList0battery_installation_device_typemarketplace_idATVPDKIKX0DER1.value,'[1]Changes to the template'!$JW1)&gt;0,FALSE,TRUE))),AND(OR(NOT('[1]Changes to the template'!$D1&lt;&gt;"Parent")))),'[1]Changes to the template'!$B1&lt;&gt;"")),1=1)),1=1)</definedName>
    <definedName name="form_rgPTList0batterymarketplace_idATVPDKIKX0DER1.cell_composition_other_than_listedlanguage_tagen_US1.value">AND(AND(AND((AND(OR(AND(AND(IF(COUNTIF([1]!CONDITION_LIST_37,'[1]Changes to the template'!$FQ1)&gt;0,FALSE,TRUE)))),'[1]Changes to the template'!$B1&lt;&gt;"")),1=1),AND((AND(OR(AND(AND(IF(COUNTIF([1]!CONDITION_LIST_37,'[1]Changes to the template'!$FQ1)&gt;0,FALSE,TRUE))),AND(AND(NOT('[1]Changes to the template'!$D1="")))),'[1]Changes to the template'!$B1&lt;&gt;"")),(AND(OR(AND(AND(IF(COUNTIF([1]!CONDITION_LIST_37,'[1]Changes to the template'!$FQ1)&gt;0,FALSE,TRUE))),AND(OR(NOT('[1]Changes to the template'!$D1&lt;&gt;"Parent")))),'[1]Changes to the template'!$B1&lt;&gt;"")),1=1)),1=1)</definedName>
    <definedName name="form_rgPTList0batterymarketplace_idATVPDKIKX0DER1.cell_composition1.value">AND(AND(AND((AND(OR(AND(AND(IF(COUNTIF([1]!CONDITION_LIST_35,'[1]Changes to the template'!$FP1)&gt;0,FALSE,TRUE)))),'[1]Changes to the template'!$B1&lt;&gt;"")),1=1)),1=1)</definedName>
    <definedName name="form_rgPTList0batterymarketplace_idATVPDKIKX0DER1.descriptionlanguage_tagen_US1.value">AND(AND(AND((AND(OR(OR(AND(NOT('[1]Changes to the template'!$D1="")))),'[1]Changes to the template'!$B1&lt;&gt;"")),(AND(OR(OR(OR(NOT('[1]Changes to the template'!$D1&lt;&gt;"Parent")))),'[1]Changes to the template'!$B1&lt;&gt;"")),1=1),AND((AND(OR(AND(AND(NOT('[1]Changes to the template'!$E1&lt;&gt;""))),AND(OR(NOT('[1]Changes to the template'!$D1&lt;&gt;"Parent"))),AND(AND(IF(COUNTIF([1]!CONDITION_LIST_39,'[1]Changes to the template'!$F1)&gt;0,FALSE,TRUE)))),'[1]Changes to the template'!$B1&lt;&gt;"")),1=1),AND((AND(OR(OR(AND(NOT('[1]Changes to the template'!$D1="")))),'[1]Changes to the template'!$B1&lt;&gt;"")),(AND(OR(OR(OR(NOT('[1]Changes to the template'!$D1&lt;&gt;"Parent")))),'[1]Changes to the template'!$B1&lt;&gt;"")),1=1)),1=1)</definedName>
    <definedName name="form_rgPTList0batterymarketplace_idATVPDKIKX0DER1.iec_code1.value">AND(AND(AND((AND(OR(AND(AND(IF(COUNTIF([1]!CONDITION_LIST_35,'[1]Changes to the template'!$FO1)&gt;0,FALSE,TRUE)))),'[1]Changes to the template'!$B1&lt;&gt;"")),1=1)),1=1)</definedName>
    <definedName name="form_rgPTList0batterymarketplace_idATVPDKIKX0DER1.weight1.unit">AND(AND(AND((AND(OR(AND(AND(IF(COUNTIF([1]!CONDITION_LIST_40,'[1]Changes to the template'!$FQ1)&gt;0,FALSE,TRUE)))),'[1]Changes to the template'!$B1&lt;&gt;"")),1=1),AND((AND(OR(AND(AND(IF(COUNTIF([1]!CONDITION_LIST_8,'[1]Changes to the template'!$FQ1)&gt;0,FALSE,TRUE)))),'[1]Changes to the template'!$B1&lt;&gt;"")),1=1),AND((AND(OR(AND(AND(IF(COUNTIF([1]!for_maxfPTList0batterymarketplace_idATVPDKIKX0DER1.cell_composition_other_than_listedlanguage_tagen_US1.value,'[1]Changes to the template'!$FQ1)&gt;0,FALSE,TRUE)))),'[1]Changes to the template'!$B1&lt;&gt;"")),1=1)),1=1)</definedName>
    <definedName name="form_rgPTList0batterymarketplace_idATVPDKIKX0DER1.weight1.value">AND(AND(AND((AND(OR(AND(AND(IF(COUNTIF([1]!CONDITION_LIST_40,'[1]Changes to the template'!$FQ1)&gt;0,FALSE,TRUE)))),'[1]Changes to the template'!$B1&lt;&gt;"")),1=1),AND((AND(OR(AND(AND(IF(COUNTIF([1]!CONDITION_LIST_8,'[1]Changes to the template'!$FQ1)&gt;0,FALSE,TRUE)))),'[1]Changes to the template'!$B1&lt;&gt;"")),1=1),AND((AND(OR(AND(AND(IF(COUNTIF([1]!for_maxfPTList0batterymarketplace_idATVPDKIKX0DER1.cell_composition_other_than_listedlanguage_tagen_US1.value,'[1]Changes to the template'!$FQ1)&gt;0,FALSE,TRUE)))),'[1]Changes to the template'!$B1&lt;&gt;"")),1=1)),1=1)</definedName>
    <definedName name="form_rgPTList0brandmarketplace_idATVPDKIKX0DERlanguage_tagen_US1.value">AND(AND((0),(0),(0)),1=1)</definedName>
    <definedName name="form_rgPTList0bullet_pointmarketplace_idATVPDKIKX0DERlanguage_tagen_US1.value">AND(AND((0)),1=1)</definedName>
    <definedName name="form_rgPTList0bullet_pointmarketplace_idATVPDKIKX0DERlanguage_tagen_US2.value">AND(AND((0)),1=1)</definedName>
    <definedName name="form_rgPTList0bullet_pointmarketplace_idATVPDKIKX0DERlanguage_tagen_US3.value">AND(AND((0)),1=1)</definedName>
    <definedName name="form_rgPTList0bullet_pointmarketplace_idATVPDKIKX0DERlanguage_tagen_US4.value">AND(AND((0)),1=1)</definedName>
    <definedName name="form_rgPTList0bullet_pointmarketplace_idATVPDKIKX0DERlanguage_tagen_US5.value">AND(AND((0)),1=1)</definedName>
    <definedName name="form_rgPTList0child_parent_sku_relationshipmarketplace_idATVPDKIKX0DER1.parent_sku">AND(AND(AND((AND(OR(OR(AND(NOT('[1]Changes to the template'!$D1&lt;&gt;"")))),'[1]Changes to the template'!$B1&lt;&gt;"")),1=1)),1=1)</definedName>
    <definedName name="form_rgPTList0color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template'!$B1&lt;&gt;"")),1=1),AND((AND(OR(AND(AND(NOT('[1]Changes to the template'!$E1&lt;&gt;""))),AND(OR(NOT('[1]Changes to the template'!$D1&lt;&gt;"Parent"))),AND(AND(IF(COUNTIF([1]!form_rgPTList0batterymarketplace_idATVPDKIKX0DER1.cell_composition1.value,'[1]Changes to the template'!$F1)&gt;0,FALSE,TRUE)))),'[1]Changes to the template'!$B1&lt;&gt;"")),1=1),AND((AND(OR(OR(AND(NOT('[1]Changes to the template'!$D1="")))),'[1]Changes to the template'!$B1&lt;&gt;"")),(AND(OR(OR(OR(NOT('[1]Changes to the template'!$D1&lt;&gt;"Parent")))),'[1]Changes to the template'!$B1&lt;&gt;"")),1=1)),1=1)</definedName>
    <definedName name="form_rgPTList0compliance_age_rangemarketplace_idATVPDKIKX0DER1.value">AND(AND(AND((AND(OR(AND(AND(IF(COUNTIF([1]!CONDITION_LIST_35,'[1]Changes to the template'!$JN1)&gt;0,FALSE,TRUE)))),'[1]Changes to the template'!$B1&lt;&gt;"")),1=1),AND((AND(OR(AND(AND(IF(COUNTIF([1]!CONDITION_LIST_35,'[1]Changes to the template'!$JN1)&gt;0,FALSE,TRUE))),AND(AND(NOT('[1]Changes to the template'!$D1="")))),'[1]Changes to the template'!$B1&lt;&gt;"")),(AND(OR(AND(AND(IF(COUNTIF([1]!CONDITION_LIST_35,'[1]Changes to the template'!$JN1)&gt;0,FALSE,TRUE))),AND(OR(NOT('[1]Changes to the template'!$D1&lt;&gt;"Parent")))),'[1]Changes to the template'!$B1&lt;&gt;"")),1=1)),1=1)</definedName>
    <definedName name="form_rgPTList0compliance_operation_modemarketplace_idATVPDKIKX0DER1.value">AND(AND(AND((AND(OR(AND(AND(IF(COUNTIF([1]!CONDITION_LIST_35,'[1]Changes to the template'!$JN1)&gt;0,FALSE,TRUE)))),'[1]Changes to the template'!$B1&lt;&gt;"")),1=1)),1=1)</definedName>
    <definedName name="form_rgPTList0compliance_recommended_agemarketplace_idATVPDKIKX0DER1.value">AND(AND(AND((AND(OR(AND(AND(IF(COUNTIF([1]!CONDITION_LIST_35,'[1]Changes to the template'!$JN1)&gt;0,FALSE,TRUE)))),'[1]Changes to the template'!$B1&lt;&gt;"")),1=1)),1=1)</definedName>
    <definedName name="form_rgPTList0compliance_toy_materialmarketplace_idATVPDKIKX0DER1.value">AND(AND(AND((AND(OR(AND(AND(IF(COUNTIF([1]!CONDITION_LIST_35,'[1]Changes to the template'!$JN1)&gt;0,FALSE,TRUE)))),'[1]Changes to the template'!$B1&lt;&gt;"")),1=1)),1=1)</definedName>
    <definedName name="form_rgPTList0compliance_toy_typemarketplace_idATVPDKIKX0DER1.value">AND(AND(AND((AND(OR(AND(AND(IF(COUNTIF([1]!CONDITION_LIST_35,'[1]Changes to the template'!$JN1)&gt;0,FALSE,TRUE)))),'[1]Changes to the template'!$B1&lt;&gt;"")),1=1),AND((AND(OR(AND(AND(IF(COUNTIF([1]!CONDITION_LIST_35,'[1]Changes to the template'!$JN1)&gt;0,FALSE,TRUE))),AND(AND(NOT('[1]Changes to the template'!$D1="")))),'[1]Changes to the template'!$B1&lt;&gt;"")),(AND(OR(AND(AND(IF(COUNTIF([1]!CONDITION_LIST_35,'[1]Changes to the template'!$JN1)&gt;0,FALSE,TRUE))),AND(OR(NOT('[1]Changes to the template'!$D1&lt;&gt;"Parent")))),'[1]Changes to the template'!$B1&lt;&gt;"")),1=1)),1=1)</definedName>
    <definedName name="form_rgPTList0condition_notemarketplace_idATVPDKIKX0DERlanguage_tagen_US1.value">AND(AND(AND((AND(OR(OR(OR(NOT('[1]Changes to the template'!$CQ1&lt;&gt;"New"))),AND(AND(NOT('[1]Changes to the template'!$D1="")))),'[1]Changes to the template'!$B1&lt;&gt;"")),(AND(OR(OR(OR(NOT('[1]Changes to the template'!$CQ1&lt;&gt;"New"))),AND(OR(NOT('[1]Changes to the template'!$D1&lt;&gt;"Parent")))),'[1]Changes to the template'!$B1&lt;&gt;"")),1=1)),1=1)</definedName>
    <definedName name="form_rgPTList0condition_typemarketplace_idATVPDKIKX0DER1.value">AND(AND(AND((AND(OR(OR(OR(NOT('[1]Changes to the template'!$CP1&lt;&gt;"Yes"))),AND(AND(NOT('[1]Changes to the template'!$D1="")))),'[1]Changes to the template'!$B1&lt;&gt;"")),(AND(OR(OR(OR(NOT('[1]Changes to the template'!$CP1&lt;&gt;"Yes"))),AND(OR(NOT('[1]Changes to the template'!$D1&lt;&gt;"Parent")))),'[1]Changes to the template'!$B1&lt;&gt;"")),1=1),AND((AND(OR(OR(AND(NOT('[1]Changes to the template'!$D1="")))),'[1]Changes to the template'!$B1&lt;&gt;"")),(AND(OR(OR(OR(NOT('[1]Changes to the template'!$D1&lt;&gt;"Parent")))),'[1]Changes to the template'!$B1&lt;&gt;"")),1=1)),1=1)</definedName>
    <definedName name="form_rgPTList0contains_battery_or_cellmarketplace_idATVPDKIKX0DER1.value">AND(AND(AND((AND(OR(AND(AND(IF(COUNTIF([1]!for_maxfPTList0compliance_toy_materialmarketplace_idATVPDKIKX0DER1.value,'[1]Changes to the template'!$FQ1)&gt;0,FALSE,TRUE)))),'[1]Changes to the template'!$B1&lt;&gt;"")),1=1),AND((AND(OR(AND(AND(IF(COUNTIF([1]!for_maxfPTList0compliance_toy_materialmarketplace_idATVPDKIKX0DER1.value,'[1]Changes to the template'!$FQ1)&gt;0,FALSE,TRUE))),AND(AND(NOT('[1]Changes to the template'!$D1="")))),'[1]Changes to the template'!$B1&lt;&gt;"")),(AND(OR(AND(AND(IF(COUNTIF([1]!for_maxfPTList0compliance_toy_materialmarketplace_idATVPDKIKX0DER1.value,'[1]Changes to the template'!$FQ1)&gt;0,FALSE,TRUE))),AND(OR(NOT('[1]Changes to the template'!$D1&lt;&gt;"Parent")))),'[1]Changes to the template'!$B1&lt;&gt;"")),1=1)),1=1)</definedName>
    <definedName name="form_rgPTList0contribution_sku1.value">AND(AND((0)),1=1)</definedName>
    <definedName name="form_rgPTList0country_of_originmarketplace_idATVPDKIKX0DER1.value">AND(AND((0)),1=1)</definedName>
    <definedName name="form_rgPTList0cpsia_cautionary_statementmarketplace_idATVPDKIKX0DER1.value">AND(AND(AND((AND(OR(OR(AND(NOT('[1]Changes to the template'!$D1="")))),'[1]Changes to the template'!$B1&lt;&gt;"")),(AND(OR(OR(OR(NOT('[1]Changes to the template'!$D1&lt;&gt;"Parent")))),'[1]Changes to the template'!$B1&lt;&gt;"")),1=1)),1=1)</definedName>
    <definedName name="form_rgPTList0cpsia_cautionary_statementmarketplace_idATVPDKIKX0DER2.value">AND(AND(AND((AND(OR(OR(AND(NOT('[1]Changes to the template'!$D1="")))),'[1]Changes to the template'!$B1&lt;&gt;"")),(AND(OR(OR(OR(NOT('[1]Changes to the template'!$D1&lt;&gt;"Parent")))),'[1]Changes to the template'!$B1&lt;&gt;"")),1=1)),1=1)</definedName>
    <definedName name="form_rgPTList0cpsia_cautionary_statementmarketplace_idATVPDKIKX0DER3.value">AND(AND(AND((AND(OR(OR(AND(NOT('[1]Changes to the template'!$D1="")))),'[1]Changes to the template'!$B1&lt;&gt;"")),(AND(OR(OR(OR(NOT('[1]Changes to the template'!$D1&lt;&gt;"Parent")))),'[1]Changes to the template'!$B1&lt;&gt;"")),1=1)),1=1)</definedName>
    <definedName name="form_rgPTList0cpsia_cautionary_statementmarketplace_idATVPDKIKX0DER4.value">AND(AND(AND((AND(OR(OR(AND(NOT('[1]Changes to the template'!$D1="")))),'[1]Changes to the template'!$B1&lt;&gt;"")),(AND(OR(OR(OR(NOT('[1]Changes to the template'!$D1&lt;&gt;"Parent")))),'[1]Changes to the template'!$B1&lt;&gt;"")),1=1)),1=1)</definedName>
    <definedName name="form_rgPTList0cpsia_cautionary_statementmarketplace_idATVPDKIKX0DER5.value">AND(AND(AND((AND(OR(OR(AND(NOT('[1]Changes to the template'!$D1="")))),'[1]Changes to the template'!$B1&lt;&gt;"")),(AND(OR(OR(OR(NOT('[1]Changes to the template'!$D1&lt;&gt;"Parent")))),'[1]Changes to the template'!$B1&lt;&gt;"")),1=1)),1=1)</definedName>
    <definedName name="form_rgPTList0customer_package_type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drive_systemmarketplace_idATVPDKIKX0DERlanguage_tagen_US1.value">AND(AND(AND((AND(OR(AND(AND(NOT('[1]Changes to the template'!$E1&lt;&gt;""))),AND(OR(NOT('[1]Changes to the template'!$D1&lt;&gt;"Parent"))),AND(AND(IF(COUNTIF([1]!form_rgPTList0bullet_pointmarketplace_idATVPDKIKX0DERlanguage_tagen_US3.value,'[1]Changes to the template'!$F1)&gt;0,FALSE,TRUE)))),'[1]Changes to the template'!$B1&lt;&gt;"")),1=1)),1=1)</definedName>
    <definedName name="form_rgPTList0fulfillment_availability1.fulfillment_channel_code">AND(AND(AND((AND(OR(OR(OR(NOT('[1]Changes to the template'!$CP1&lt;&gt;"Yes"))),AND(OR(NOT('[1]Changes to the template'!$D1&lt;&gt;"Parent")))),'[1]Changes to the template'!$B1&lt;&gt;"")),1=1)),1=1)</definedName>
    <definedName name="form_rgPTList0fulfillment_availability1.is_inventory_available">AND(AND(AND((AND(OR(OR(OR(NOT('[1]Changes to the template'!$CP1&lt;&gt;"Yes"))),AND(OR(NOT('[1]Changes to the template'!$D1&lt;&gt;"Parent")))),'[1]Changes to the template'!$B1&lt;&gt;"")),1=1)),1=1)</definedName>
    <definedName name="form_rgPTList0fulfillment_availability1.lead_time_to_ship_max_days">AND(AND(AND((AND(OR(OR(OR(NOT('[1]Changes to the template'!$CP1&lt;&gt;"Yes"))),AND(OR(NOT('[1]Changes to the template'!$D1&lt;&gt;"Parent")))),'[1]Changes to the template'!$B1&lt;&gt;"")),1=1)),1=1)</definedName>
    <definedName name="form_rgPTList0fulfillment_availability1.quantity">AND(AND(AND((AND(OR(OR(OR(NOT('[1]Changes to the template'!$CP1&lt;&gt;"Yes"))),AND(OR(NOT('[1]Changes to the template'!$D1&lt;&gt;"Parent")))),'[1]Changes to the template'!$B1&lt;&gt;"")),1=1)),1=1)</definedName>
    <definedName name="form_rgPTList0fulfillment_availability1.restock_date">AND(AND(AND((AND(OR(OR(OR(NOT('[1]Changes to the template'!$CP1&lt;&gt;"Yes"))),AND(OR(NOT('[1]Changes to the template'!$D1&lt;&gt;"Parent")))),'[1]Changes to the template'!$B1&lt;&gt;"")),1=1)),1=1)</definedName>
    <definedName name="form_rgPTList0generic_keywordmarketplace_idATVPDKIKX0DERlanguage_tagen_US1.value">AND(AND(AND((AND(OR(OR(AND(NOT('[1]Changes to the template'!$D1="")))),'[1]Changes to the template'!$B1&lt;&gt;"")),(AND(OR(OR(OR(NOT('[1]Changes to the template'!$D1&lt;&gt;"Parent")))),'[1]Changes to the template'!$B1&lt;&gt;"")),1=1)),1=1)</definedName>
    <definedName name="form_rgPTList0ghsmarketplace_idATVPDKIKX0DER1.classification1.class">AND(AND(AND((AND(OR(AND(AND(IF(COUNTIF([1]!for_maxfPTList0fulfillment_availability1.quantity,'[1]Changes to the template'!$GN1)&gt;0,FALSE,TRUE)))),'[1]Changes to the template'!$B1&lt;&gt;"")),1=1)),1=1)</definedName>
    <definedName name="form_rgPTList0ghsmarketplace_idATVPDKIKX0DER1.classification2.class">AND(AND(AND((AND(OR(AND(AND(IF(COUNTIF([1]!for_maxfPTList0fulfillment_availability1.quantity,'[1]Changes to the template'!$GN1)&gt;0,FALSE,TRUE)))),'[1]Changes to the template'!$B1&lt;&gt;"")),1=1)),1=1)</definedName>
    <definedName name="form_rgPTList0ghsmarketplace_idATVPDKIKX0DER1.classification3.class">AND(AND(AND((AND(OR(AND(AND(IF(COUNTIF([1]!for_maxfPTList0fulfillment_availability1.quantity,'[1]Changes to the template'!$GN1)&gt;0,FALSE,TRUE)))),'[1]Changes to the template'!$B1&lt;&gt;"")),1=1)),1=1)</definedName>
    <definedName name="form_rgPTList0ghsmarketplace_idATVPDKIKX0DER1.classification4.class">AND(AND(AND((AND(OR(AND(AND(IF(COUNTIF([1]!for_maxfPTList0fulfillment_availability1.quantity,'[1]Changes to the template'!$GN1)&gt;0,FALSE,TRUE)))),'[1]Changes to the template'!$B1&lt;&gt;"")),1=1)),1=1)</definedName>
    <definedName name="form_rgPTList0ghsmarketplace_idATVPDKIKX0DER1.classification5.class">AND(AND(AND((AND(OR(AND(AND(IF(COUNTIF([1]!for_maxfPTList0fulfillment_availability1.quantity,'[1]Changes to the template'!$GN1)&gt;0,FALSE,TRUE)))),'[1]Changes to the template'!$B1&lt;&gt;"")),1=1)),1=1)</definedName>
    <definedName name="form_rgPTList0gift_optionsmarketplace_idATVPDKIKX0DER1.can_be_messaged">AND(AND(AND((AND(OR(OR(AND(NOT('[1]Changes to the template'!$D1="")))),'[1]Changes to the template'!$B1&lt;&gt;"")),(AND(OR(OR(OR(NOT('[1]Changes to the template'!$D1&lt;&gt;"Parent")))),'[1]Changes to the template'!$B1&lt;&gt;"")),1=1)),1=1)</definedName>
    <definedName name="form_rgPTList0gift_optionsmarketplace_idATVPDKIKX0DER1.can_be_wrapped">AND(AND(AND((AND(OR(OR(AND(NOT('[1]Changes to the template'!$D1="")))),'[1]Changes to the template'!$B1&lt;&gt;"")),(AND(OR(OR(OR(NOT('[1]Changes to the template'!$D1&lt;&gt;"Parent")))),'[1]Changes to the template'!$B1&lt;&gt;"")),1=1)),1=1)</definedName>
    <definedName name="form_rgPTList0government_contract_informationmarketplace_idATVPDKIKX0DER1.name">AND(AND(AND((AND(OR(OR(AND(NOT('[1]Changes to the template'!$CM1&lt;&gt;""))),AND(AND(NOT('[1]Changes to the template'!$D1="")))),'[1]Changes to the template'!$B1&lt;&gt;"")),(AND(OR(OR(AND(NOT('[1]Changes to the template'!$CM1&lt;&gt;""))),AND(OR(NOT('[1]Changes to the template'!$D1&lt;&gt;"Parent")))),'[1]Changes to the template'!$B1&lt;&gt;"")),(AND(OR(OR(AND(NOT('[1]Changes to the template'!$CN1&lt;&gt;""))),AND(AND(NOT('[1]Changes to the template'!$D1="")))),'[1]Changes to the template'!$B1&lt;&gt;"")),(AND(OR(OR(AND(NOT('[1]Changes to the template'!$CN1&lt;&gt;""))),AND(OR(NOT('[1]Changes to the template'!$D1&lt;&gt;"Parent")))),'[1]Changes to the template'!$B1&lt;&gt;"")),1=1)),1=1)</definedName>
    <definedName name="form_rgPTList0government_contract_informationmarketplace_idATVPDKIKX0DER1.number">AND(AND(AND((AND(OR(OR(AND(NOT('[1]Changes to the template'!$CM1&lt;&gt;""))),AND(AND(NOT('[1]Changes to the template'!$D1="")))),'[1]Changes to the template'!$B1&lt;&gt;"")),(AND(OR(OR(AND(NOT('[1]Changes to the template'!$CM1&lt;&gt;""))),AND(OR(NOT('[1]Changes to the template'!$D1&lt;&gt;"Parent")))),'[1]Changes to the template'!$B1&lt;&gt;"")),(AND(OR(OR(AND(NOT('[1]Changes to the template'!$CN1&lt;&gt;""))),AND(AND(NOT('[1]Changes to the template'!$D1="")))),'[1]Changes to the template'!$B1&lt;&gt;"")),(AND(OR(OR(AND(NOT('[1]Changes to the template'!$CN1&lt;&gt;""))),AND(OR(NOT('[1]Changes to the template'!$D1&lt;&gt;"Parent")))),'[1]Changes to the template'!$B1&lt;&gt;"")),1=1)),1=1)</definedName>
    <definedName name="form_rgPTList0has_less_than_30_percent_state_of_chargemarketplace_idATVPDKIKX0DER1.value">AND(AND(AND((AND(OR(AND(AND(IF(COUNTIF([1]!form_rgPTList0baa_taa_compliance_acknowledgementmarketplace_idATVPDKIKX0DER1.value,'[1]Changes to the template'!$FQ1)&gt;0,FALSE,TRUE))),AND(AND(IF(COUNTIF([1]!form_rgPTList0batteries_requiredmarketplace_idATVPDKIKX0DER1.value,'[1]Changes to the template'!$GK1)&gt;0,FALSE,TRUE))),AND(AND(NOT('[1]Changes to the template'!$D1="")))),'[1]Changes to the template'!$B1&lt;&gt;"")),(AND(OR(AND(AND(IF(COUNTIF([1]!form_rgPTList0baa_taa_compliance_acknowledgementmarketplace_idATVPDKIKX0DER1.value,'[1]Changes to the template'!$FQ1)&gt;0,FALSE,TRUE))),AND(AND(IF(COUNTIF([1]!form_rgPTList0batteries_requiredmarketplace_idATVPDKIKX0DER1.value,'[1]Changes to the template'!$GK1)&gt;0,FALSE,TRUE))),AND(OR(NOT('[1]Changes to the template'!$D1&lt;&gt;"Parent")))),'[1]Changes to the template'!$B1&lt;&gt;"")),1=1)),1=1)</definedName>
    <definedName name="form_rgPTList0has_multiple_battery_powered_componentsmarketplace_idATVPDKIKX0DER1.value">AND(AND(AND((AND(OR(AND(AND(IF(COUNTIF([1]!CONDITION_LIST_35,'[1]Changes to the template'!$FP1)&gt;0,FALSE,TRUE)))),'[1]Changes to the template'!$B1&lt;&gt;"")),1=1),AND((AND(OR(AND(AND(IF(COUNTIF([1]!CONDITION_LIST_35,'[1]Changes to the template'!$FP1)&gt;0,FALSE,TRUE))),AND(AND(NOT('[1]Changes to the template'!$D1="")))),'[1]Changes to the template'!$B1&lt;&gt;"")),(AND(OR(AND(AND(IF(COUNTIF([1]!CONDITION_LIST_35,'[1]Changes to the template'!$FP1)&gt;0,FALSE,TRUE))),AND(OR(NOT('[1]Changes to the template'!$D1&lt;&gt;"Parent")))),'[1]Changes to the template'!$B1&lt;&gt;"")),1=1)),1=1)</definedName>
    <definedName name="form_rgPTList0hazmatmarketplace_idATVPDKIKX0DER1.aspect">AND(AND(AND((AND(OR(AND(AND(IF(COUNTIF([1]!for_minPTList0california_proposition_65marketplace_idATVPDKIKX0DER1.chemical_names1,'[1]Changes to the template'!$GN1)&gt;0,FALSE,TRUE)))),'[1]Changes to the template'!$B1&lt;&gt;"")),1=1)),1=1)</definedName>
    <definedName name="form_rgPTList0hazmatmarketplace_idATVPDKIKX0DER1.value">AND(AND(AND((AND(OR(AND(AND(IF(COUNTIF([1]!for_minPTList0california_proposition_65marketplace_idATVPDKIKX0DER1.chemical_names1,'[1]Changes to the template'!$GN1)&gt;0,FALSE,TRUE)))),'[1]Changes to the template'!$B1&lt;&gt;"")),1=1)),1=1)</definedName>
    <definedName name="form_rgPTList0included_componentsmarketplace_idATVPDKIKX0DERlanguage_tagen_US1.value">AND(AND(AND((AND(OR(OR(AND(NOT('[1]Changes to the template'!$D1="")))),'[1]Changes to the template'!$B1&lt;&gt;"")),(AND(OR(OR(OR(NOT('[1]Changes to the template'!$D1&lt;&gt;"Parent")))),'[1]Changes to the template'!$B1&lt;&gt;"")),1=1)),1=1)</definedName>
    <definedName name="form_rgPTList0included_componentsmarketplace_idATVPDKIKX0DERlanguage_tagen_US2.value">AND(AND(AND((AND(OR(OR(AND(NOT('[1]Changes to the template'!$D1="")))),'[1]Changes to the template'!$B1&lt;&gt;"")),(AND(OR(OR(OR(NOT('[1]Changes to the template'!$D1&lt;&gt;"Parent")))),'[1]Changes to the template'!$B1&lt;&gt;"")),1=1)),1=1)</definedName>
    <definedName name="form_rgPTList0included_componentsmarketplace_idATVPDKIKX0DERlanguage_tagen_US3.value">AND(AND(AND((AND(OR(OR(AND(NOT('[1]Changes to the template'!$D1="")))),'[1]Changes to the template'!$B1&lt;&gt;"")),(AND(OR(OR(OR(NOT('[1]Changes to the template'!$D1&lt;&gt;"Parent")))),'[1]Changes to the template'!$B1&lt;&gt;"")),1=1)),1=1)</definedName>
    <definedName name="form_rgPTList0included_componentsmarketplace_idATVPDKIKX0DERlanguage_tagen_US4.value">AND(AND(AND((AND(OR(OR(AND(NOT('[1]Changes to the template'!$D1="")))),'[1]Changes to the template'!$B1&lt;&gt;"")),(AND(OR(OR(OR(NOT('[1]Changes to the template'!$D1&lt;&gt;"Parent")))),'[1]Changes to the template'!$B1&lt;&gt;"")),1=1)),1=1)</definedName>
    <definedName name="form_rgPTList0included_componentsmarketplace_idATVPDKIKX0DERlanguage_tagen_US5.value">AND(AND(AND((AND(OR(OR(AND(NOT('[1]Changes to the template'!$D1="")))),'[1]Changes to the template'!$B1&lt;&gt;"")),(AND(OR(OR(OR(NOT('[1]Changes to the template'!$D1&lt;&gt;"Parent")))),'[1]Changes to the template'!$B1&lt;&gt;"")),1=1)),1=1)</definedName>
    <definedName name="form_rgPTList0is_battery_non_spillablemarketplace_idATVPDKIKX0DER1.value">AND(AND(AND((AND(OR(AND(AND(IF(COUNTIF([1]!for_minPTList0pesticide_markingmarketplace_idATVPDKIKX0DER3.registration_status,'[1]Changes to the template'!$FQ1)&gt;0,FALSE,TRUE)))),'[1]Changes to the template'!$B1&lt;&gt;"")),1=1),AND((AND(OR(AND(AND(IF(COUNTIF([1]!for_minPTList0pesticide_markingmarketplace_idATVPDKIKX0DER3.registration_status,'[1]Changes to the template'!$FQ1)&gt;0,FALSE,TRUE))),AND(AND(NOT('[1]Changes to the template'!$D1="")))),'[1]Changes to the template'!$B1&lt;&gt;"")),(AND(OR(AND(AND(IF(COUNTIF([1]!for_minPTList0pesticide_markingmarketplace_idATVPDKIKX0DER3.registration_status,'[1]Changes to the template'!$FQ1)&gt;0,FALSE,TRUE))),AND(OR(NOT('[1]Changes to the template'!$D1&lt;&gt;"Parent")))),'[1]Changes to the template'!$B1&lt;&gt;"")),1=1)),1=1)</definedName>
    <definedName name="form_rgPTList0item_dimensionsmarketplace_idATVPDKIKX0DER1.height.unit">AND(AND(AND((AND(OR(OR(AND(NOT('[1]Changes to the template'!$D1="")))),'[1]Changes to the template'!$B1&lt;&gt;"")),(AND(OR(OR(OR(NOT('[1]Changes to the template'!$D1&lt;&gt;"Parent")))),'[1]Changes to the template'!$B1&lt;&gt;"")),1=1)),1=1)</definedName>
    <definedName name="form_rgPTList0item_dimensionsmarketplace_idATVPDKIKX0DER1.height.value">AND(AND(AND((AND(OR(OR(AND(NOT('[1]Changes to the template'!$D1="")))),'[1]Changes to the template'!$B1&lt;&gt;"")),(AND(OR(OR(OR(NOT('[1]Changes to the template'!$D1&lt;&gt;"Parent")))),'[1]Changes to the template'!$B1&lt;&gt;"")),1=1)),1=1)</definedName>
    <definedName name="form_rgPTList0item_dimensionsmarketplace_idATVPDKIKX0DER1.length.unit">AND(AND(AND((AND(OR(OR(AND(NOT('[1]Changes to the template'!$D1="")))),'[1]Changes to the template'!$B1&lt;&gt;"")),(AND(OR(OR(OR(NOT('[1]Changes to the template'!$D1&lt;&gt;"Parent")))),'[1]Changes to the template'!$B1&lt;&gt;"")),1=1)),1=1)</definedName>
    <definedName name="form_rgPTList0item_dimensionsmarketplace_idATVPDKIKX0DER1.length.value">AND(AND(AND((AND(OR(OR(AND(NOT('[1]Changes to the template'!$D1="")))),'[1]Changes to the template'!$B1&lt;&gt;"")),(AND(OR(OR(OR(NOT('[1]Changes to the template'!$D1&lt;&gt;"Parent")))),'[1]Changes to the template'!$B1&lt;&gt;"")),1=1)),1=1)</definedName>
    <definedName name="form_rgPTList0item_dimensionsmarketplace_idATVPDKIKX0DER1.width.unit">AND(AND(AND((AND(OR(OR(AND(NOT('[1]Changes to the template'!$D1="")))),'[1]Changes to the template'!$B1&lt;&gt;"")),(AND(OR(OR(OR(NOT('[1]Changes to the template'!$D1&lt;&gt;"Parent")))),'[1]Changes to the template'!$B1&lt;&gt;"")),1=1)),1=1)</definedName>
    <definedName name="form_rgPTList0item_dimensionsmarketplace_idATVPDKIKX0DER1.width.value">AND(AND(AND((AND(OR(OR(AND(NOT('[1]Changes to the template'!$D1="")))),'[1]Changes to the template'!$B1&lt;&gt;"")),(AND(OR(OR(OR(NOT('[1]Changes to the template'!$D1&lt;&gt;"Parent")))),'[1]Changes to the template'!$B1&lt;&gt;"")),1=1)),1=1)</definedName>
    <definedName name="form_rgPTList0item_namemarketplace_idATVPDKIKX0DERlanguage_tagen_US1.value">AND(AND((0),(0)),1=1)</definedName>
    <definedName name="form_rgPTList0item_package_dimensionsmarketplace_idATVPDKIKX0DER1.height.unit">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template'!$B1&lt;&gt;"")),1=1),AND((AND(OR(OR(AND(NOT('[1]Changes to the template'!$D1="")))),'[1]Changes to the template'!$B1&lt;&gt;"")),(AND(OR(OR(OR(NOT('[1]Changes to the template'!$D1&lt;&gt;"Parent")))),'[1]Changes to the template'!$B1&lt;&gt;"")),1=1)),1=1)</definedName>
    <definedName name="form_rgPTList0item_package_dimensionsmarketplace_idATVPDKIKX0DER1.height.value">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template'!$B1&lt;&gt;"")),1=1),AND((AND(OR(OR(AND(NOT('[1]Changes to the template'!$D1="")))),'[1]Changes to the template'!$B1&lt;&gt;"")),(AND(OR(OR(OR(NOT('[1]Changes to the template'!$D1&lt;&gt;"Parent")))),'[1]Changes to the template'!$B1&lt;&gt;"")),1=1)),1=1)</definedName>
    <definedName name="form_rgPTList0item_package_dimensionsmarketplace_idATVPDKIKX0DER1.length.unit">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template'!$B1&lt;&gt;"")),1=1),AND((AND(OR(OR(AND(NOT('[1]Changes to the template'!$D1="")))),'[1]Changes to the template'!$B1&lt;&gt;"")),(AND(OR(OR(OR(NOT('[1]Changes to the template'!$D1&lt;&gt;"Parent")))),'[1]Changes to the template'!$B1&lt;&gt;"")),1=1)),1=1)</definedName>
    <definedName name="form_rgPTList0item_package_dimensionsmarketplace_idATVPDKIKX0DER1.length.value">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template'!$B1&lt;&gt;"")),1=1),AND((AND(OR(OR(AND(NOT('[1]Changes to the template'!$D1="")))),'[1]Changes to the template'!$B1&lt;&gt;"")),(AND(OR(OR(OR(NOT('[1]Changes to the template'!$D1&lt;&gt;"Parent")))),'[1]Changes to the template'!$B1&lt;&gt;"")),1=1)),1=1)</definedName>
    <definedName name="form_rgPTList0item_package_dimensionsmarketplace_idATVPDKIKX0DER1.width.unit">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template'!$B1&lt;&gt;"")),1=1),AND((AND(OR(OR(AND(NOT('[1]Changes to the template'!$D1="")))),'[1]Changes to the template'!$B1&lt;&gt;"")),(AND(OR(OR(OR(NOT('[1]Changes to the template'!$D1&lt;&gt;"Parent")))),'[1]Changes to the template'!$B1&lt;&gt;"")),1=1)),1=1)</definedName>
    <definedName name="form_rgPTList0item_package_dimensionsmarketplace_idATVPDKIKX0DER1.width.value">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template'!$B1&lt;&gt;"")),1=1),AND((AND(OR(OR(AND(NOT('[1]Changes to the template'!$D1="")))),'[1]Changes to the template'!$B1&lt;&gt;"")),(AND(OR(OR(OR(NOT('[1]Changes to the template'!$D1&lt;&gt;"Parent")))),'[1]Changes to the template'!$B1&lt;&gt;"")),1=1)),1=1)</definedName>
    <definedName name="form_rgPTList0item_package_quantitymarketplace_idATVPDKIKX0DER1.value">AND(AND(AND((AND(OR(OR(AND(NOT('[1]Changes to the template'!$D1="")))),'[1]Changes to the template'!$B1&lt;&gt;"")),(AND(OR(OR(OR(NOT('[1]Changes to the template'!$D1&lt;&gt;"Parent")))),'[1]Changes to the template'!$B1&lt;&gt;"")),1=1)),1=1)</definedName>
    <definedName name="form_rgPTList0item_package_weightmarketplace_idATVPDKIKX0DER1.unit">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template'!$B1&lt;&gt;"")),1=1),AND((AND(OR(OR(AND(NOT('[1]Changes to the template'!$D1="")))),'[1]Changes to the template'!$B1&lt;&gt;"")),(AND(OR(OR(OR(NOT('[1]Changes to the template'!$D1&lt;&gt;"Parent")))),'[1]Changes to the template'!$B1&lt;&gt;"")),1=1)),1=1)</definedName>
    <definedName name="form_rgPTList0item_package_weightmarketplace_idATVPDKIKX0DER1.value">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template'!$B1&lt;&gt;"")),1=1),AND((AND(OR(OR(AND(NOT('[1]Changes to the template'!$D1="")))),'[1]Changes to the template'!$B1&lt;&gt;"")),(AND(OR(OR(OR(NOT('[1]Changes to the template'!$D1&lt;&gt;"Parent")))),'[1]Changes to the template'!$B1&lt;&gt;"")),1=1)),1=1)</definedName>
    <definedName name="form_rgPTList0item_type_keywordmarketplace_idATVPDKIKX0DER1.value">AND(AND((0)),1=1)</definedName>
    <definedName name="form_rgPTList0list_pricemarketplace_idATVPDKIKX0DER1.value">AND(AND(AND((AND(OR(OR(OR(NOT('[1]Changes to the template'!$CP1&lt;&gt;"Yes"))),AND(OR(NOT('[1]Changes to the template'!$D1&lt;&gt;"Parent"))),AND(AND(NOT('[1]Changes to the template'!$D1="")))),'[1]Changes to the template'!$B1&lt;&gt;"")),(AND(OR(OR(OR(NOT('[1]Changes to the template'!$CP1&lt;&gt;"Yes"))),AND(OR(NOT('[1]Changes to the template'!$D1&lt;&gt;"Parent"))),AND(OR(NOT('[1]Changes to the template'!$D1&lt;&gt;"Parent")))),'[1]Changes to the template'!$B1&lt;&gt;"")),1=1)),1=1)</definedName>
    <definedName name="form_rgPTList0lithium_batterymarketplace_idATVPDKIKX0DER1.energy_content1.unit">AND(AND(AND((AND(OR(AND(AND(IF(COUNTIF([1]!for_maxfPTList0child_parent_sku_relationshipmarketplace_idATVPDKIKX0DER1.parent_sku,'[1]Changes to the template'!$FQ1)&gt;0,FALSE,TRUE)))),'[1]Changes to the template'!$B1&lt;&gt;"")),1=1),AND((AND(OR(AND(AND(IF(COUNTIF([1]!for_maxfPTList0compliance_toy_materialmarketplace_idATVPDKIKX0DER1.value,'[1]Changes to the template'!$FQ1)&gt;0,FALSE,TRUE)))),'[1]Changes to the template'!$B1&lt;&gt;"")),1=1)),1=1)</definedName>
    <definedName name="form_rgPTList0lithium_batterymarketplace_idATVPDKIKX0DER1.energy_content1.value">AND(AND(AND((AND(OR(AND(AND(IF(COUNTIF([1]!for_maxfPTList0child_parent_sku_relationshipmarketplace_idATVPDKIKX0DER1.parent_sku,'[1]Changes to the template'!$FQ1)&gt;0,FALSE,TRUE)))),'[1]Changes to the template'!$B1&lt;&gt;"")),1=1),AND((AND(OR(AND(AND(IF(COUNTIF([1]!for_maxfPTList0compliance_toy_materialmarketplace_idATVPDKIKX0DER1.value,'[1]Changes to the template'!$FQ1)&gt;0,FALSE,TRUE)))),'[1]Changes to the template'!$B1&lt;&gt;"")),1=1)),1=1)</definedName>
    <definedName name="form_rgPTList0lithium_batterymarketplace_idATVPDKIKX0DER1.packaging1.value">AND(AND(AND((AND(OR(AND(AND(IF(COUNTIF([1]!CONDITION_LIST_8,'[1]Changes to the template'!$FQ1)&gt;0,FALSE,TRUE)))),'[1]Changes to the template'!$B1&lt;&gt;"")),1=1),AND((AND(OR(AND(AND(IF(COUNTIF([1]!for_maxfPTList0fulfillment_availability1.is_inventory_available,'[1]Changes to the template'!$FQ1)&gt;0,FALSE,TRUE)))),'[1]Changes to the template'!$B1&lt;&gt;"")),1=1)),1=1)</definedName>
    <definedName name="form_rgPTList0lithium_batterymarketplace_idATVPDKIKX0DER1.weight1.unit">AND(AND(AND((AND(OR(AND(AND(IF(COUNTIF([1]!for_maxfPTList0california_proposition_65marketplace_idATVPDKIKX0DER1.chemical_names2,'[1]Changes to the template'!$FQ1)&gt;0,FALSE,TRUE)))),'[1]Changes to the template'!$B1&lt;&gt;"")),1=1)),1=1)</definedName>
    <definedName name="form_rgPTList0lithium_batterymarketplace_idATVPDKIKX0DER1.weight1.value">AND(AND(AND((AND(OR(AND(AND(IF(COUNTIF([1]!for_maxfPTList0california_proposition_65marketplace_idATVPDKIKX0DER1.chemical_names2,'[1]Changes to the template'!$FQ1)&gt;0,FALSE,TRUE)))),'[1]Changes to the template'!$B1&lt;&gt;"")),1=1)),1=1)</definedName>
    <definedName name="form_rgPTList0main_offer_image_locatormarketplace_idATVPDKIKX0DER1.media_location">AND(AND(AND((AND(OR(OR(OR(NOT('[1]Changes to the template'!$CQ1&lt;&gt;"New")))),'[1]Changes to the template'!$B1&lt;&gt;"")),1=1)),1=1)</definedName>
    <definedName name="form_rgPTList0manufacturer_minimum_agemarketplace_idATVPDKIKX0DER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manufacturermarketplace_idATVPDKIKX0DERlanguage_tagen_US1.value">AND(AND(AND((AND(OR(OR(AND(NOT('[1]Changes to the template'!$D1="")))),'[1]Changes to the template'!$B1&lt;&gt;"")),(AND(OR(OR(OR(NOT('[1]Changes to the template'!$D1&lt;&gt;"Parent")))),'[1]Changes to the template'!$B1&lt;&gt;"")),1=1)),1=1)</definedName>
    <definedName name="form_rgPTList0material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materialmarketplace_idATVPDKIKX0DERlanguage_tagen_US2.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materialmarketplace_idATVPDKIKX0DERlanguage_tagen_US3.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materialmarketplace_idATVPDKIKX0DERlanguage_tagen_US4.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materialmarketplace_idATVPDKIKX0DERlanguage_tagen_US5.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merchant_shipping_groupmarketplace_idATVPDKIKX0DER1.value">AND(AND(AND((AND(OR(AND(OR(NOT('[1]Changes to the template'!$CP1&lt;&gt;"Yes"))),AND(AND(IF(COUNTIF([1]!CONDITION_LIST_31,'[1]Changes to the template'!$DP1)&gt;0,FALSE,TRUE))),AND(AND(NOT('[1]Changes to the template'!$D1="")))),'[1]Changes to the template'!$B1&lt;&gt;"")),(AND(OR(AND(OR(NOT('[1]Changes to the template'!$CP1&lt;&gt;"Yes"))),AND(AND(IF(COUNTIF([1]!CONDITION_LIST_31,'[1]Changes to the template'!$DP1)&gt;0,FALSE,TRUE))),AND(OR(NOT('[1]Changes to the template'!$D1&lt;&gt;"Parent")))),'[1]Changes to the template'!$B1&lt;&gt;"")),1=1)),1=1)</definedName>
    <definedName name="form_rgPTList0model_name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model_numbermarketplace_idATVPDKIKX0DER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model_variantmarketplace_idATVPDKIKX0DERlanguage_tagen_US1.value">AND(AND(AND((AND(OR(AND(AND(NOT('[1]Changes to the template'!$E1&lt;&gt;""))),AND(OR(NOT('[1]Changes to the template'!$D1&lt;&gt;"Parent"))),AND(AND(IF(COUNTIF([1]!CONDITION_LIST_28,'[1]Changes to the template'!$F1)&gt;0,FALSE,TRUE)))),'[1]Changes to the template'!$B1&lt;&gt;"")),1=1)),1=1)</definedName>
    <definedName name="form_rgPTList0non_lithium_battery_packagingmarketplace_idATVPDKIKX0DER1.value">AND(AND(AND((AND(OR(AND(AND(IF(COUNTIF([1]!form_rgPTList0amzn1.volt.ca.product_id_type,'[1]Changes to the template'!$FQ1)&gt;0,FALSE,TRUE)))),'[1]Changes to the template'!$B1&lt;&gt;"")),1=1),AND((AND(OR(AND(AND(IF(COUNTIF([1]!form_rgPTList0amzn1.volt.ca.product_id_type,'[1]Changes to the template'!$FQ1)&gt;0,FALSE,TRUE))),AND(AND(NOT('[1]Changes to the template'!$D1="")))),'[1]Changes to the template'!$B1&lt;&gt;"")),(AND(OR(AND(AND(IF(COUNTIF([1]!form_rgPTList0amzn1.volt.ca.product_id_type,'[1]Changes to the template'!$FQ1)&gt;0,FALSE,TRUE))),AND(OR(NOT('[1]Changes to the template'!$D1&lt;&gt;"Parent")))),'[1]Changes to the template'!$B1&lt;&gt;"")),1=1)),1=1)</definedName>
    <definedName name="form_rgPTList0num_batteriesmarketplace_idATVPDKIKX0DER1.quantity">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1.type">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2.quantity">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2.type">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3.quantity">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3.type">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4.quantity">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4.type">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5.quantity">AND(AND(AND((AND(OR(AND(AND(IF(COUNTIF([1]!CONDITION_LIST_8,'[1]Changes to the template'!$FQ1)&gt;0,FALSE,TRUE)))),'[1]Changes to the template'!$B1&lt;&gt;"")),1=1),AND((AND(OR(AND(AND(IF(COUNTIF([1]!CONDITION_LIST_35,'[1]Changes to the template'!$FP1)&gt;0,FALSE,TRUE)))),'[1]Changes to the template'!$B1&lt;&gt;"")),1=1)),1=1)</definedName>
    <definedName name="form_rgPTList0num_batteriesmarketplace_idATVPDKIKX0DER5.type">AND(AND(AND((AND(OR(AND(AND(IF(COUNTIF([1]!CONDITION_LIST_8,'[1]Changes to the template'!$FQ1)&gt;0,FALSE,TRUE)))),'[1]Changes to the template'!$B1&lt;&gt;"")),1=1),AND((AND(OR(AND(AND(IF(COUNTIF([1]!CONDITION_LIST_35,'[1]Changes to the template'!$FP1)&gt;0,FALSE,TRUE)))),'[1]Changes to the template'!$B1&lt;&gt;"")),1=1)),1=1)</definedName>
    <definedName name="form_rgPTList0number_of_itemsmarketplace_idATVPDKIKX0DER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template'!$B1&lt;&gt;"")),1=1),AND((AND(OR(AND(AND(NOT('[1]Changes to the template'!$E1&lt;&gt;""))),AND(OR(NOT('[1]Changes to the template'!$D1&lt;&gt;"Parent"))),AND(AND(IF(COUNTIF([1]!CONDITION_LIST_6,'[1]Changes to the template'!$F1)&gt;0,FALSE,TRUE)))),'[1]Changes to the template'!$B1&lt;&gt;"")),1=1),AND((AND(OR(OR(AND(NOT('[1]Changes to the template'!$D1="")))),'[1]Changes to the template'!$B1&lt;&gt;"")),(AND(OR(OR(OR(NOT('[1]Changes to the template'!$D1&lt;&gt;"Parent")))),'[1]Changes to the template'!$B1&lt;&gt;"")),1=1)),1=1)</definedName>
    <definedName name="form_rgPTList0number_of_lithium_ion_cellsmarketplace_idATVPDKIKX0DER1.value">AND(AND(AND((AND(OR(AND(AND(IF(COUNTIF([1]!for_maxfPTList0child_parent_sku_relationshipmarketplace_idATVPDKIKX0DER1.parent_sku,'[1]Changes to the template'!$FQ1)&gt;0,FALSE,TRUE)))),'[1]Changes to the template'!$B1&lt;&gt;"")),1=1),AND((AND(OR(AND(AND(IF(COUNTIF([1]!for_maxfPTList0compliance_operation_modemarketplace_idATVPDKIKX0DER1.value,'[1]Changes to the template'!$FQ1)&gt;0,FALSE,TRUE)))),'[1]Changes to the template'!$B1&lt;&gt;"")),1=1)),1=1)</definedName>
    <definedName name="form_rgPTList0number_of_lithium_metal_cellsmarketplace_idATVPDKIKX0DER1.value">AND(AND(AND((AND(OR(AND(AND(IF(COUNTIF([1]!for_maxfPTList0california_proposition_65marketplace_idATVPDKIKX0DER1.chemical_names2,'[1]Changes to the template'!$FQ1)&gt;0,FALSE,TRUE)))),'[1]Changes to the template'!$B1&lt;&gt;"")),1=1),AND((AND(OR(AND(AND(IF(COUNTIF([1]!for_maxfPTList0california_proposition_65marketplace_idATVPDKIKX0DER1.chemical_names4,'[1]Changes to the template'!$FQ1)&gt;0,FALSE,TRUE)))),'[1]Changes to the template'!$B1&lt;&gt;"")),1=1)),1=1)</definedName>
    <definedName name="form_rgPTList0operation_modemarketplace_idATVPDKIKX0DERlanguage_tagen_US1.value">AND(AND(AND((AND(OR(OR(AND(NOT('[1]Changes to the template'!$D1="")))),'[1]Changes to the template'!$B1&lt;&gt;"")),(AND(OR(OR(OR(NOT('[1]Changes to the template'!$D1&lt;&gt;"Parent")))),'[1]Changes to the template'!$B1&lt;&gt;"")),1=1),AND((AND(OR(AND(AND(NOT('[1]Changes to the template'!$E1&lt;&gt;""))),AND(OR(NOT('[1]Changes to the template'!$D1&lt;&gt;"Parent"))),AND(AND(IF(COUNTIF([1]!form_rgPTList0colormarketplace_idATVPDKIKX0DERlanguage_tagen_US1.value,'[1]Changes to the template'!$F1)&gt;0,FALSE,TRUE)))),'[1]Changes to the template'!$B1&lt;&gt;"")),1=1),AND((AND(OR(OR(AND(NOT('[1]Changes to the template'!$D1="")))),'[1]Changes to the template'!$B1&lt;&gt;"")),(AND(OR(OR(OR(NOT('[1]Changes to the template'!$D1&lt;&gt;"Parent")))),'[1]Changes to the template'!$B1&lt;&gt;"")),1=1)),1=1)</definedName>
    <definedName name="form_rgPTList0orientationmarketplace_idATVPDKIKX0DERlanguage_tagen_US1.value">AND(AND(AND((AND(OR(AND(AND(NOT('[1]Changes to the template'!$E1&lt;&gt;""))),AND(OR(NOT('[1]Changes to the template'!$D1&lt;&gt;"Parent"))),AND(AND(IF(COUNTIF([1]!form_rgPTList0bullet_pointmarketplace_idATVPDKIKX0DERlanguage_tagen_US5.value,'[1]Changes to the template'!$F1)&gt;0,FALSE,TRUE)))),'[1]Changes to the template'!$B1&lt;&gt;"")),1=1)),1=1)</definedName>
    <definedName name="form_rgPTList0other_offer_image_locator_1marketplace_idATVPDKIKX0DER1.media_location">AND(AND(AND((AND(OR(OR(OR(NOT('[1]Changes to the template'!$CQ1&lt;&gt;"New")))),'[1]Changes to the template'!$B1&lt;&gt;"")),1=1)),1=1)</definedName>
    <definedName name="form_rgPTList0other_offer_image_locator_2marketplace_idATVPDKIKX0DER1.media_location">AND(AND(AND((AND(OR(OR(OR(NOT('[1]Changes to the template'!$CQ1&lt;&gt;"New")))),'[1]Changes to the template'!$B1&lt;&gt;"")),1=1)),1=1)</definedName>
    <definedName name="form_rgPTList0other_offer_image_locator_3marketplace_idATVPDKIKX0DER1.media_location">AND(AND(AND((AND(OR(OR(OR(NOT('[1]Changes to the template'!$CQ1&lt;&gt;"New")))),'[1]Changes to the template'!$B1&lt;&gt;"")),1=1)),1=1)</definedName>
    <definedName name="form_rgPTList0other_offer_image_locator_4marketplace_idATVPDKIKX0DER1.media_location">AND(AND(AND((AND(OR(OR(OR(NOT('[1]Changes to the template'!$CQ1&lt;&gt;"New")))),'[1]Changes to the template'!$B1&lt;&gt;"")),1=1)),1=1)</definedName>
    <definedName name="form_rgPTList0other_offer_image_locator_5marketplace_idATVPDKIKX0DER1.media_location">AND(AND(AND((AND(OR(OR(OR(NOT('[1]Changes to the template'!$CQ1&lt;&gt;"New")))),'[1]Changes to the template'!$B1&lt;&gt;"")),1=1)),1=1)</definedName>
    <definedName name="form_rgPTList0package_contains_skumarketplace_idATVPDKIKX0DER1.quantity">AND(AND(AND((AND(OR(AND(AND(IF(COUNTIF([1]!CONDITION_LIST_22,'[1]Changes to the template'!$L1)&gt;0,FALSE,TRUE)))),'[1]Changes to the template'!$B1&lt;&gt;"")),1=1),AND((AND(OR(AND(AND(IF(COUNTIF([1]!CONDITION_LIST_22,'[1]Changes to the template'!$L1)&gt;0,FALSE,TRUE))),AND(AND(NOT('[1]Changes to the template'!$D1="")))),'[1]Changes to the template'!$B1&lt;&gt;"")),(AND(OR(AND(AND(IF(COUNTIF([1]!CONDITION_LIST_22,'[1]Changes to the template'!$L1)&gt;0,FALSE,TRUE))),AND(OR(NOT('[1]Changes to the template'!$D1&lt;&gt;"Parent")))),'[1]Changes to the template'!$B1&lt;&gt;"")),1=1)),1=1)</definedName>
    <definedName name="form_rgPTList0package_contains_skumarketplace_idATVPDKIKX0DER1.sku">AND(AND(AND((AND(OR(AND(AND(IF(COUNTIF([1]!CONDITION_LIST_22,'[1]Changes to the template'!$L1)&gt;0,FALSE,TRUE)))),'[1]Changes to the template'!$B1&lt;&gt;"")),1=1),AND((AND(OR(AND(AND(IF(COUNTIF([1]!CONDITION_LIST_22,'[1]Changes to the template'!$L1)&gt;0,FALSE,TRUE))),AND(AND(NOT('[1]Changes to the template'!$D1="")))),'[1]Changes to the template'!$B1&lt;&gt;"")),(AND(OR(AND(AND(IF(COUNTIF([1]!CONDITION_LIST_22,'[1]Changes to the template'!$L1)&gt;0,FALSE,TRUE))),AND(OR(NOT('[1]Changes to the template'!$D1&lt;&gt;"Parent")))),'[1]Changes to the template'!$B1&lt;&gt;"")),1=1)),1=1)</definedName>
    <definedName name="form_rgPTList0package_levelmarketplace_idATVPDKIKX0DER1.value">AND(AND(AND((AND(OR(OR(AND(NOT('[1]Changes to the template'!$D1="")))),'[1]Changes to the template'!$B1&lt;&gt;"")),(AND(OR(OR(OR(NOT('[1]Changes to the template'!$D1&lt;&gt;"Parent")))),'[1]Changes to the template'!$B1&lt;&gt;"")),1=1)),1=1)</definedName>
    <definedName name="form_rgPTList0part_numbermarketplace_idATVPDKIKX0DER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product_descriptionmarketplace_idATVPDKIKX0DERlanguage_tagen_US1.value">AND(AND((0),(0)),1=1)</definedName>
    <definedName name="form_rgPTList0purchasable_offermarketplace_idATVPDKIKX0DERaudienceALL1.automated_pricing_merchandising_rule_plan1.merchandising_rule.rule_id">AND(AND(AND((AND(OR(OR(AND(NOT('[1]Changes to the template'!$D1=""))),AND(OR(NOT('[1]Changes to the template'!$DU1&lt;&gt;"Delete Offer (Sell on Amazon)")))),'[1]Changes to the template'!$B1&lt;&gt;"")),(AND(OR(OR(OR(NOT('[1]Changes to the template'!$D1&lt;&gt;"Parent"))),AND(OR(NOT('[1]Changes to the template'!$DU1&lt;&gt;"Delete Offer (Sell on Amazon)")))),'[1]Changes to the template'!$B1&lt;&gt;"")),1=1)),1=1)</definedName>
    <definedName name="form_rgPTList0purchasable_offermarketplace_idATVPDKIKX0DERaudienceALL1.discounted_price1.schedule1.end_at">AND(AND(AND((AND(OR(OR(AND(NOT('[1]Changes to the template'!$D1=""))),AND(OR(NOT('[1]Changes to the template'!$DU1&lt;&gt;"Delete Offer (Sell on Amazon)")))),'[1]Changes to the template'!$B1&lt;&gt;"")),(AND(OR(OR(OR(NOT('[1]Changes to the template'!$D1&lt;&gt;"Parent"))),AND(OR(NOT('[1]Changes to the template'!$DU1&lt;&gt;"Delete Offer (Sell on Amazon)")))),'[1]Changes to the template'!$B1&lt;&gt;"")),1=1)),1=1)</definedName>
    <definedName name="form_rgPTList0purchasable_offermarketplace_idATVPDKIKX0DERaudienceALL1.discounted_price1.schedule1.start_at">AND(AND(AND((AND(OR(OR(AND(NOT('[1]Changes to the template'!$D1=""))),AND(OR(NOT('[1]Changes to the template'!$DU1&lt;&gt;"Delete Offer (Sell on Amazon)")))),'[1]Changes to the template'!$B1&lt;&gt;"")),(AND(OR(OR(OR(NOT('[1]Changes to the template'!$D1&lt;&gt;"Parent"))),AND(OR(NOT('[1]Changes to the template'!$DU1&lt;&gt;"Delete Offer (Sell on Amazon)")))),'[1]Changes to the template'!$B1&lt;&gt;"")),1=1)),1=1)</definedName>
    <definedName name="form_rgPTList0purchasable_offermarketplace_idATVPDKIKX0DERaudienceALL1.discounted_price1.schedule1.value_with_tax">AND(AND(AND((AND(OR(OR(AND(NOT('[1]Changes to the template'!$D1=""))),AND(OR(NOT('[1]Changes to the template'!$DU1&lt;&gt;"Delete Offer (Sell on Amazon)")))),'[1]Changes to the template'!$B1&lt;&gt;"")),(AND(OR(OR(OR(NOT('[1]Changes to the template'!$D1&lt;&gt;"Parent"))),AND(OR(NOT('[1]Changes to the template'!$DU1&lt;&gt;"Delete Offer (Sell on Amazon)")))),'[1]Changes to the template'!$B1&lt;&gt;"")),1=1)),1=1)</definedName>
    <definedName name="form_rgPTList0purchasable_offermarketplace_idATVPDKIKX0DERaudienceALL1.end_at.value">AND(AND(AND((AND(OR(OR(AND(NOT('[1]Changes to the template'!$D1=""))),AND(OR(NOT('[1]Changes to the template'!$DU1&lt;&gt;"Delete Offer (Sell on Amazon)")))),'[1]Changes to the template'!$B1&lt;&gt;"")),(AND(OR(OR(OR(NOT('[1]Changes to the template'!$D1&lt;&gt;"Parent"))),AND(OR(NOT('[1]Changes to the template'!$DU1&lt;&gt;"Delete Offer (Sell on Amazon)")))),'[1]Changes to the template'!$B1&lt;&gt;"")),1=1)),1=1)</definedName>
    <definedName name="form_rgPTList0purchasable_offermarketplace_idATVPDKIKX0DERaudienceALL1.maximum_seller_allowed_price1.schedule1.value_with_tax">AND(AND(AND((AND(OR(OR(AND(NOT('[1]Changes to the template'!$D1=""))),AND(OR(NOT('[1]Changes to the template'!$DU1&lt;&gt;"Delete Offer (Sell on Amazon)")))),'[1]Changes to the template'!$B1&lt;&gt;"")),(AND(OR(OR(OR(NOT('[1]Changes to the template'!$D1&lt;&gt;"Parent"))),AND(OR(NOT('[1]Changes to the template'!$DU1&lt;&gt;"Delete Offer (Sell on Amazon)")))),'[1]Changes to the template'!$B1&lt;&gt;"")),1=1)),1=1)</definedName>
    <definedName name="form_rgPTList0purchasable_offermarketplace_idATVPDKIKX0DERaudienceALL1.minimum_seller_allowed_price1.schedule1.value_with_tax">AND(AND(AND((AND(OR(OR(AND(NOT('[1]Changes to the template'!$D1=""))),AND(OR(NOT('[1]Changes to the template'!$DU1&lt;&gt;"Delete Offer (Sell on Amazon)")))),'[1]Changes to the template'!$B1&lt;&gt;"")),(AND(OR(OR(OR(NOT('[1]Changes to the template'!$D1&lt;&gt;"Parent"))),AND(OR(NOT('[1]Changes to the template'!$DU1&lt;&gt;"Delete Offer (Sell on Amazon)")))),'[1]Changes to the template'!$B1&lt;&gt;"")),1=1)),1=1)</definedName>
    <definedName name="form_rgPTList0purchasable_offermarketplace_idATVPDKIKX0DERaudienceALL1.our_price1.schedule1.value_with_tax">AND(AND(AND((AND(OR(OR(AND(NOT('[1]Changes to the template'!$D1="")))),'[1]Changes to the template'!$B1&lt;&gt;"")),(AND(OR(OR(OR(NOT('[1]Changes to the template'!$D1&lt;&gt;"Parent")))),'[1]Changes to the template'!$B1&lt;&gt;"")),1=1)),1=1)</definedName>
    <definedName name="form_rgPTList0purchasable_offermarketplace_idATVPDKIKX0DERaudienceALL1.start_at.value">AND(AND(AND((AND(OR(OR(AND(NOT('[1]Changes to the template'!$D1=""))),AND(OR(NOT('[1]Changes to the template'!$DU1&lt;&gt;"Delete Offer (Sell on Amazon)")))),'[1]Changes to the template'!$B1&lt;&gt;"")),(AND(OR(OR(OR(NOT('[1]Changes to the template'!$D1&lt;&gt;"Parent"))),AND(OR(NOT('[1]Changes to the template'!$DU1&lt;&gt;"Delete Offer (Sell on Amazon)")))),'[1]Changes to the template'!$B1&lt;&gt;"")),1=1)),1=1)</definedName>
    <definedName name="form_rgPTList0purchasable_offermarketplace_idATVPDKIKX0DERaudienceB2B1.end_at.value">AND(AND(AND((AND(OR(OR(AND(NOT('[1]Changes to the template'!$D1=""))),AND(OR(NOT('[1]Changes to the template'!$ED1&lt;&gt;"Delete Offer (Amazon Business (B2B))")))),'[1]Changes to the template'!$B1&lt;&gt;"")),(AND(OR(OR(OR(NOT('[1]Changes to the template'!$D1&lt;&gt;"Parent"))),AND(OR(NOT('[1]Changes to the template'!$ED1&lt;&gt;"Delete Offer (Amazon Business (B2B))")))),'[1]Changes to the template'!$B1&lt;&gt;"")),1=1)),1=1)</definedName>
    <definedName name="form_rgPTList0purchasable_offermarketplace_idATVPDKIKX0DERaudienceB2B1.maximum_seller_allowed_price1.schedule1.value_with_tax">AND(AND(AND((AND(OR(OR(AND(NOT('[1]Changes to the template'!$D1=""))),AND(OR(NOT('[1]Changes to the template'!$ED1&lt;&gt;"Delete Offer (Amazon Business (B2B))")))),'[1]Changes to the template'!$B1&lt;&gt;"")),(AND(OR(OR(OR(NOT('[1]Changes to the template'!$D1&lt;&gt;"Parent"))),AND(OR(NOT('[1]Changes to the template'!$ED1&lt;&gt;"Delete Offer (Amazon Business (B2B))")))),'[1]Changes to the template'!$B1&lt;&gt;"")),1=1)),1=1)</definedName>
    <definedName name="form_rgPTList0purchasable_offermarketplace_idATVPDKIKX0DERaudienceB2B1.minimum_seller_allowed_price1.schedule1.value_with_tax">AND(AND(AND((AND(OR(OR(AND(NOT('[1]Changes to the template'!$D1=""))),AND(OR(NOT('[1]Changes to the template'!$ED1&lt;&gt;"Delete Offer (Amazon Business (B2B))")))),'[1]Changes to the template'!$B1&lt;&gt;"")),(AND(OR(OR(OR(NOT('[1]Changes to the template'!$D1&lt;&gt;"Parent"))),AND(OR(NOT('[1]Changes to the template'!$ED1&lt;&gt;"Delete Offer (Amazon Business (B2B))")))),'[1]Changes to the template'!$B1&lt;&gt;"")),1=1)),1=1)</definedName>
    <definedName name="form_rgPTList0purchasable_offermarketplace_idATVPDKIKX0DERaudienceB2B1.our_price1.schedule1.value_with_tax">AND(AND(AND((AND(OR(OR(AND(NOT('[1]Changes to the template'!$D1="")))),'[1]Changes to the template'!$B1&lt;&gt;"")),(AND(OR(OR(OR(NOT('[1]Changes to the template'!$D1&lt;&gt;"Parent")))),'[1]Changes to the template'!$B1&lt;&gt;"")),1=1)),1=1)</definedName>
    <definedName name="form_rgPTList0purchasable_offermarketplace_idATVPDKIKX0DERaudienceB2B1.quantity_discount_plan1.schedule1.discount_type">AND(AND(AND((AND(OR(OR(AND(NOT('[1]Changes to the template'!$D1=""))),AND(OR(NOT('[1]Changes to the template'!$ED1&lt;&gt;"Delete Offer (Amazon Business (B2B))")))),'[1]Changes to the template'!$B1&lt;&gt;"")),(AND(OR(OR(OR(NOT('[1]Changes to the template'!$D1&lt;&gt;"Parent"))),AND(OR(NOT('[1]Changes to the template'!$ED1&lt;&gt;"Delete Offer (Amazon Business (B2B))")))),'[1]Changes to the template'!$B1&lt;&gt;"")),1=1)),1=1)</definedName>
    <definedName name="form_rgPTList0purchasable_offermarketplace_idATVPDKIKX0DERaudienceB2B1.quantity_discount_plan1.schedule1.levels1.lower_bound">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1.value">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2.lower_bound">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2.value">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3.lower_bound">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3.value">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4.lower_bound">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4.value">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5.lower_bound">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quantity_discount_plan1.schedule1.levels5.value">AND(AND(AND((AND(OR(OR(AND(NOT('[1]Changes to the template'!$D1=""))),AND(OR(NOT('[1]Changes to the template'!$EI1&lt;&gt;"Delete Quantity Discounts"))),AND(OR(NOT('[1]Changes to the template'!$ED1&lt;&gt;"Delete Offer (Amazon Business (B2B))")))),'[1]Changes to the template'!$B1&lt;&gt;"")),(AND(OR(OR(OR(NOT('[1]Changes to the template'!$D1&lt;&gt;"Parent"))),AND(OR(NOT('[1]Changes to the template'!$EI1&lt;&gt;"Delete Quantity Discounts"))),AND(OR(NOT('[1]Changes to the template'!$ED1&lt;&gt;"Delete Offer (Amazon Business (B2B))")))),'[1]Changes to the template'!$B1&lt;&gt;"")),1=1)),1=1)</definedName>
    <definedName name="form_rgPTList0purchasable_offermarketplace_idATVPDKIKX0DERaudienceB2B1.start_at.value">AND(AND(AND((AND(OR(OR(AND(NOT('[1]Changes to the template'!$D1=""))),AND(OR(NOT('[1]Changes to the template'!$ED1&lt;&gt;"Delete Offer (Amazon Business (B2B))")))),'[1]Changes to the template'!$B1&lt;&gt;"")),(AND(OR(OR(OR(NOT('[1]Changes to the template'!$D1&lt;&gt;"Parent"))),AND(OR(NOT('[1]Changes to the template'!$ED1&lt;&gt;"Delete Offer (Amazon Business (B2B))")))),'[1]Changes to the template'!$B1&lt;&gt;"")),1=1)),1=1)</definedName>
    <definedName name="form_rgPTList0safety_data_sheet_urlmarketplace_idATVPDKIKX0DERlanguage_tagen_US1.value">AND(AND(AND((AND(OR(AND(AND(IF(COUNTIF([1]!for_maxfPTList0fulfillment_availability1.quantity,'[1]Changes to the template'!$GN1)&gt;0,FALSE,TRUE)))),'[1]Changes to the template'!$B1&lt;&gt;"")),1=1)),1=1)</definedName>
    <definedName name="form_rgPTList0safety_warningmarketplace_idATVPDKIKX0DERlanguage_tagen_US1.value">AND(AND(AND((AND(OR(OR(AND(NOT('[1]Changes to the template'!$D1="")))),'[1]Changes to the template'!$B1&lt;&gt;"")),(AND(OR(OR(OR(NOT('[1]Changes to the template'!$D1&lt;&gt;"Parent")))),'[1]Changes to the template'!$B1&lt;&gt;"")),1=1)),1=1)</definedName>
    <definedName name="form_rgPTList0safety_warningmarketplace_idATVPDKIKX0DERlanguage_tagen_US2.value">AND(AND(AND((AND(OR(OR(AND(NOT('[1]Changes to the template'!$D1="")))),'[1]Changes to the template'!$B1&lt;&gt;"")),(AND(OR(OR(OR(NOT('[1]Changes to the template'!$D1&lt;&gt;"Parent")))),'[1]Changes to the template'!$B1&lt;&gt;"")),1=1)),1=1)</definedName>
    <definedName name="form_rgPTList0safety_warningmarketplace_idATVPDKIKX0DERlanguage_tagen_US3.value">AND(AND(AND((AND(OR(OR(AND(NOT('[1]Changes to the template'!$D1="")))),'[1]Changes to the template'!$B1&lt;&gt;"")),(AND(OR(OR(OR(NOT('[1]Changes to the template'!$D1&lt;&gt;"Parent")))),'[1]Changes to the template'!$B1&lt;&gt;"")),1=1)),1=1)</definedName>
    <definedName name="form_rgPTList0safety_warningmarketplace_idATVPDKIKX0DERlanguage_tagen_US4.value">AND(AND(AND((AND(OR(OR(AND(NOT('[1]Changes to the template'!$D1="")))),'[1]Changes to the template'!$B1&lt;&gt;"")),(AND(OR(OR(OR(NOT('[1]Changes to the template'!$D1&lt;&gt;"Parent")))),'[1]Changes to the template'!$B1&lt;&gt;"")),1=1)),1=1)</definedName>
    <definedName name="form_rgPTList0safety_warningmarketplace_idATVPDKIKX0DERlanguage_tagen_US5.value">AND(AND(AND((AND(OR(OR(AND(NOT('[1]Changes to the template'!$D1="")))),'[1]Changes to the template'!$B1&lt;&gt;"")),(AND(OR(OR(OR(NOT('[1]Changes to the template'!$D1&lt;&gt;"Parent")))),'[1]Changes to the template'!$B1&lt;&gt;"")),1=1)),1=1)</definedName>
    <definedName name="form_rgPTList0scale_namemarketplace_idATVPDKIKX0DERlanguage_tagen_US1.value">AND(AND(AND((AND(OR(OR(AND(NOT('[1]Changes to the template'!$D1="")))),'[1]Changes to the template'!$B1&lt;&gt;"")),(AND(OR(OR(OR(NOT('[1]Changes to the template'!$D1&lt;&gt;"Parent")))),'[1]Changes to the template'!$B1&lt;&gt;"")),1=1),AND((AND(OR(AND(AND(NOT('[1]Changes to the template'!$E1&lt;&gt;""))),AND(OR(NOT('[1]Changes to the template'!$D1&lt;&gt;"Parent"))),AND(AND(IF(COUNTIF([1]!CONDITION_LIST_24,'[1]Changes to the template'!$F1)&gt;0,FALSE,TRUE)))),'[1]Changes to the template'!$B1&lt;&gt;"")),1=1),AND((AND(OR(OR(AND(NOT('[1]Changes to the template'!$D1="")))),'[1]Changes to the template'!$B1&lt;&gt;"")),(AND(OR(OR(OR(NOT('[1]Changes to the template'!$D1&lt;&gt;"Parent")))),'[1]Changes to the template'!$B1&lt;&gt;"")),1=1)),1=1)</definedName>
    <definedName name="form_rgPTList0set_namemarketplace_idATVPDKIKX0DERlanguage_tagen_US1.value">AND(AND(AND((AND(OR(AND(AND(NOT('[1]Changes to the template'!$E1&lt;&gt;""))),AND(OR(NOT('[1]Changes to the template'!$D1&lt;&gt;"Parent"))),AND(AND(IF(COUNTIF([1]!CONDITION_LIST_3,'[1]Changes to the template'!$F1)&gt;0,FALSE,TRUE)))),'[1]Changes to the template'!$B1&lt;&gt;"")),1=1)),1=1)</definedName>
    <definedName name="form_rgPTList0sizemarketplace_idATVPDKIKX0DERlanguage_tagen_US1.value">AND(AND(AND((AND(OR(OR(AND(NOT('[1]Changes to the template'!$D1="")))),'[1]Changes to the template'!$B1&lt;&gt;"")),(AND(OR(OR(OR(NOT('[1]Changes to the template'!$D1&lt;&gt;"Parent")))),'[1]Changes to the template'!$B1&lt;&gt;"")),1=1),AND((AND(OR(AND(AND(NOT('[1]Changes to the template'!$E1&lt;&gt;""))),AND(OR(NOT('[1]Changes to the template'!$D1&lt;&gt;"Parent"))),AND(AND(IF(COUNTIF([1]!form_rgPTList0batterymarketplace_idATVPDKIKX0DER1.weight1.value,'[1]Changes to the template'!$F1)&gt;0,FALSE,TRUE)))),'[1]Changes to the template'!$B1&lt;&gt;"")),1=1),AND((AND(OR(OR(AND(NOT('[1]Changes to the template'!$D1="")))),'[1]Changes to the template'!$B1&lt;&gt;"")),(AND(OR(OR(OR(NOT('[1]Changes to the template'!$D1&lt;&gt;"Parent")))),'[1]Changes to the template'!$B1&lt;&gt;"")),1=1)),1=1)</definedName>
    <definedName name="form_rgPTList0subject_charactermarketplace_idATVPDKIKX0DERlanguage_tagen_US1.value">AND(AND(AND((AND(OR(OR(AND(NOT('[1]Changes to the template'!$D1="")))),'[1]Changes to the template'!$B1&lt;&gt;"")),(AND(OR(OR(OR(NOT('[1]Changes to the template'!$D1&lt;&gt;"Parent")))),'[1]Changes to the template'!$B1&lt;&gt;"")),1=1),AND((AND(OR(AND(AND(NOT('[1]Changes to the template'!$E1&lt;&gt;""))),AND(OR(NOT('[1]Changes to the template'!$D1&lt;&gt;"Parent"))),AND(AND(IF(COUNTIF([1]!for_minPTList0fcc_radio_frequency_emission_compliancemarketplace_idATVPDKIKX0DER1.identification_number,'[1]Changes to the template'!$F1)&gt;0,FALSE,TRUE)))),'[1]Changes to the template'!$B1&lt;&gt;"")),1=1),AND((AND(OR(OR(AND(NOT('[1]Changes to the template'!$D1="")))),'[1]Changes to the template'!$B1&lt;&gt;"")),(AND(OR(OR(OR(NOT('[1]Changes to the template'!$D1&lt;&gt;"Parent")))),'[1]Changes to the template'!$B1&lt;&gt;"")),1=1)),1=1)</definedName>
    <definedName name="form_rgPTList0supplier_declared_dg_hz_regulationmarketplace_idATVPDKIKX0DER1.value">AND(AND((0)),1=1)</definedName>
    <definedName name="form_rgPTList0supplier_declared_dg_hz_regulationmarketplace_idATVPDKIKX0DER2.value">AND(AND((0)),1=1)</definedName>
    <definedName name="form_rgPTList0supplier_declared_dg_hz_regulationmarketplace_idATVPDKIKX0DER3.value">AND(AND((0)),1=1)</definedName>
    <definedName name="form_rgPTList0supplier_declared_dg_hz_regulationmarketplace_idATVPDKIKX0DER4.value">AND(AND((0)),1=1)</definedName>
    <definedName name="form_rgPTList0supplier_declared_dg_hz_regulationmarketplace_idATVPDKIKX0DER5.value">AND(AND((0)),1=1)</definedName>
    <definedName name="form_rgPTList0taa_compliant_countrymarketplace_idATVPDKIKX0DER1.value">AND(AND(AND((AND(OR(AND(AND(IF(COUNTIF([1]!form_rgPTList0batterymarketplace_idATVPDKIKX0DER1.iec_code1.value,'[1]Changes to the template'!$KI1)&gt;0,FALSE,TRUE)))),'[1]Changes to the template'!$B1&lt;&gt;"")),1=1),AND((AND(OR(AND(AND(IF(COUNTIF([1]!form_rgPTList0batterymarketplace_idATVPDKIKX0DER1.iec_code1.value,'[1]Changes to the template'!$KI1)&gt;0,FALSE,TRUE))),AND(AND(NOT('[1]Changes to the template'!$D1="")))),'[1]Changes to the template'!$B1&lt;&gt;"")),(AND(OR(AND(AND(IF(COUNTIF([1]!form_rgPTList0batterymarketplace_idATVPDKIKX0DER1.iec_code1.value,'[1]Changes to the template'!$KI1)&gt;0,FALSE,TRUE))),AND(OR(NOT('[1]Changes to the template'!$D1&lt;&gt;"Parent")))),'[1]Changes to the template'!$B1&lt;&gt;"")),1=1)),1=1)</definedName>
    <definedName name="form_rgPTList0target_audience_keyword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target_audience_keywordmarketplace_idATVPDKIKX0DERlanguage_tagen_US2.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target_audience_keywordmarketplace_idATVPDKIKX0DERlanguage_tagen_US3.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form_rgPTList0team_namemarketplace_idATVPDKIKX0DERlanguage_tagen_US1.value">AND(AND(AND((AND(OR(OR(AND(NOT('[1]Changes to the template'!$D1="")))),'[1]Changes to the template'!$B1&lt;&gt;"")),(AND(OR(OR(OR(NOT('[1]Changes to the template'!$D1&lt;&gt;"Parent")))),'[1]Changes to the template'!$B1&lt;&gt;"")),1=1)),1=1)</definedName>
    <definedName name="form_rgPTList0team_namemarketplace_idATVPDKIKX0DERlanguage_tagen_US2.value">AND(AND(AND((AND(OR(OR(AND(NOT('[1]Changes to the template'!$D1="")))),'[1]Changes to the template'!$B1&lt;&gt;"")),(AND(OR(OR(OR(NOT('[1]Changes to the template'!$D1&lt;&gt;"Parent")))),'[1]Changes to the template'!$B1&lt;&gt;"")),1=1)),1=1)</definedName>
    <definedName name="form_rgPTList0theme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template'!$B1&lt;&gt;"")),1=1),AND((AND(OR(OR(AND(NOT('[1]Changes to the template'!$D1="")))),'[1]Changes to the template'!$B1&lt;&gt;"")),(AND(OR(OR(OR(NOT('[1]Changes to the template'!$D1&lt;&gt;"Parent")))),'[1]Changes to the template'!$B1&lt;&gt;"")),1=1)),1=1)</definedName>
    <definedName name="form_rgPTList0thememarketplace_idATVPDKIKX0DERlanguage_tagen_US2.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template'!$B1&lt;&gt;"")),1=1),AND((AND(OR(OR(AND(NOT('[1]Changes to the template'!$D1="")))),'[1]Changes to the template'!$B1&lt;&gt;"")),(AND(OR(OR(OR(NOT('[1]Changes to the template'!$D1&lt;&gt;"Parent")))),'[1]Changes to the template'!$B1&lt;&gt;"")),1=1)),1=1)</definedName>
    <definedName name="form_rgPTList0thememarketplace_idATVPDKIKX0DERlanguage_tagen_US3.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template'!$B1&lt;&gt;"")),1=1),AND((AND(OR(OR(AND(NOT('[1]Changes to the template'!$D1="")))),'[1]Changes to the template'!$B1&lt;&gt;"")),(AND(OR(OR(OR(NOT('[1]Changes to the template'!$D1&lt;&gt;"Parent")))),'[1]Changes to the template'!$B1&lt;&gt;"")),1=1)),1=1)</definedName>
    <definedName name="form_rgPTList0thememarketplace_idATVPDKIKX0DERlanguage_tagen_US4.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template'!$B1&lt;&gt;"")),1=1),AND((AND(OR(OR(AND(NOT('[1]Changes to the template'!$D1="")))),'[1]Changes to the template'!$B1&lt;&gt;"")),(AND(OR(OR(OR(NOT('[1]Changes to the template'!$D1&lt;&gt;"Parent")))),'[1]Changes to the template'!$B1&lt;&gt;"")),1=1)),1=1)</definedName>
    <definedName name="form_rgPTList0thememarketplace_idATVPDKIKX0DERlanguage_tagen_US5.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template'!$B1&lt;&gt;"")),1=1),AND((AND(OR(OR(AND(NOT('[1]Changes to the template'!$D1="")))),'[1]Changes to the template'!$B1&lt;&gt;"")),(AND(OR(OR(OR(NOT('[1]Changes to the template'!$D1&lt;&gt;"Parent")))),'[1]Changes to the template'!$B1&lt;&gt;"")),1=1)),1=1)</definedName>
    <definedName name="form_rgPTList0toy_vehicle_form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template'!$B1&lt;&gt;"")),1=1),AND((AND(OR(AND(AND(NOT('[1]Changes to the template'!$E1&lt;&gt;""))),AND(OR(NOT('[1]Changes to the template'!$D1&lt;&gt;"Parent"))),AND(AND(IF(COUNTIF([1]!CONDITION_LIST_26,'[1]Changes to the template'!$F1)&gt;0,FALSE,TRUE)))),'[1]Changes to the template'!$B1&lt;&gt;"")),1=1),AND((AND(OR(OR(AND(NOT('[1]Changes to the template'!$D1="")))),'[1]Changes to the template'!$B1&lt;&gt;"")),(AND(OR(OR(OR(NOT('[1]Changes to the template'!$D1&lt;&gt;"Parent")))),'[1]Changes to the template'!$B1&lt;&gt;"")),1=1)),1=1)</definedName>
    <definedName name="form_rgPTList0unit_countmarketplace_idATVPDKIKX0DER1.typelanguage_tagen_US.value">AND(AND(AND((AND(OR(OR(AND(NOT('[1]Changes to the template'!$D1="")))),'[1]Changes to the template'!$B1&lt;&gt;"")),(AND(OR(OR(OR(NOT('[1]Changes to the template'!$D1&lt;&gt;"Parent")))),'[1]Changes to the template'!$B1&lt;&gt;"")),1=1)),1=1)</definedName>
    <definedName name="form_rgPTList0unit_countmarketplace_idATVPDKIKX0DER1.value">AND(AND(AND((AND(OR(OR(AND(NOT('[1]Changes to the template'!$D1="")))),'[1]Changes to the template'!$B1&lt;&gt;"")),(AND(OR(OR(OR(NOT('[1]Changes to the template'!$D1&lt;&gt;"Parent")))),'[1]Changes to the template'!$B1&lt;&gt;"")),1=1)),1=1)</definedName>
    <definedName name="form_rgPTList0variation_theme1.name">AND(AND(AND((AND(OR(OR(AND(NOT('[1]Changes to the template'!$D1&lt;&gt;"")))),'[1]Changes to the template'!$B1&lt;&gt;"")),1=1)),1=1)</definedName>
    <definedName name="only_enfPTList0age_range_descriptionmarketplace_idATVPDKIKX0DERlanguage_tagen_US1.value">AND(AND(AND((AND(OR(OR(AND(NOT('[1]Changes to the template'!$D1="")))),'[1]Changes to the template'!$B1&lt;&gt;"")),(AND(OR(OR(OR(NOT('[1]Changes to the template'!$D1&lt;&gt;"Parent")))),'[1]Changes to the template'!$B1&lt;&gt;"")),1=1)),1=1)</definedName>
    <definedName name="only_enfPTList0amzn1.volt.ca.product_id_type">AND(AND(AND((AND(OR(OR(OR(NOT('[1]Changes to the template'!$D1&lt;&gt;"Parent")))),'[1]Changes to the template'!$B1&lt;&gt;"")),1=1)),1=1)</definedName>
    <definedName name="only_enfPTList0amzn1.volt.ca.product_id_value">AND(AND(AND((AND(OR(OR(OR(NOT('[1]Changes to the template'!$D1&lt;&gt;"Parent"))),AND(OR(NOT('[1]Changes to the template'!$I1&lt;&gt;"GTIN Exempt"))),AND(AND(NOT('[1]Changes to the template'!$I1&lt;&gt;"")))),'[1]Changes to the template'!$B1&lt;&gt;"")),1=1)),1=1)</definedName>
    <definedName name="only_enfPTList0baa_taa_compliance_acknowledgementmarketplace_idATVPDKIKX0DER1.value">AND(AND(AND((AND(OR(OR(AND(NOT('[1]Changes to the template'!$KI1&lt;&gt;""))),AND(AND(NOT('[1]Changes to the template'!$D1="")))),'[1]Changes to the template'!$B1&lt;&gt;"")),(AND(OR(OR(AND(NOT('[1]Changes to the template'!$KI1&lt;&gt;""))),AND(OR(NOT('[1]Changes to the template'!$D1&lt;&gt;"Parent")))),'[1]Changes to the template'!$B1&lt;&gt;"")),1=1)),1=1)</definedName>
    <definedName name="only_enfPTList0batteries_includedmarketplace_idATVPDKIKX0DER1.value">AND(AND(AND((AND(OR(AND(AND(IF(COUNTIF([1]!CONDITION_LIST_35,'[1]Changes to the template'!$FO1)&gt;0,FALSE,TRUE)))),'[1]Changes to the template'!$B1&lt;&gt;"")),1=1)),1=1)</definedName>
    <definedName name="only_enfPTList0batteries_requiredmarketplace_idATVPDKIKX0DER1.value">AND(AND(AND((AND(OR(AND(AND(IF(COUNTIF([1]!CONDITION_LIST_33,'[1]Changes to the template'!$DP1)&gt;0,FALSE,TRUE)))),'[1]Changes to the template'!$B1&lt;&gt;"")),(AND(OR(OR(AND(NOT('[1]Changes to the template'!$DP1="")))),'[1]Changes to the template'!$B1&lt;&gt;"")),1=1)),1=1)</definedName>
    <definedName name="only_enfPTList0battery_contains_free_unabsorbed_liquidmarketplace_idATVPDKIKX0DER1.value">AND(AND(AND((AND(OR(AND(AND(IF(COUNTIF([1]!CONDITION_LIST_35,'[1]Changes to the template'!$JV1)&gt;0,FALSE,TRUE))),AND(AND(NOT('[1]Changes to the template'!$D1="")))),'[1]Changes to the template'!$B1&lt;&gt;"")),(AND(OR(AND(AND(IF(COUNTIF([1]!CONDITION_LIST_35,'[1]Changes to the template'!$JV1)&gt;0,FALSE,TRUE))),AND(OR(NOT('[1]Changes to the template'!$D1&lt;&gt;"Parent")))),'[1]Changes to the template'!$B1&lt;&gt;"")),1=1)),1=1)</definedName>
    <definedName name="only_enfPTList0battery_installation_device_typemarketplace_idATVPDKIKX0DER1.value">AND(AND(AND((AND(OR(AND(AND(IF(COUNTIF([1]!form_rgPTList0battery_installation_device_typemarketplace_idATVPDKIKX0DER1.value,'[1]Changes to the template'!$GK1)&gt;0,FALSE,TRUE))),AND(AND(NOT('[1]Changes to the template'!$D1="")))),'[1]Changes to the template'!$B1&lt;&gt;"")),(AND(OR(AND(AND(IF(COUNTIF([1]!form_rgPTList0battery_installation_device_typemarketplace_idATVPDKIKX0DER1.value,'[1]Changes to the template'!$GK1)&gt;0,FALSE,TRUE))),AND(OR(NOT('[1]Changes to the template'!$D1&lt;&gt;"Parent")))),'[1]Changes to the template'!$B1&lt;&gt;"")),(AND(OR(AND(AND(IF(COUNTIF([1]!form_rgPTList0battery_installation_device_typemarketplace_idATVPDKIKX0DER1.value,'[1]Changes to the template'!$JW1)&gt;0,FALSE,TRUE))),AND(AND(NOT('[1]Changes to the template'!$D1="")))),'[1]Changes to the template'!$B1&lt;&gt;"")),(AND(OR(AND(AND(IF(COUNTIF([1]!form_rgPTList0battery_installation_device_typemarketplace_idATVPDKIKX0DER1.value,'[1]Changes to the template'!$JW1)&gt;0,FALSE,TRUE))),AND(OR(NOT('[1]Changes to the template'!$D1&lt;&gt;"Parent")))),'[1]Changes to the template'!$B1&lt;&gt;"")),1=1)),1=1)</definedName>
    <definedName name="only_enfPTList0batterymarketplace_idATVPDKIKX0DER1.cell_composition_other_than_listedlanguage_tagen_US1.value">AND(AND(AND((AND(OR(AND(AND(IF(COUNTIF([1]!CONDITION_LIST_37,'[1]Changes to the template'!$FQ1)&gt;0,FALSE,TRUE))),AND(AND(NOT('[1]Changes to the template'!$D1="")))),'[1]Changes to the template'!$B1&lt;&gt;"")),(AND(OR(AND(AND(IF(COUNTIF([1]!CONDITION_LIST_37,'[1]Changes to the template'!$FQ1)&gt;0,FALSE,TRUE))),AND(OR(NOT('[1]Changes to the template'!$D1&lt;&gt;"Parent")))),'[1]Changes to the template'!$B1&lt;&gt;"")),1=1)),1=1)</definedName>
    <definedName name="only_enfPTList0batterymarketplace_idATVPDKIKX0DER1.cell_composition1.value">AND(AND(AND((AND(OR(AND(AND(IF(COUNTIF([1]!CONDITION_LIST_35,'[1]Changes to the template'!$FP1)&gt;0,FALSE,TRUE)))),'[1]Changes to the template'!$B1&lt;&gt;"")),1=1)),1=1)</definedName>
    <definedName name="only_enfPTList0batterymarketplace_idATVPDKIKX0DER1.descriptionlanguage_tagen_US1.value">AND(AND(AND((AND(OR(AND(AND(NOT('[1]Changes to the template'!$E1&lt;&gt;""))),AND(OR(NOT('[1]Changes to the template'!$D1&lt;&gt;"Parent"))),AND(AND(IF(COUNTIF([1]!CONDITION_LIST_39,'[1]Changes to the template'!$F1)&gt;0,FALSE,TRUE)))),'[1]Changes to the template'!$B1&lt;&gt;"")),1=1)),1=1)</definedName>
    <definedName name="only_enfPTList0batterymarketplace_idATVPDKIKX0DER1.weight1.unit">AND(AND(AND((AND(OR(AND(AND(IF(COUNTIF([1]!CONDITION_LIST_8,'[1]Changes to the template'!$FQ1)&gt;0,FALSE,TRUE)))),'[1]Changes to the template'!$B1&lt;&gt;"")),1=1),AND((AND(OR(AND(AND(IF(COUNTIF([1]!for_maxfPTList0batterymarketplace_idATVPDKIKX0DER1.cell_composition_other_than_listedlanguage_tagen_US1.value,'[1]Changes to the template'!$FQ1)&gt;0,FALSE,TRUE)))),'[1]Changes to the template'!$B1&lt;&gt;"")),1=1)),1=1)</definedName>
    <definedName name="only_enfPTList0batterymarketplace_idATVPDKIKX0DER1.weight1.value">AND(AND(AND((AND(OR(AND(AND(IF(COUNTIF([1]!CONDITION_LIST_8,'[1]Changes to the template'!$FQ1)&gt;0,FALSE,TRUE)))),'[1]Changes to the template'!$B1&lt;&gt;"")),1=1),AND((AND(OR(AND(AND(IF(COUNTIF([1]!for_maxfPTList0batterymarketplace_idATVPDKIKX0DER1.cell_composition_other_than_listedlanguage_tagen_US1.value,'[1]Changes to the template'!$FQ1)&gt;0,FALSE,TRUE)))),'[1]Changes to the template'!$B1&lt;&gt;"")),1=1)),1=1)</definedName>
    <definedName name="only_enfPTList0brandmarketplace_idATVPDKIKX0DERlanguage_tagen_US1.value">AND(AND((0),(0),(0)),1=1)</definedName>
    <definedName name="only_enfPTList0bullet_pointmarketplace_idATVPDKIKX0DERlanguage_tagen_US1.value">AND(AND((0)),1=1)</definedName>
    <definedName name="only_enfPTList0bullet_pointmarketplace_idATVPDKIKX0DERlanguage_tagen_US2.value">AND(AND((0)),1=1)</definedName>
    <definedName name="only_enfPTList0bullet_pointmarketplace_idATVPDKIKX0DERlanguage_tagen_US3.value">AND(AND((0)),1=1)</definedName>
    <definedName name="only_enfPTList0bullet_pointmarketplace_idATVPDKIKX0DERlanguage_tagen_US4.value">AND(AND((0)),1=1)</definedName>
    <definedName name="only_enfPTList0bullet_pointmarketplace_idATVPDKIKX0DERlanguage_tagen_US5.value">AND(AND((0)),1=1)</definedName>
    <definedName name="only_enfPTList0colormarketplace_idATVPDKIKX0DERlanguage_tagen_US1.value">AND(AND(AND((AND(OR(AND(AND(NOT('[1]Changes to the template'!$E1&lt;&gt;""))),AND(OR(NOT('[1]Changes to the template'!$D1&lt;&gt;"Parent"))),AND(AND(IF(COUNTIF([1]!form_rgPTList0batterymarketplace_idATVPDKIKX0DER1.cell_composition1.value,'[1]Changes to the template'!$F1)&gt;0,FALSE,TRUE)))),'[1]Changes to the template'!$B1&lt;&gt;"")),1=1)),1=1)</definedName>
    <definedName name="only_enfPTList0compliance_age_rangemarketplace_idATVPDKIKX0DER1.value">AND(AND(AND((AND(OR(AND(AND(IF(COUNTIF([1]!CONDITION_LIST_35,'[1]Changes to the template'!$JN1)&gt;0,FALSE,TRUE))),AND(AND(NOT('[1]Changes to the template'!$D1="")))),'[1]Changes to the template'!$B1&lt;&gt;"")),(AND(OR(AND(AND(IF(COUNTIF([1]!CONDITION_LIST_35,'[1]Changes to the template'!$JN1)&gt;0,FALSE,TRUE))),AND(OR(NOT('[1]Changes to the template'!$D1&lt;&gt;"Parent")))),'[1]Changes to the template'!$B1&lt;&gt;"")),1=1)),1=1)</definedName>
    <definedName name="only_enfPTList0compliance_toy_typemarketplace_idATVPDKIKX0DER1.value">AND(AND(AND((AND(OR(AND(AND(IF(COUNTIF([1]!CONDITION_LIST_35,'[1]Changes to the template'!$JN1)&gt;0,FALSE,TRUE))),AND(AND(NOT('[1]Changes to the template'!$D1="")))),'[1]Changes to the template'!$B1&lt;&gt;"")),(AND(OR(AND(AND(IF(COUNTIF([1]!CONDITION_LIST_35,'[1]Changes to the template'!$JN1)&gt;0,FALSE,TRUE))),AND(OR(NOT('[1]Changes to the template'!$D1&lt;&gt;"Parent")))),'[1]Changes to the template'!$B1&lt;&gt;"")),1=1)),1=1)</definedName>
    <definedName name="only_enfPTList0condition_typemarketplace_idATVPDKIKX0DER1.value">AND(AND(AND((AND(OR(OR(OR(NOT('[1]Changes to the template'!$CP1&lt;&gt;"Yes"))),AND(AND(NOT('[1]Changes to the template'!$D1="")))),'[1]Changes to the template'!$B1&lt;&gt;"")),(AND(OR(OR(OR(NOT('[1]Changes to the template'!$CP1&lt;&gt;"Yes"))),AND(OR(NOT('[1]Changes to the template'!$D1&lt;&gt;"Parent")))),'[1]Changes to the template'!$B1&lt;&gt;"")),1=1)),1=1)</definedName>
    <definedName name="only_enfPTList0contains_battery_or_cellmarketplace_idATVPDKIKX0DER1.value">AND(AND(AND((AND(OR(AND(AND(IF(COUNTIF([1]!for_maxfPTList0compliance_toy_materialmarketplace_idATVPDKIKX0DER1.value,'[1]Changes to the template'!$FQ1)&gt;0,FALSE,TRUE))),AND(AND(NOT('[1]Changes to the template'!$D1="")))),'[1]Changes to the template'!$B1&lt;&gt;"")),(AND(OR(AND(AND(IF(COUNTIF([1]!for_maxfPTList0compliance_toy_materialmarketplace_idATVPDKIKX0DER1.value,'[1]Changes to the template'!$FQ1)&gt;0,FALSE,TRUE))),AND(OR(NOT('[1]Changes to the template'!$D1&lt;&gt;"Parent")))),'[1]Changes to the template'!$B1&lt;&gt;"")),1=1)),1=1)</definedName>
    <definedName name="only_enfPTList0contribution_sku1.value">AND(AND((0)),1=1)</definedName>
    <definedName name="only_enfPTList0country_of_originmarketplace_idATVPDKIKX0DER1.value">AND(AND((0)),1=1)</definedName>
    <definedName name="only_enfPTList0cpsia_cautionary_statementmarketplace_idATVPDKIKX0DER1.value">AND(AND(AND((AND(OR(OR(AND(NOT('[1]Changes to the template'!$D1="")))),'[1]Changes to the template'!$B1&lt;&gt;"")),(AND(OR(OR(OR(NOT('[1]Changes to the template'!$D1&lt;&gt;"Parent")))),'[1]Changes to the template'!$B1&lt;&gt;"")),1=1)),1=1)</definedName>
    <definedName name="only_enfPTList0cpsia_cautionary_statementmarketplace_idATVPDKIKX0DER2.value">AND(AND(AND((AND(OR(OR(AND(NOT('[1]Changes to the template'!$D1="")))),'[1]Changes to the template'!$B1&lt;&gt;"")),(AND(OR(OR(OR(NOT('[1]Changes to the template'!$D1&lt;&gt;"Parent")))),'[1]Changes to the template'!$B1&lt;&gt;"")),1=1)),1=1)</definedName>
    <definedName name="only_enfPTList0cpsia_cautionary_statementmarketplace_idATVPDKIKX0DER3.value">AND(AND(AND((AND(OR(OR(AND(NOT('[1]Changes to the template'!$D1="")))),'[1]Changes to the template'!$B1&lt;&gt;"")),(AND(OR(OR(OR(NOT('[1]Changes to the template'!$D1&lt;&gt;"Parent")))),'[1]Changes to the template'!$B1&lt;&gt;"")),1=1)),1=1)</definedName>
    <definedName name="only_enfPTList0cpsia_cautionary_statementmarketplace_idATVPDKIKX0DER4.value">AND(AND(AND((AND(OR(OR(AND(NOT('[1]Changes to the template'!$D1="")))),'[1]Changes to the template'!$B1&lt;&gt;"")),(AND(OR(OR(OR(NOT('[1]Changes to the template'!$D1&lt;&gt;"Parent")))),'[1]Changes to the template'!$B1&lt;&gt;"")),1=1)),1=1)</definedName>
    <definedName name="only_enfPTList0cpsia_cautionary_statementmarketplace_idATVPDKIKX0DER5.value">AND(AND(AND((AND(OR(OR(AND(NOT('[1]Changes to the template'!$D1="")))),'[1]Changes to the template'!$B1&lt;&gt;"")),(AND(OR(OR(OR(NOT('[1]Changes to the template'!$D1&lt;&gt;"Parent")))),'[1]Changes to the template'!$B1&lt;&gt;"")),1=1)),1=1)</definedName>
    <definedName name="only_enfPTList0drive_systemmarketplace_idATVPDKIKX0DERlanguage_tagen_US1.value">AND(AND(AND((AND(OR(AND(AND(NOT('[1]Changes to the template'!$E1&lt;&gt;""))),AND(OR(NOT('[1]Changes to the template'!$D1&lt;&gt;"Parent"))),AND(AND(IF(COUNTIF([1]!form_rgPTList0bullet_pointmarketplace_idATVPDKIKX0DERlanguage_tagen_US3.value,'[1]Changes to the template'!$F1)&gt;0,FALSE,TRUE)))),'[1]Changes to the template'!$B1&lt;&gt;"")),1=1)),1=1)</definedName>
    <definedName name="only_enfPTList0fulfillment_availability1.fulfillment_channel_code">AND(AND(AND((AND(OR(OR(OR(NOT('[1]Changes to the template'!$CP1&lt;&gt;"Yes"))),AND(OR(NOT('[1]Changes to the template'!$D1&lt;&gt;"Parent")))),'[1]Changes to the template'!$B1&lt;&gt;"")),1=1)),1=1)</definedName>
    <definedName name="only_enfPTList0fulfillment_availability1.lead_time_to_ship_max_days">AND(AND(AND((AND(OR(OR(OR(NOT('[1]Changes to the template'!$CP1&lt;&gt;"Yes"))),AND(OR(NOT('[1]Changes to the template'!$D1&lt;&gt;"Parent")))),'[1]Changes to the template'!$B1&lt;&gt;"")),1=1)),1=1)</definedName>
    <definedName name="only_enfPTList0fulfillment_availability1.restock_date">AND(AND(AND((AND(OR(OR(OR(NOT('[1]Changes to the template'!$CP1&lt;&gt;"Yes"))),AND(OR(NOT('[1]Changes to the template'!$D1&lt;&gt;"Parent")))),'[1]Changes to the template'!$B1&lt;&gt;"")),1=1)),1=1)</definedName>
    <definedName name="only_enfPTList0generic_keywordmarketplace_idATVPDKIKX0DERlanguage_tagen_US1.value">AND(AND(AND((AND(OR(OR(AND(NOT('[1]Changes to the template'!$D1="")))),'[1]Changes to the template'!$B1&lt;&gt;"")),(AND(OR(OR(OR(NOT('[1]Changes to the template'!$D1&lt;&gt;"Parent")))),'[1]Changes to the template'!$B1&lt;&gt;"")),1=1)),1=1)</definedName>
    <definedName name="only_enfPTList0ghsmarketplace_idATVPDKIKX0DER1.classification1.class">AND(AND(AND((AND(OR(AND(AND(IF(COUNTIF([1]!for_maxfPTList0fulfillment_availability1.quantity,'[1]Changes to the template'!$GN1)&gt;0,FALSE,TRUE)))),'[1]Changes to the template'!$B1&lt;&gt;"")),1=1)),1=1)</definedName>
    <definedName name="only_enfPTList0ghsmarketplace_idATVPDKIKX0DER1.classification2.class">AND(AND(AND((AND(OR(AND(AND(IF(COUNTIF([1]!for_maxfPTList0fulfillment_availability1.quantity,'[1]Changes to the template'!$GN1)&gt;0,FALSE,TRUE)))),'[1]Changes to the template'!$B1&lt;&gt;"")),1=1)),1=1)</definedName>
    <definedName name="only_enfPTList0ghsmarketplace_idATVPDKIKX0DER1.classification3.class">AND(AND(AND((AND(OR(AND(AND(IF(COUNTIF([1]!for_maxfPTList0fulfillment_availability1.quantity,'[1]Changes to the template'!$GN1)&gt;0,FALSE,TRUE)))),'[1]Changes to the template'!$B1&lt;&gt;"")),1=1)),1=1)</definedName>
    <definedName name="only_enfPTList0ghsmarketplace_idATVPDKIKX0DER1.classification4.class">AND(AND(AND((AND(OR(AND(AND(IF(COUNTIF([1]!for_maxfPTList0fulfillment_availability1.quantity,'[1]Changes to the template'!$GN1)&gt;0,FALSE,TRUE)))),'[1]Changes to the template'!$B1&lt;&gt;"")),1=1)),1=1)</definedName>
    <definedName name="only_enfPTList0ghsmarketplace_idATVPDKIKX0DER1.classification5.class">AND(AND(AND((AND(OR(AND(AND(IF(COUNTIF([1]!for_maxfPTList0fulfillment_availability1.quantity,'[1]Changes to the template'!$GN1)&gt;0,FALSE,TRUE)))),'[1]Changes to the template'!$B1&lt;&gt;"")),1=1)),1=1)</definedName>
    <definedName name="only_enfPTList0government_contract_informationmarketplace_idATVPDKIKX0DER1.name">AND(AND(AND((AND(OR(OR(AND(NOT('[1]Changes to the template'!$CM1&lt;&gt;""))),AND(AND(NOT('[1]Changes to the template'!$D1="")))),'[1]Changes to the template'!$B1&lt;&gt;"")),(AND(OR(OR(AND(NOT('[1]Changes to the template'!$CM1&lt;&gt;""))),AND(OR(NOT('[1]Changes to the template'!$D1&lt;&gt;"Parent")))),'[1]Changes to the template'!$B1&lt;&gt;"")),(AND(OR(OR(AND(NOT('[1]Changes to the template'!$CN1&lt;&gt;""))),AND(AND(NOT('[1]Changes to the template'!$D1="")))),'[1]Changes to the template'!$B1&lt;&gt;"")),(AND(OR(OR(AND(NOT('[1]Changes to the template'!$CN1&lt;&gt;""))),AND(OR(NOT('[1]Changes to the template'!$D1&lt;&gt;"Parent")))),'[1]Changes to the template'!$B1&lt;&gt;"")),1=1)),1=1)</definedName>
    <definedName name="only_enfPTList0government_contract_informationmarketplace_idATVPDKIKX0DER1.number">AND(AND(AND((AND(OR(OR(AND(NOT('[1]Changes to the template'!$CM1&lt;&gt;""))),AND(AND(NOT('[1]Changes to the template'!$D1="")))),'[1]Changes to the template'!$B1&lt;&gt;"")),(AND(OR(OR(AND(NOT('[1]Changes to the template'!$CM1&lt;&gt;""))),AND(OR(NOT('[1]Changes to the template'!$D1&lt;&gt;"Parent")))),'[1]Changes to the template'!$B1&lt;&gt;"")),(AND(OR(OR(AND(NOT('[1]Changes to the template'!$CN1&lt;&gt;""))),AND(AND(NOT('[1]Changes to the template'!$D1="")))),'[1]Changes to the template'!$B1&lt;&gt;"")),(AND(OR(OR(AND(NOT('[1]Changes to the template'!$CN1&lt;&gt;""))),AND(OR(NOT('[1]Changes to the template'!$D1&lt;&gt;"Parent")))),'[1]Changes to the template'!$B1&lt;&gt;"")),1=1)),1=1)</definedName>
    <definedName name="only_enfPTList0has_less_than_30_percent_state_of_chargemarketplace_idATVPDKIKX0DER1.value">AND(AND(AND((AND(OR(AND(AND(IF(COUNTIF([1]!form_rgPTList0baa_taa_compliance_acknowledgementmarketplace_idATVPDKIKX0DER1.value,'[1]Changes to the template'!$FQ1)&gt;0,FALSE,TRUE))),AND(AND(IF(COUNTIF([1]!form_rgPTList0batteries_requiredmarketplace_idATVPDKIKX0DER1.value,'[1]Changes to the template'!$GK1)&gt;0,FALSE,TRUE))),AND(AND(NOT('[1]Changes to the template'!$D1="")))),'[1]Changes to the template'!$B1&lt;&gt;"")),(AND(OR(AND(AND(IF(COUNTIF([1]!form_rgPTList0baa_taa_compliance_acknowledgementmarketplace_idATVPDKIKX0DER1.value,'[1]Changes to the template'!$FQ1)&gt;0,FALSE,TRUE))),AND(AND(IF(COUNTIF([1]!form_rgPTList0batteries_requiredmarketplace_idATVPDKIKX0DER1.value,'[1]Changes to the template'!$GK1)&gt;0,FALSE,TRUE))),AND(OR(NOT('[1]Changes to the template'!$D1&lt;&gt;"Parent")))),'[1]Changes to the template'!$B1&lt;&gt;"")),1=1)),1=1)</definedName>
    <definedName name="only_enfPTList0has_multiple_battery_powered_componentsmarketplace_idATVPDKIKX0DER1.value">AND(AND(AND((AND(OR(AND(AND(IF(COUNTIF([1]!CONDITION_LIST_35,'[1]Changes to the template'!$FP1)&gt;0,FALSE,TRUE))),AND(AND(NOT('[1]Changes to the template'!$D1="")))),'[1]Changes to the template'!$B1&lt;&gt;"")),(AND(OR(AND(AND(IF(COUNTIF([1]!CONDITION_LIST_35,'[1]Changes to the template'!$FP1)&gt;0,FALSE,TRUE))),AND(OR(NOT('[1]Changes to the template'!$D1&lt;&gt;"Parent")))),'[1]Changes to the template'!$B1&lt;&gt;"")),1=1)),1=1)</definedName>
    <definedName name="only_enfPTList0hazmatmarketplace_idATVPDKIKX0DER1.aspect">AND(AND(AND((AND(OR(AND(AND(IF(COUNTIF([1]!for_minPTList0california_proposition_65marketplace_idATVPDKIKX0DER1.chemical_names1,'[1]Changes to the template'!$GN1)&gt;0,FALSE,TRUE)))),'[1]Changes to the template'!$B1&lt;&gt;"")),1=1)),1=1)</definedName>
    <definedName name="only_enfPTList0hazmatmarketplace_idATVPDKIKX0DER1.value">AND(AND(AND((AND(OR(AND(AND(IF(COUNTIF([1]!for_minPTList0california_proposition_65marketplace_idATVPDKIKX0DER1.chemical_names1,'[1]Changes to the template'!$GN1)&gt;0,FALSE,TRUE)))),'[1]Changes to the template'!$B1&lt;&gt;"")),1=1)),1=1)</definedName>
    <definedName name="only_enfPTList0included_componentsmarketplace_idATVPDKIKX0DERlanguage_tagen_US1.value">AND(AND(AND((AND(OR(OR(AND(NOT('[1]Changes to the template'!$D1="")))),'[1]Changes to the template'!$B1&lt;&gt;"")),(AND(OR(OR(OR(NOT('[1]Changes to the template'!$D1&lt;&gt;"Parent")))),'[1]Changes to the template'!$B1&lt;&gt;"")),1=1)),1=1)</definedName>
    <definedName name="only_enfPTList0included_componentsmarketplace_idATVPDKIKX0DERlanguage_tagen_US2.value">AND(AND(AND((AND(OR(OR(AND(NOT('[1]Changes to the template'!$D1="")))),'[1]Changes to the template'!$B1&lt;&gt;"")),(AND(OR(OR(OR(NOT('[1]Changes to the template'!$D1&lt;&gt;"Parent")))),'[1]Changes to the template'!$B1&lt;&gt;"")),1=1)),1=1)</definedName>
    <definedName name="only_enfPTList0included_componentsmarketplace_idATVPDKIKX0DERlanguage_tagen_US3.value">AND(AND(AND((AND(OR(OR(AND(NOT('[1]Changes to the template'!$D1="")))),'[1]Changes to the template'!$B1&lt;&gt;"")),(AND(OR(OR(OR(NOT('[1]Changes to the template'!$D1&lt;&gt;"Parent")))),'[1]Changes to the template'!$B1&lt;&gt;"")),1=1)),1=1)</definedName>
    <definedName name="only_enfPTList0included_componentsmarketplace_idATVPDKIKX0DERlanguage_tagen_US4.value">AND(AND(AND((AND(OR(OR(AND(NOT('[1]Changes to the template'!$D1="")))),'[1]Changes to the template'!$B1&lt;&gt;"")),(AND(OR(OR(OR(NOT('[1]Changes to the template'!$D1&lt;&gt;"Parent")))),'[1]Changes to the template'!$B1&lt;&gt;"")),1=1)),1=1)</definedName>
    <definedName name="only_enfPTList0included_componentsmarketplace_idATVPDKIKX0DERlanguage_tagen_US5.value">AND(AND(AND((AND(OR(OR(AND(NOT('[1]Changes to the template'!$D1="")))),'[1]Changes to the template'!$B1&lt;&gt;"")),(AND(OR(OR(OR(NOT('[1]Changes to the template'!$D1&lt;&gt;"Parent")))),'[1]Changes to the template'!$B1&lt;&gt;"")),1=1)),1=1)</definedName>
    <definedName name="only_enfPTList0is_battery_non_spillablemarketplace_idATVPDKIKX0DER1.value">AND(AND(AND((AND(OR(AND(AND(IF(COUNTIF([1]!for_minPTList0pesticide_markingmarketplace_idATVPDKIKX0DER3.registration_status,'[1]Changes to the template'!$FQ1)&gt;0,FALSE,TRUE))),AND(AND(NOT('[1]Changes to the template'!$D1="")))),'[1]Changes to the template'!$B1&lt;&gt;"")),(AND(OR(AND(AND(IF(COUNTIF([1]!for_minPTList0pesticide_markingmarketplace_idATVPDKIKX0DER3.registration_status,'[1]Changes to the template'!$FQ1)&gt;0,FALSE,TRUE))),AND(OR(NOT('[1]Changes to the template'!$D1&lt;&gt;"Parent")))),'[1]Changes to the template'!$B1&lt;&gt;"")),1=1)),1=1)</definedName>
    <definedName name="only_enfPTList0item_dimensionsmarketplace_idATVPDKIKX0DER1.height.unit">AND(AND(AND((AND(OR(OR(AND(NOT('[1]Changes to the template'!$D1="")))),'[1]Changes to the template'!$B1&lt;&gt;"")),(AND(OR(OR(OR(NOT('[1]Changes to the template'!$D1&lt;&gt;"Parent")))),'[1]Changes to the template'!$B1&lt;&gt;"")),1=1)),1=1)</definedName>
    <definedName name="only_enfPTList0item_dimensionsmarketplace_idATVPDKIKX0DER1.height.value">AND(AND(AND((AND(OR(OR(AND(NOT('[1]Changes to the template'!$D1="")))),'[1]Changes to the template'!$B1&lt;&gt;"")),(AND(OR(OR(OR(NOT('[1]Changes to the template'!$D1&lt;&gt;"Parent")))),'[1]Changes to the template'!$B1&lt;&gt;"")),1=1)),1=1)</definedName>
    <definedName name="only_enfPTList0item_dimensionsmarketplace_idATVPDKIKX0DER1.length.unit">AND(AND(AND((AND(OR(OR(AND(NOT('[1]Changes to the template'!$D1="")))),'[1]Changes to the template'!$B1&lt;&gt;"")),(AND(OR(OR(OR(NOT('[1]Changes to the template'!$D1&lt;&gt;"Parent")))),'[1]Changes to the template'!$B1&lt;&gt;"")),1=1)),1=1)</definedName>
    <definedName name="only_enfPTList0item_dimensionsmarketplace_idATVPDKIKX0DER1.length.value">AND(AND(AND((AND(OR(OR(AND(NOT('[1]Changes to the template'!$D1="")))),'[1]Changes to the template'!$B1&lt;&gt;"")),(AND(OR(OR(OR(NOT('[1]Changes to the template'!$D1&lt;&gt;"Parent")))),'[1]Changes to the template'!$B1&lt;&gt;"")),1=1)),1=1)</definedName>
    <definedName name="only_enfPTList0item_dimensionsmarketplace_idATVPDKIKX0DER1.width.unit">AND(AND(AND((AND(OR(OR(AND(NOT('[1]Changes to the template'!$D1="")))),'[1]Changes to the template'!$B1&lt;&gt;"")),(AND(OR(OR(OR(NOT('[1]Changes to the template'!$D1&lt;&gt;"Parent")))),'[1]Changes to the template'!$B1&lt;&gt;"")),1=1)),1=1)</definedName>
    <definedName name="only_enfPTList0item_dimensionsmarketplace_idATVPDKIKX0DER1.width.value">AND(AND(AND((AND(OR(OR(AND(NOT('[1]Changes to the template'!$D1="")))),'[1]Changes to the template'!$B1&lt;&gt;"")),(AND(OR(OR(OR(NOT('[1]Changes to the template'!$D1&lt;&gt;"Parent")))),'[1]Changes to the template'!$B1&lt;&gt;"")),1=1)),1=1)</definedName>
    <definedName name="only_enfPTList0item_namemarketplace_idATVPDKIKX0DERlanguage_tagen_US1.value">AND(AND((0),(0)),1=1)</definedName>
    <definedName name="only_enfPTList0item_package_dimensionsmarketplace_idATVPDKIKX0DER1.height.unit">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template'!$B1&lt;&gt;"")),1=1)),1=1)</definedName>
    <definedName name="only_enfPTList0item_package_dimensionsmarketplace_idATVPDKIKX0DER1.height.value">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template'!$B1&lt;&gt;"")),1=1)),1=1)</definedName>
    <definedName name="only_enfPTList0item_package_dimensionsmarketplace_idATVPDKIKX0DER1.length.unit">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template'!$B1&lt;&gt;"")),1=1)),1=1)</definedName>
    <definedName name="only_enfPTList0item_package_dimensionsmarketplace_idATVPDKIKX0DER1.length.value">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template'!$B1&lt;&gt;"")),1=1)),1=1)</definedName>
    <definedName name="only_enfPTList0item_package_dimensionsmarketplace_idATVPDKIKX0DER1.width.unit">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template'!$B1&lt;&gt;"")),1=1)),1=1)</definedName>
    <definedName name="only_enfPTList0item_package_dimensionsmarketplace_idATVPDKIKX0DER1.width.value">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template'!$B1&lt;&gt;"")),1=1)),1=1)</definedName>
    <definedName name="only_enfPTList0item_package_weightmarketplace_idATVPDKIKX0DER1.unit">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template'!$B1&lt;&gt;"")),1=1)),1=1)</definedName>
    <definedName name="only_enfPTList0item_package_weightmarketplace_idATVPDKIKX0DER1.value">AND(AND(AND((AND(OR(AND(AND(IF(COUNTIF([1]!CONDITION_LIST_33,'[1]Changes to the template'!$DP1)&gt;0,FALSE,TRUE))),AND(AND(NOT('[1]Changes to the template'!$D1="")))),'[1]Changes to the template'!$B1&lt;&gt;"")),(AND(OR(AND(AND(IF(COUNTIF([1]!CONDITION_LIST_33,'[1]Changes to the template'!$DP1)&gt;0,FALSE,TRUE))),AND(OR(NOT('[1]Changes to the template'!$D1&lt;&gt;"Parent")))),'[1]Changes to the template'!$B1&lt;&gt;"")),(AND(OR(OR(AND(NOT('[1]Changes to the template'!$DP1=""))),AND(AND(NOT('[1]Changes to the template'!$D1="")))),'[1]Changes to the template'!$B1&lt;&gt;"")),(AND(OR(OR(AND(NOT('[1]Changes to the template'!$DP1=""))),AND(OR(NOT('[1]Changes to the template'!$D1&lt;&gt;"Parent")))),'[1]Changes to the template'!$B1&lt;&gt;"")),1=1)),1=1)</definedName>
    <definedName name="only_enfPTList0item_type_keywordmarketplace_idATVPDKIKX0DER1.value">AND(AND((0)),1=1)</definedName>
    <definedName name="only_enfPTList0list_pricemarketplace_idATVPDKIKX0DER1.value">AND(AND(AND((AND(OR(OR(OR(NOT('[1]Changes to the template'!$CP1&lt;&gt;"Yes"))),AND(OR(NOT('[1]Changes to the template'!$D1&lt;&gt;"Parent"))),AND(AND(NOT('[1]Changes to the template'!$D1="")))),'[1]Changes to the template'!$B1&lt;&gt;"")),(AND(OR(OR(OR(NOT('[1]Changes to the template'!$CP1&lt;&gt;"Yes"))),AND(OR(NOT('[1]Changes to the template'!$D1&lt;&gt;"Parent"))),AND(OR(NOT('[1]Changes to the template'!$D1&lt;&gt;"Parent")))),'[1]Changes to the template'!$B1&lt;&gt;"")),1=1)),1=1)</definedName>
    <definedName name="only_enfPTList0lithium_batterymarketplace_idATVPDKIKX0DER1.energy_content1.unit">AND(AND(AND((AND(OR(AND(AND(IF(COUNTIF([1]!for_maxfPTList0child_parent_sku_relationshipmarketplace_idATVPDKIKX0DER1.parent_sku,'[1]Changes to the template'!$FQ1)&gt;0,FALSE,TRUE)))),'[1]Changes to the template'!$B1&lt;&gt;"")),1=1),AND((AND(OR(AND(AND(IF(COUNTIF([1]!for_maxfPTList0compliance_toy_materialmarketplace_idATVPDKIKX0DER1.value,'[1]Changes to the template'!$FQ1)&gt;0,FALSE,TRUE)))),'[1]Changes to the template'!$B1&lt;&gt;"")),1=1)),1=1)</definedName>
    <definedName name="only_enfPTList0lithium_batterymarketplace_idATVPDKIKX0DER1.energy_content1.value">AND(AND(AND((AND(OR(AND(AND(IF(COUNTIF([1]!for_maxfPTList0child_parent_sku_relationshipmarketplace_idATVPDKIKX0DER1.parent_sku,'[1]Changes to the template'!$FQ1)&gt;0,FALSE,TRUE)))),'[1]Changes to the template'!$B1&lt;&gt;"")),1=1),AND((AND(OR(AND(AND(IF(COUNTIF([1]!for_maxfPTList0compliance_toy_materialmarketplace_idATVPDKIKX0DER1.value,'[1]Changes to the template'!$FQ1)&gt;0,FALSE,TRUE)))),'[1]Changes to the template'!$B1&lt;&gt;"")),1=1)),1=1)</definedName>
    <definedName name="only_enfPTList0lithium_batterymarketplace_idATVPDKIKX0DER1.packaging1.value">AND(AND(AND((AND(OR(AND(AND(IF(COUNTIF([1]!CONDITION_LIST_8,'[1]Changes to the template'!$FQ1)&gt;0,FALSE,TRUE)))),'[1]Changes to the template'!$B1&lt;&gt;"")),1=1),AND((AND(OR(AND(AND(IF(COUNTIF([1]!for_maxfPTList0fulfillment_availability1.is_inventory_available,'[1]Changes to the template'!$FQ1)&gt;0,FALSE,TRUE)))),'[1]Changes to the template'!$B1&lt;&gt;"")),1=1)),1=1)</definedName>
    <definedName name="only_enfPTList0lithium_batterymarketplace_idATVPDKIKX0DER1.weight1.unit">AND(AND(AND((AND(OR(AND(AND(IF(COUNTIF([1]!for_maxfPTList0california_proposition_65marketplace_idATVPDKIKX0DER1.chemical_names2,'[1]Changes to the template'!$FQ1)&gt;0,FALSE,TRUE)))),'[1]Changes to the template'!$B1&lt;&gt;"")),1=1)),1=1)</definedName>
    <definedName name="only_enfPTList0lithium_batterymarketplace_idATVPDKIKX0DER1.weight1.value">AND(AND(AND((AND(OR(AND(AND(IF(COUNTIF([1]!for_maxfPTList0california_proposition_65marketplace_idATVPDKIKX0DER1.chemical_names2,'[1]Changes to the template'!$FQ1)&gt;0,FALSE,TRUE)))),'[1]Changes to the template'!$B1&lt;&gt;"")),1=1)),1=1)</definedName>
    <definedName name="only_enfPTList0manufacturer_minimum_agemarketplace_idATVPDKIKX0DER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manufacturermarketplace_idATVPDKIKX0DERlanguage_tagen_US1.value">AND(AND(AND((AND(OR(OR(AND(NOT('[1]Changes to the template'!$D1="")))),'[1]Changes to the template'!$B1&lt;&gt;"")),(AND(OR(OR(OR(NOT('[1]Changes to the template'!$D1&lt;&gt;"Parent")))),'[1]Changes to the template'!$B1&lt;&gt;"")),1=1)),1=1)</definedName>
    <definedName name="only_enfPTList0material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materialmarketplace_idATVPDKIKX0DERlanguage_tagen_US2.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materialmarketplace_idATVPDKIKX0DERlanguage_tagen_US3.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materialmarketplace_idATVPDKIKX0DERlanguage_tagen_US4.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materialmarketplace_idATVPDKIKX0DERlanguage_tagen_US5.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merchant_shipping_groupmarketplace_idATVPDKIKX0DER1.value">AND(AND(AND((AND(OR(AND(OR(NOT('[1]Changes to the template'!$CP1&lt;&gt;"Yes"))),AND(AND(IF(COUNTIF([1]!CONDITION_LIST_31,'[1]Changes to the template'!$DP1)&gt;0,FALSE,TRUE))),AND(AND(NOT('[1]Changes to the template'!$D1="")))),'[1]Changes to the template'!$B1&lt;&gt;"")),(AND(OR(AND(OR(NOT('[1]Changes to the template'!$CP1&lt;&gt;"Yes"))),AND(AND(IF(COUNTIF([1]!CONDITION_LIST_31,'[1]Changes to the template'!$DP1)&gt;0,FALSE,TRUE))),AND(OR(NOT('[1]Changes to the template'!$D1&lt;&gt;"Parent")))),'[1]Changes to the template'!$B1&lt;&gt;"")),1=1)),1=1)</definedName>
    <definedName name="only_enfPTList0model_namemarketplace_idATVPDKIKX0DERlanguage_tagen_US1.value">AND(AND(AND((AND(OR(OR(AND(NOT('[1]Changes to the template'!$D1="")))),'[1]Changes to the template'!$B1&lt;&gt;"")),(AND(OR(OR(OR(NOT('[1]Changes to the template'!$D1&lt;&gt;"Parent")))),'[1]Changes to the template'!$B1&lt;&gt;"")),1=1)),1=1)</definedName>
    <definedName name="only_enfPTList0model_variantmarketplace_idATVPDKIKX0DERlanguage_tagen_US1.value">AND(AND(AND((AND(OR(AND(AND(NOT('[1]Changes to the template'!$E1&lt;&gt;""))),AND(OR(NOT('[1]Changes to the template'!$D1&lt;&gt;"Parent"))),AND(AND(IF(COUNTIF([1]!CONDITION_LIST_28,'[1]Changes to the template'!$F1)&gt;0,FALSE,TRUE)))),'[1]Changes to the template'!$B1&lt;&gt;"")),1=1)),1=1)</definedName>
    <definedName name="only_enfPTList0non_lithium_battery_packagingmarketplace_idATVPDKIKX0DER1.value">AND(AND(AND((AND(OR(AND(AND(IF(COUNTIF([1]!form_rgPTList0amzn1.volt.ca.product_id_type,'[1]Changes to the template'!$FQ1)&gt;0,FALSE,TRUE))),AND(AND(NOT('[1]Changes to the template'!$D1="")))),'[1]Changes to the template'!$B1&lt;&gt;"")),(AND(OR(AND(AND(IF(COUNTIF([1]!form_rgPTList0amzn1.volt.ca.product_id_type,'[1]Changes to the template'!$FQ1)&gt;0,FALSE,TRUE))),AND(OR(NOT('[1]Changes to the template'!$D1&lt;&gt;"Parent")))),'[1]Changes to the template'!$B1&lt;&gt;"")),1=1)),1=1)</definedName>
    <definedName name="only_enfPTList0num_batteriesmarketplace_idATVPDKIKX0DER1.quantity">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1.type">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2.quantity">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2.type">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3.quantity">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3.type">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4.quantity">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4.type">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5.quantity">AND(AND(AND((AND(OR(AND(AND(IF(COUNTIF([1]!CONDITION_LIST_8,'[1]Changes to the template'!$FQ1)&gt;0,FALSE,TRUE)))),'[1]Changes to the template'!$B1&lt;&gt;"")),1=1),AND((AND(OR(AND(AND(IF(COUNTIF([1]!CONDITION_LIST_35,'[1]Changes to the template'!$FP1)&gt;0,FALSE,TRUE)))),'[1]Changes to the template'!$B1&lt;&gt;"")),1=1)),1=1)</definedName>
    <definedName name="only_enfPTList0num_batteriesmarketplace_idATVPDKIKX0DER5.type">AND(AND(AND((AND(OR(AND(AND(IF(COUNTIF([1]!CONDITION_LIST_8,'[1]Changes to the template'!$FQ1)&gt;0,FALSE,TRUE)))),'[1]Changes to the template'!$B1&lt;&gt;"")),1=1),AND((AND(OR(AND(AND(IF(COUNTIF([1]!CONDITION_LIST_35,'[1]Changes to the template'!$FP1)&gt;0,FALSE,TRUE)))),'[1]Changes to the template'!$B1&lt;&gt;"")),1=1)),1=1)</definedName>
    <definedName name="only_enfPTList0number_of_itemsmarketplace_idATVPDKIKX0DER1.value">AND(AND(AND((AND(OR(OR(AND(NOT('[1]Changes to the template'!$D1="")))),'[1]Changes to the template'!$B1&lt;&gt;"")),(AND(OR(OR(OR(NOT('[1]Changes to the template'!$D1&lt;&gt;"Parent")))),'[1]Changes to the template'!$B1&lt;&gt;"")),1=1),AND((AND(OR(AND(AND(NOT('[1]Changes to the template'!$E1&lt;&gt;""))),AND(OR(NOT('[1]Changes to the template'!$D1&lt;&gt;"Parent"))),AND(AND(IF(COUNTIF([1]!CONDITION_LIST_6,'[1]Changes to the template'!$F1)&gt;0,FALSE,TRUE)))),'[1]Changes to the template'!$B1&lt;&gt;"")),1=1)),1=1)</definedName>
    <definedName name="only_enfPTList0number_of_lithium_ion_cellsmarketplace_idATVPDKIKX0DER1.value">AND(AND(AND((AND(OR(AND(AND(IF(COUNTIF([1]!for_maxfPTList0child_parent_sku_relationshipmarketplace_idATVPDKIKX0DER1.parent_sku,'[1]Changes to the template'!$FQ1)&gt;0,FALSE,TRUE)))),'[1]Changes to the template'!$B1&lt;&gt;"")),1=1),AND((AND(OR(AND(AND(IF(COUNTIF([1]!for_maxfPTList0compliance_operation_modemarketplace_idATVPDKIKX0DER1.value,'[1]Changes to the template'!$FQ1)&gt;0,FALSE,TRUE)))),'[1]Changes to the template'!$B1&lt;&gt;"")),1=1)),1=1)</definedName>
    <definedName name="only_enfPTList0number_of_lithium_metal_cellsmarketplace_idATVPDKIKX0DER1.value">AND(AND(AND((AND(OR(AND(AND(IF(COUNTIF([1]!for_maxfPTList0california_proposition_65marketplace_idATVPDKIKX0DER1.chemical_names2,'[1]Changes to the template'!$FQ1)&gt;0,FALSE,TRUE)))),'[1]Changes to the template'!$B1&lt;&gt;"")),1=1),AND((AND(OR(AND(AND(IF(COUNTIF([1]!for_maxfPTList0california_proposition_65marketplace_idATVPDKIKX0DER1.chemical_names4,'[1]Changes to the template'!$FQ1)&gt;0,FALSE,TRUE)))),'[1]Changes to the template'!$B1&lt;&gt;"")),1=1)),1=1)</definedName>
    <definedName name="only_enfPTList0operation_modemarketplace_idATVPDKIKX0DERlanguage_tagen_US1.value">AND(AND(AND((AND(OR(AND(AND(NOT('[1]Changes to the template'!$E1&lt;&gt;""))),AND(OR(NOT('[1]Changes to the template'!$D1&lt;&gt;"Parent"))),AND(AND(IF(COUNTIF([1]!form_rgPTList0colormarketplace_idATVPDKIKX0DERlanguage_tagen_US1.value,'[1]Changes to the template'!$F1)&gt;0,FALSE,TRUE)))),'[1]Changes to the template'!$B1&lt;&gt;"")),1=1)),1=1)</definedName>
    <definedName name="only_enfPTList0orientationmarketplace_idATVPDKIKX0DERlanguage_tagen_US1.value">AND(AND(AND((AND(OR(AND(AND(NOT('[1]Changes to the template'!$E1&lt;&gt;""))),AND(OR(NOT('[1]Changes to the template'!$D1&lt;&gt;"Parent"))),AND(AND(IF(COUNTIF([1]!form_rgPTList0bullet_pointmarketplace_idATVPDKIKX0DERlanguage_tagen_US5.value,'[1]Changes to the template'!$F1)&gt;0,FALSE,TRUE)))),'[1]Changes to the template'!$B1&lt;&gt;"")),1=1)),1=1)</definedName>
    <definedName name="only_enfPTList0package_contains_skumarketplace_idATVPDKIKX0DER1.quantity">AND(AND(AND((AND(OR(AND(AND(IF(COUNTIF([1]!CONDITION_LIST_22,'[1]Changes to the template'!$L1)&gt;0,FALSE,TRUE))),AND(AND(NOT('[1]Changes to the template'!$D1="")))),'[1]Changes to the template'!$B1&lt;&gt;"")),(AND(OR(AND(AND(IF(COUNTIF([1]!CONDITION_LIST_22,'[1]Changes to the template'!$L1)&gt;0,FALSE,TRUE))),AND(OR(NOT('[1]Changes to the template'!$D1&lt;&gt;"Parent")))),'[1]Changes to the template'!$B1&lt;&gt;"")),1=1)),1=1)</definedName>
    <definedName name="only_enfPTList0package_contains_skumarketplace_idATVPDKIKX0DER1.sku">AND(AND(AND((AND(OR(AND(AND(IF(COUNTIF([1]!CONDITION_LIST_22,'[1]Changes to the template'!$L1)&gt;0,FALSE,TRUE))),AND(AND(NOT('[1]Changes to the template'!$D1="")))),'[1]Changes to the template'!$B1&lt;&gt;"")),(AND(OR(AND(AND(IF(COUNTIF([1]!CONDITION_LIST_22,'[1]Changes to the template'!$L1)&gt;0,FALSE,TRUE))),AND(OR(NOT('[1]Changes to the template'!$D1&lt;&gt;"Parent")))),'[1]Changes to the template'!$B1&lt;&gt;"")),1=1)),1=1)</definedName>
    <definedName name="only_enfPTList0part_numbermarketplace_idATVPDKIKX0DER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product_descriptionmarketplace_idATVPDKIKX0DERlanguage_tagen_US1.value">AND(AND((0),(0)),1=1)</definedName>
    <definedName name="only_enfPTList0safety_data_sheet_urlmarketplace_idATVPDKIKX0DERlanguage_tagen_US1.value">AND(AND(AND((AND(OR(AND(AND(IF(COUNTIF([1]!for_maxfPTList0fulfillment_availability1.quantity,'[1]Changes to the template'!$GN1)&gt;0,FALSE,TRUE)))),'[1]Changes to the template'!$B1&lt;&gt;"")),1=1)),1=1)</definedName>
    <definedName name="only_enfPTList0safety_warningmarketplace_idATVPDKIKX0DERlanguage_tagen_US1.value">AND(AND(AND((AND(OR(OR(AND(NOT('[1]Changes to the template'!$D1="")))),'[1]Changes to the template'!$B1&lt;&gt;"")),(AND(OR(OR(OR(NOT('[1]Changes to the template'!$D1&lt;&gt;"Parent")))),'[1]Changes to the template'!$B1&lt;&gt;"")),1=1)),1=1)</definedName>
    <definedName name="only_enfPTList0safety_warningmarketplace_idATVPDKIKX0DERlanguage_tagen_US2.value">AND(AND(AND((AND(OR(OR(AND(NOT('[1]Changes to the template'!$D1="")))),'[1]Changes to the template'!$B1&lt;&gt;"")),(AND(OR(OR(OR(NOT('[1]Changes to the template'!$D1&lt;&gt;"Parent")))),'[1]Changes to the template'!$B1&lt;&gt;"")),1=1)),1=1)</definedName>
    <definedName name="only_enfPTList0safety_warningmarketplace_idATVPDKIKX0DERlanguage_tagen_US3.value">AND(AND(AND((AND(OR(OR(AND(NOT('[1]Changes to the template'!$D1="")))),'[1]Changes to the template'!$B1&lt;&gt;"")),(AND(OR(OR(OR(NOT('[1]Changes to the template'!$D1&lt;&gt;"Parent")))),'[1]Changes to the template'!$B1&lt;&gt;"")),1=1)),1=1)</definedName>
    <definedName name="only_enfPTList0safety_warningmarketplace_idATVPDKIKX0DERlanguage_tagen_US4.value">AND(AND(AND((AND(OR(OR(AND(NOT('[1]Changes to the template'!$D1="")))),'[1]Changes to the template'!$B1&lt;&gt;"")),(AND(OR(OR(OR(NOT('[1]Changes to the template'!$D1&lt;&gt;"Parent")))),'[1]Changes to the template'!$B1&lt;&gt;"")),1=1)),1=1)</definedName>
    <definedName name="only_enfPTList0safety_warningmarketplace_idATVPDKIKX0DERlanguage_tagen_US5.value">AND(AND(AND((AND(OR(OR(AND(NOT('[1]Changes to the template'!$D1="")))),'[1]Changes to the template'!$B1&lt;&gt;"")),(AND(OR(OR(OR(NOT('[1]Changes to the template'!$D1&lt;&gt;"Parent")))),'[1]Changes to the template'!$B1&lt;&gt;"")),1=1)),1=1)</definedName>
    <definedName name="only_enfPTList0scale_namemarketplace_idATVPDKIKX0DERlanguage_tagen_US1.value">AND(AND(AND((AND(OR(AND(AND(NOT('[1]Changes to the template'!$E1&lt;&gt;""))),AND(OR(NOT('[1]Changes to the template'!$D1&lt;&gt;"Parent"))),AND(AND(IF(COUNTIF([1]!CONDITION_LIST_24,'[1]Changes to the template'!$F1)&gt;0,FALSE,TRUE)))),'[1]Changes to the template'!$B1&lt;&gt;"")),1=1)),1=1)</definedName>
    <definedName name="only_enfPTList0set_namemarketplace_idATVPDKIKX0DERlanguage_tagen_US1.value">AND(AND(AND((AND(OR(AND(AND(NOT('[1]Changes to the template'!$E1&lt;&gt;""))),AND(OR(NOT('[1]Changes to the template'!$D1&lt;&gt;"Parent"))),AND(AND(IF(COUNTIF([1]!CONDITION_LIST_3,'[1]Changes to the template'!$F1)&gt;0,FALSE,TRUE)))),'[1]Changes to the template'!$B1&lt;&gt;"")),1=1)),1=1)</definedName>
    <definedName name="only_enfPTList0sizemarketplace_idATVPDKIKX0DERlanguage_tagen_US1.value">AND(AND(AND((AND(OR(AND(AND(NOT('[1]Changes to the template'!$E1&lt;&gt;""))),AND(OR(NOT('[1]Changes to the template'!$D1&lt;&gt;"Parent"))),AND(AND(IF(COUNTIF([1]!form_rgPTList0batterymarketplace_idATVPDKIKX0DER1.weight1.value,'[1]Changes to the template'!$F1)&gt;0,FALSE,TRUE)))),'[1]Changes to the template'!$B1&lt;&gt;"")),1=1)),1=1)</definedName>
    <definedName name="only_enfPTList0subject_charactermarketplace_idATVPDKIKX0DERlanguage_tagen_US1.value">AND(AND(AND((AND(OR(AND(AND(NOT('[1]Changes to the template'!$E1&lt;&gt;""))),AND(OR(NOT('[1]Changes to the template'!$D1&lt;&gt;"Parent"))),AND(AND(IF(COUNTIF([1]!for_minPTList0fcc_radio_frequency_emission_compliancemarketplace_idATVPDKIKX0DER1.identification_number,'[1]Changes to the template'!$F1)&gt;0,FALSE,TRUE)))),'[1]Changes to the template'!$B1&lt;&gt;"")),1=1)),1=1)</definedName>
    <definedName name="only_enfPTList0supplier_declared_dg_hz_regulationmarketplace_idATVPDKIKX0DER1.value">AND(AND((0)),1=1)</definedName>
    <definedName name="only_enfPTList0supplier_declared_dg_hz_regulationmarketplace_idATVPDKIKX0DER2.value">AND(AND((0)),1=1)</definedName>
    <definedName name="only_enfPTList0supplier_declared_dg_hz_regulationmarketplace_idATVPDKIKX0DER3.value">AND(AND((0)),1=1)</definedName>
    <definedName name="only_enfPTList0supplier_declared_dg_hz_regulationmarketplace_idATVPDKIKX0DER4.value">AND(AND((0)),1=1)</definedName>
    <definedName name="only_enfPTList0supplier_declared_dg_hz_regulationmarketplace_idATVPDKIKX0DER5.value">AND(AND((0)),1=1)</definedName>
    <definedName name="only_enfPTList0taa_compliant_countrymarketplace_idATVPDKIKX0DER1.value">AND(AND(AND((AND(OR(AND(AND(IF(COUNTIF([1]!form_rgPTList0batterymarketplace_idATVPDKIKX0DER1.iec_code1.value,'[1]Changes to the template'!$KI1)&gt;0,FALSE,TRUE))),AND(AND(NOT('[1]Changes to the template'!$D1="")))),'[1]Changes to the template'!$B1&lt;&gt;"")),(AND(OR(AND(AND(IF(COUNTIF([1]!form_rgPTList0batterymarketplace_idATVPDKIKX0DER1.iec_code1.value,'[1]Changes to the template'!$KI1)&gt;0,FALSE,TRUE))),AND(OR(NOT('[1]Changes to the template'!$D1&lt;&gt;"Parent")))),'[1]Changes to the template'!$B1&lt;&gt;"")),1=1)),1=1)</definedName>
    <definedName name="only_enfPTList0target_audience_keywordmarketplace_idATVPDKIKX0DERlanguage_tagen_US1.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target_audience_keywordmarketplace_idATVPDKIKX0DERlanguage_tagen_US2.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target_audience_keywordmarketplace_idATVPDKIKX0DERlanguage_tagen_US3.value">AND(AND(AND((AND(OR(OR(AND(NOT('[1]Changes to the template'!$D1="")))),'[1]Changes to the template'!$B1&lt;&gt;"")),(AND(OR(OR(OR(NOT('[1]Changes to the template'!$D1&lt;&gt;"Parent")))),'[1]Changes to the template'!$B1&lt;&gt;"")),1=1),AND((AND(OR(OR(AND(NOT('[1]Changes to the template'!$D1="")))),'[1]Changes to the template'!$B1&lt;&gt;"")),(AND(OR(OR(OR(NOT('[1]Changes to the template'!$D1&lt;&gt;"Parent")))),'[1]Changes to the template'!$B1&lt;&gt;"")),1=1)),1=1)</definedName>
    <definedName name="only_enfPTList0thememarketplace_idATVPDKIKX0DERlanguage_tagen_US1.value">AND(AND(AND((AND(OR(OR(AND(NOT('[1]Changes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template'!$B1&lt;&gt;"")),1=1)),1=1)</definedName>
    <definedName name="only_enfPTList0thememarketplace_idATVPDKIKX0DERlanguage_tagen_US2.value">AND(AND(AND((AND(OR(OR(AND(NOT('[1]Changes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template'!$B1&lt;&gt;"")),1=1)),1=1)</definedName>
    <definedName name="only_enfPTList0thememarketplace_idATVPDKIKX0DERlanguage_tagen_US3.value">AND(AND(AND((AND(OR(OR(AND(NOT('[1]Changes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template'!$B1&lt;&gt;"")),1=1)),1=1)</definedName>
    <definedName name="only_enfPTList0thememarketplace_idATVPDKIKX0DERlanguage_tagen_US4.value">AND(AND(AND((AND(OR(OR(AND(NOT('[1]Changes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template'!$B1&lt;&gt;"")),1=1)),1=1)</definedName>
    <definedName name="only_enfPTList0thememarketplace_idATVPDKIKX0DERlanguage_tagen_US5.value">AND(AND(AND((AND(OR(OR(AND(NOT('[1]Changes to the template'!$D1="")))),'[1]Changes to the template'!$B1&lt;&gt;"")),(AND(OR(OR(OR(NOT('[1]Changes to the template'!$D1&lt;&gt;"Parent")))),'[1]Changes to the template'!$B1&lt;&gt;"")),1=1),AND((AND(OR(AND(AND(NOT('[1]Changes to the template'!$E1&lt;&gt;""))),AND(OR(NOT('[1]Changes to the template'!$D1&lt;&gt;"Parent"))),AND(AND(IF(COUNTIF([1]!form_rgPTList0bullet_pointmarketplace_idATVPDKIKX0DERlanguage_tagen_US1.value,'[1]Changes to the template'!$F1)&gt;0,FALSE,TRUE)))),'[1]Changes to the template'!$B1&lt;&gt;"")),1=1)),1=1)</definedName>
    <definedName name="only_enfPTList0toy_vehicle_formmarketplace_idATVPDKIKX0DERlanguage_tagen_US1.value">AND(AND(AND((AND(OR(OR(AND(NOT('[1]Changes to the template'!$D1="")))),'[1]Changes to the template'!$B1&lt;&gt;"")),(AND(OR(OR(OR(NOT('[1]Changes to the template'!$D1&lt;&gt;"Parent")))),'[1]Changes to the template'!$B1&lt;&gt;"")),1=1),AND((AND(OR(AND(AND(NOT('[1]Changes to the template'!$E1&lt;&gt;""))),AND(OR(NOT('[1]Changes to the template'!$D1&lt;&gt;"Parent"))),AND(AND(IF(COUNTIF([1]!CONDITION_LIST_26,'[1]Changes to the template'!$F1)&gt;0,FALSE,TRUE)))),'[1]Changes to the template'!$B1&lt;&gt;"")),1=1)),1=1)</definedName>
    <definedName name="only_enfPTList0variation_theme1.name">AND(AND(AND((AND(OR(OR(AND(NOT('[1]Changes to the template'!$D1&lt;&gt;"")))),'[1]Changes to the template'!$B1&lt;&gt;"")),1=1)),1=1)</definedName>
    <definedName name="PTList0">'[1]Changes to the template'!$B1="NON_RIDING_TOY_VEHICLE"</definedName>
    <definedName name="req_togPTList0item_weightmarketplace_idATVPDKIKX0DER1.normalized_value.unit">AND('[1]Changes to the template'!$B1&lt;&gt;"",('[1]Changes to the template'!$HC1&lt;&gt;""))</definedName>
    <definedName name="req_togPTList0item_weightmarketplace_idATVPDKIKX0DER1.normalized_value.value">AND('[1]Changes to the template'!$B1&lt;&gt;"",('[1]Changes to the template'!$HD1&lt;&gt;""))</definedName>
    <definedName name="req_togPTList0item_weightmarketplace_idATVPDKIKX0DER1.unit">AND('[1]Changes to the template'!$B1&lt;&gt;"",('[1]Changes to the template'!$HA1&lt;&gt;""))</definedName>
    <definedName name="req_togPTList0item_weightmarketplace_idATVPDKIKX0DER1.value">AND('[1]Changes to the template'!$B1&lt;&gt;"",('[1]Changes to the template'!$HB1&lt;&gt;""))</definedName>
    <definedName name="req_togPTList0non_lithium_battery_energy_contentmarketplace_idATVPDKIKX0DER1.unit">AND('[1]Changes to the template'!$B1&lt;&gt;"",('[1]Changes to the template'!$JY1&lt;&gt;""))</definedName>
    <definedName name="req_togPTList0non_lithium_battery_energy_contentmarketplace_idATVPDKIKX0DER1.value">AND('[1]Changes to the template'!$B1&lt;&gt;"",('[1]Changes to the template'!$JZ1&lt;&gt;""))</definedName>
    <definedName name="req_togPTList0num_batteriesmarketplace_idATVPDKIKX0DER2.quantity">AND('[1]Changes to the template'!$B1&lt;&gt;"",('[1]Changes to the template'!$FZ1&lt;&gt;""))</definedName>
    <definedName name="req_togPTList0num_batteriesmarketplace_idATVPDKIKX0DER2.type">AND('[1]Changes to the template'!$B1&lt;&gt;"",('[1]Changes to the template'!$FY1&lt;&gt;""))</definedName>
    <definedName name="req_togPTList0num_batteriesmarketplace_idATVPDKIKX0DER3.quantity">AND('[1]Changes to the template'!$B1&lt;&gt;"",('[1]Changes to the template'!$GB1&lt;&gt;""))</definedName>
    <definedName name="req_togPTList0num_batteriesmarketplace_idATVPDKIKX0DER3.type">AND('[1]Changes to the template'!$B1&lt;&gt;"",('[1]Changes to the template'!$GA1&lt;&gt;""))</definedName>
    <definedName name="req_togPTList0num_batteriesmarketplace_idATVPDKIKX0DER4.quantity">AND('[1]Changes to the template'!$B1&lt;&gt;"",('[1]Changes to the template'!$GD1&lt;&gt;""))</definedName>
    <definedName name="req_togPTList0num_batteriesmarketplace_idATVPDKIKX0DER4.type">AND('[1]Changes to the template'!$B1&lt;&gt;"",('[1]Changes to the template'!$GC1&lt;&gt;""))</definedName>
    <definedName name="req_togPTList0num_batteriesmarketplace_idATVPDKIKX0DER5.quantity">AND('[1]Changes to the template'!$B1&lt;&gt;"",('[1]Changes to the template'!$GF1&lt;&gt;""))</definedName>
    <definedName name="req_togPTList0num_batteriesmarketplace_idATVPDKIKX0DER5.type">AND('[1]Changes to the template'!$B1&lt;&gt;"",('[1]Changes to the template'!$GE1&lt;&gt;""))</definedName>
    <definedName name="req_togPTList0purchasable_offermarketplace_idATVPDKIKX0DERaudienceALL1.discounted_price1.schedule1.end_at">AND('[1]Changes to the template'!$B1&lt;&gt;"",OR(('[1]Changes to the template'!$DY1&lt;&gt;""),('[1]Changes to the template'!$DZ1&lt;&gt;"")))</definedName>
    <definedName name="req_togPTList0purchasable_offermarketplace_idATVPDKIKX0DERaudienceALL1.discounted_price1.schedule1.start_at">AND('[1]Changes to the template'!$B1&lt;&gt;"",OR(('[1]Changes to the template'!$DY1&lt;&gt;""),('[1]Changes to the template'!$EA1&lt;&gt;"")))</definedName>
    <definedName name="req_togPTList0purchasable_offermarketplace_idATVPDKIKX0DERaudienceALL1.discounted_price1.schedule1.value_with_tax">AND('[1]Changes to the template'!$B1&lt;&gt;"",OR(('[1]Changes to the template'!$DZ1&lt;&gt;""),('[1]Changes to the template'!$EA1&lt;&gt;"")))</definedName>
    <definedName name="req_togPTList0purchasable_offermarketplace_idATVPDKIKX0DERaudienceB2B1.quantity_discount_plan1.schedule1.discount_type">AND('[1]Changes to the template'!$B1&lt;&gt;"",OR(('[1]Changes to the template'!$EJ1&lt;&gt;""),('[1]Changes to the template'!$EK1&lt;&gt;"")))</definedName>
    <definedName name="req_togPTList0purchasable_offermarketplace_idATVPDKIKX0DERaudienceB2B1.quantity_discount_plan1.schedule1.levels1.lower_bound">AND('[1]Changes to the template'!$B1&lt;&gt;"",OR(('[1]Changes to the template'!$EI1&lt;&gt;""),('[1]Changes to the template'!$EK1&lt;&gt;"")))</definedName>
    <definedName name="req_togPTList0purchasable_offermarketplace_idATVPDKIKX0DERaudienceB2B1.quantity_discount_plan1.schedule1.levels1.value">AND('[1]Changes to the template'!$B1&lt;&gt;"",OR(('[1]Changes to the template'!$EI1&lt;&gt;""),('[1]Changes to the template'!$EJ1&lt;&gt;"")))</definedName>
    <definedName name="req_togPTList0purchasable_offermarketplace_idATVPDKIKX0DERaudienceB2B1.quantity_discount_plan1.schedule1.levels2.lower_bound">AND('[1]Changes to the template'!$B1&lt;&gt;"",('[1]Changes to the template'!$EM1&lt;&gt;""))</definedName>
    <definedName name="req_togPTList0purchasable_offermarketplace_idATVPDKIKX0DERaudienceB2B1.quantity_discount_plan1.schedule1.levels2.value">AND('[1]Changes to the template'!$B1&lt;&gt;"",('[1]Changes to the template'!$EL1&lt;&gt;""))</definedName>
    <definedName name="req_togPTList0purchasable_offermarketplace_idATVPDKIKX0DERaudienceB2B1.quantity_discount_plan1.schedule1.levels3.lower_bound">AND('[1]Changes to the template'!$B1&lt;&gt;"",('[1]Changes to the template'!$EO1&lt;&gt;""))</definedName>
    <definedName name="req_togPTList0purchasable_offermarketplace_idATVPDKIKX0DERaudienceB2B1.quantity_discount_plan1.schedule1.levels3.value">AND('[1]Changes to the template'!$B1&lt;&gt;"",('[1]Changes to the template'!$EN1&lt;&gt;""))</definedName>
    <definedName name="req_togPTList0purchasable_offermarketplace_idATVPDKIKX0DERaudienceB2B1.quantity_discount_plan1.schedule1.levels4.lower_bound">AND('[1]Changes to the template'!$B1&lt;&gt;"",('[1]Changes to the template'!$EQ1&lt;&gt;""))</definedName>
    <definedName name="req_togPTList0purchasable_offermarketplace_idATVPDKIKX0DERaudienceB2B1.quantity_discount_plan1.schedule1.levels4.value">AND('[1]Changes to the template'!$B1&lt;&gt;"",('[1]Changes to the template'!$EP1&lt;&gt;""))</definedName>
    <definedName name="req_togPTList0purchasable_offermarketplace_idATVPDKIKX0DERaudienceB2B1.quantity_discount_plan1.schedule1.levels5.lower_bound">AND('[1]Changes to the template'!$B1&lt;&gt;"",('[1]Changes to the template'!$ES1&lt;&gt;""))</definedName>
    <definedName name="req_togPTList0purchasable_offermarketplace_idATVPDKIKX0DERaudienceB2B1.quantity_discount_plan1.schedule1.levels5.value">AND('[1]Changes to the template'!$B1&lt;&gt;"",('[1]Changes to the template'!$ER1&lt;&gt;""))</definedName>
    <definedName name="req_togPTList0regulatory_compliance_certificationmarketplace_idATVPDKIKX0DER1.regulation_type">AND('[1]Changes to the template'!$B1&lt;&gt;"",('[1]Changes to the template'!$IG1&lt;&gt;""))</definedName>
    <definedName name="req_togPTList0regulatory_compliance_certificationmarketplace_idATVPDKIKX0DER1.value">AND('[1]Changes to the template'!$B1&lt;&gt;"",('[1]Changes to the template'!$IF1&lt;&gt;""))</definedName>
    <definedName name="req_togPTList0regulatory_compliance_certificationmarketplace_idATVPDKIKX0DER2.regulation_type">AND('[1]Changes to the template'!$B1&lt;&gt;"",('[1]Changes to the template'!$II1&lt;&gt;""))</definedName>
    <definedName name="req_togPTList0regulatory_compliance_certificationmarketplace_idATVPDKIKX0DER2.value">AND('[1]Changes to the template'!$B1&lt;&gt;"",('[1]Changes to the template'!$IH1&lt;&gt;""))</definedName>
    <definedName name="req_togPTList0regulatory_compliance_certificationmarketplace_idATVPDKIKX0DER3.regulation_type">AND('[1]Changes to the template'!$B1&lt;&gt;"",('[1]Changes to the template'!$IK1&lt;&gt;""))</definedName>
    <definedName name="req_togPTList0regulatory_compliance_certificationmarketplace_idATVPDKIKX0DER3.value">AND('[1]Changes to the template'!$B1&lt;&gt;"",('[1]Changes to the template'!$IJ1&lt;&gt;""))</definedName>
    <definedName name="req_togPTList0regulatory_compliance_certificationmarketplace_idATVPDKIKX0DER4.regulation_type">AND('[1]Changes to the template'!$B1&lt;&gt;"",('[1]Changes to the template'!$IM1&lt;&gt;""))</definedName>
    <definedName name="req_togPTList0regulatory_compliance_certificationmarketplace_idATVPDKIKX0DER4.value">AND('[1]Changes to the template'!$B1&lt;&gt;"",('[1]Changes to the template'!$IL1&lt;&gt;""))</definedName>
    <definedName name="req_togPTList0regulatory_compliance_certificationmarketplace_idATVPDKIKX0DER5.regulation_type">AND('[1]Changes to the template'!$B1&lt;&gt;"",('[1]Changes to the template'!$IO1&lt;&gt;""))</definedName>
    <definedName name="req_togPTList0regulatory_compliance_certificationmarketplace_idATVPDKIKX0DER5.value">AND('[1]Changes to the template'!$B1&lt;&gt;"",('[1]Changes to the template'!$IN1&lt;&gt;""))</definedName>
    <definedName name="reqPTList0age_range_descriptionmarketplace_idATVPDKIKX0DERlanguage_tagen_US1.value">AND(NOT(LEN('[1]Changes to the template'!$AT1)&gt;0),'[1]Changes to the template'!$B1&lt;&gt;"")</definedName>
    <definedName name="reqPTList0amzn1.volt.ca.product_id_type">AND(NOT(LEN('[1]Changes to the template'!$I1)&gt;0),'[1]Changes to the template'!$B1&lt;&gt;"")</definedName>
    <definedName name="reqPTList0amzn1.volt.ca.product_id_value">AND(NOT(LEN('[1]Changes to the template'!$J1)&gt;0),'[1]Changes to the template'!$B1&lt;&gt;"")</definedName>
    <definedName name="reqPTList0baa_taa_compliance_acknowledgementmarketplace_idATVPDKIKX0DER1.value">AND(NOT(LEN('[1]Changes to the template'!$KJ1)&gt;0),'[1]Changes to the template'!$B1&lt;&gt;"")</definedName>
    <definedName name="reqPTList0batteries_includedmarketplace_idATVPDKIKX0DER1.value">AND(NOT(LEN('[1]Changes to the template'!$FP1)&gt;0),'[1]Changes to the template'!$B1&lt;&gt;"")</definedName>
    <definedName name="reqPTList0batteries_requiredmarketplace_idATVPDKIKX0DER1.value">AND(NOT(LEN('[1]Changes to the template'!$FO1)&gt;0),'[1]Changes to the template'!$B1&lt;&gt;"")</definedName>
    <definedName name="reqPTList0battery_contains_free_unabsorbed_liquidmarketplace_idATVPDKIKX0DER1.value">AND(NOT(LEN('[1]Changes to the template'!$JU1)&gt;0),'[1]Changes to the template'!$B1&lt;&gt;"")</definedName>
    <definedName name="reqPTList0battery_installation_device_typemarketplace_idATVPDKIKX0DER1.value">AND(NOT(LEN('[1]Changes to the template'!$KB1)&gt;0),'[1]Changes to the template'!$B1&lt;&gt;"")</definedName>
    <definedName name="reqPTList0batterymarketplace_idATVPDKIKX0DER1.cell_composition_other_than_listedlanguage_tagen_US1.value">AND(NOT(LEN('[1]Changes to the template'!$FR1)&gt;0),'[1]Changes to the template'!$B1&lt;&gt;"")</definedName>
    <definedName name="reqPTList0batterymarketplace_idATVPDKIKX0DER1.cell_composition1.value">AND(NOT(LEN('[1]Changes to the template'!$FQ1)&gt;0),'[1]Changes to the template'!$B1&lt;&gt;"")</definedName>
    <definedName name="reqPTList0batterymarketplace_idATVPDKIKX0DER1.descriptionlanguage_tagen_US1.value">AND(NOT(LEN('[1]Changes to the template'!$FS1)&gt;0),'[1]Changes to the template'!$B1&lt;&gt;"")</definedName>
    <definedName name="reqPTList0batterymarketplace_idATVPDKIKX0DER1.weight1.unit">AND(NOT(LEN('[1]Changes to the template'!$FV1)&gt;0),'[1]Changes to the template'!$B1&lt;&gt;"")</definedName>
    <definedName name="reqPTList0batterymarketplace_idATVPDKIKX0DER1.weight1.value">AND(NOT(LEN('[1]Changes to the template'!$FU1)&gt;0),'[1]Changes to the template'!$B1&lt;&gt;"")</definedName>
    <definedName name="reqPTList0brandmarketplace_idATVPDKIKX0DERlanguage_tagen_US1.value">AND(NOT(LEN('[1]Changes to the template'!$H1)&gt;0),'[1]Changes to the template'!$B1&lt;&gt;"")</definedName>
    <definedName name="reqPTList0bullet_pointmarketplace_idATVPDKIKX0DERlanguage_tagen_US1.value">AND(NOT(LEN('[1]Changes to the template'!$AI1)&gt;0),'[1]Changes to the template'!$B1&lt;&gt;"")</definedName>
    <definedName name="reqPTList0colormarketplace_idATVPDKIKX0DERlanguage_tagen_US1.value">AND(NOT(LEN('[1]Changes to the template'!$BC1)&gt;0),'[1]Changes to the template'!$B1&lt;&gt;"")</definedName>
    <definedName name="reqPTList0compliance_age_rangemarketplace_idATVPDKIKX0DER1.value">AND(NOT(LEN('[1]Changes to the template'!$JT1)&gt;0),'[1]Changes to the template'!$B1&lt;&gt;"")</definedName>
    <definedName name="reqPTList0compliance_toy_typemarketplace_idATVPDKIKX0DER1.value">AND(NOT(LEN('[1]Changes to the template'!$JO1)&gt;0),'[1]Changes to the template'!$B1&lt;&gt;"")</definedName>
    <definedName name="reqPTList0condition_typemarketplace_idATVPDKIKX0DER1.value">AND(NOT(LEN('[1]Changes to the template'!$CQ1)&gt;0),'[1]Changes to the template'!$B1&lt;&gt;"")</definedName>
    <definedName name="reqPTList0contains_battery_or_cellmarketplace_idATVPDKIKX0DER1.value">AND(NOT(LEN('[1]Changes to the template'!$JP1)&gt;0),'[1]Changes to the template'!$B1&lt;&gt;"")</definedName>
    <definedName name="reqPTList0contribution_sku1.value">AND(NOT(LEN('[1]Changes to the template'!$A1)&gt;0),'[1]Changes to the template'!$B1&lt;&gt;"")</definedName>
    <definedName name="reqPTList0country_of_originmarketplace_idATVPDKIKX0DER1.value">AND(NOT(LEN('[1]Changes to the template'!$FN1)&gt;0),'[1]Changes to the template'!$B1&lt;&gt;"")</definedName>
    <definedName name="reqPTList0cpsia_cautionary_statementmarketplace_idATVPDKIKX0DER1.value">AND(NOT(LEN('[1]Changes to the template'!$HL1)&gt;0),'[1]Changes to the template'!$B1&lt;&gt;"")</definedName>
    <definedName name="reqPTList0drive_systemmarketplace_idATVPDKIKX0DERlanguage_tagen_US1.value">AND(NOT(LEN('[1]Changes to the template'!$BM1)&gt;0),'[1]Changes to the template'!$B1&lt;&gt;"")</definedName>
    <definedName name="reqPTList0fulfillment_availability1.fulfillment_channel_code">AND(NOT(LEN('[1]Changes to the template'!$DP1)&gt;0),'[1]Changes to the template'!$B1&lt;&gt;"")</definedName>
    <definedName name="reqPTList0generic_keywordmarketplace_idATVPDKIKX0DERlanguage_tagen_US1.value">AND(NOT(LEN('[1]Changes to the template'!$AN1)&gt;0),'[1]Changes to the template'!$B1&lt;&gt;"")</definedName>
    <definedName name="reqPTList0ghsmarketplace_idATVPDKIKX0DER1.classification1.class">AND(NOT(LEN('[1]Changes to the template'!$GS1)&gt;0),'[1]Changes to the template'!$B1&lt;&gt;"")</definedName>
    <definedName name="reqPTList0government_contract_informationmarketplace_idATVPDKIKX0DER1.name">AND(NOT(LEN('[1]Changes to the template'!$CM1)&gt;0),'[1]Changes to the template'!$B1&lt;&gt;"")</definedName>
    <definedName name="reqPTList0government_contract_informationmarketplace_idATVPDKIKX0DER1.number">AND(NOT(LEN('[1]Changes to the template'!$CN1)&gt;0),'[1]Changes to the template'!$B1&lt;&gt;"")</definedName>
    <definedName name="reqPTList0has_less_than_30_percent_state_of_chargemarketplace_idATVPDKIKX0DER1.value">AND(NOT(LEN('[1]Changes to the template'!$KA1)&gt;0),'[1]Changes to the template'!$B1&lt;&gt;"")</definedName>
    <definedName name="reqPTList0has_multiple_battery_powered_componentsmarketplace_idATVPDKIKX0DER1.value">AND(NOT(LEN('[1]Changes to the template'!$JM1)&gt;0),'[1]Changes to the template'!$B1&lt;&gt;"")</definedName>
    <definedName name="reqPTList0hazmatmarketplace_idATVPDKIKX0DER1.aspect">AND(NOT(LEN('[1]Changes to the template'!$GX1)&gt;0),'[1]Changes to the template'!$B1&lt;&gt;"")</definedName>
    <definedName name="reqPTList0hazmatmarketplace_idATVPDKIKX0DER1.value">AND(NOT(LEN('[1]Changes to the template'!$GY1)&gt;0),'[1]Changes to the template'!$B1&lt;&gt;"")</definedName>
    <definedName name="reqPTList0included_componentsmarketplace_idATVPDKIKX0DERlanguage_tagen_US1.value">AND(NOT(LEN('[1]Changes to the template'!$BV1)&gt;0),'[1]Changes to the template'!$B1&lt;&gt;"")</definedName>
    <definedName name="reqPTList0is_battery_non_spillablemarketplace_idATVPDKIKX0DER1.value">AND(NOT(LEN('[1]Changes to the template'!$JV1)&gt;0),'[1]Changes to the template'!$B1&lt;&gt;"")</definedName>
    <definedName name="reqPTList0item_dimensionsmarketplace_idATVPDKIKX0DER1.height.unit">AND(NOT(LEN('[1]Changes to the template'!$EZ1)&gt;0),'[1]Changes to the template'!$B1&lt;&gt;"")</definedName>
    <definedName name="reqPTList0item_dimensionsmarketplace_idATVPDKIKX0DER1.height.value">AND(NOT(LEN('[1]Changes to the template'!$EY1)&gt;0),'[1]Changes to the template'!$B1&lt;&gt;"")</definedName>
    <definedName name="reqPTList0item_dimensionsmarketplace_idATVPDKIKX0DER1.length.unit">AND(NOT(LEN('[1]Changes to the template'!$EV1)&gt;0),'[1]Changes to the template'!$B1&lt;&gt;"")</definedName>
    <definedName name="reqPTList0item_dimensionsmarketplace_idATVPDKIKX0DER1.length.value">AND(NOT(LEN('[1]Changes to the template'!$EU1)&gt;0),'[1]Changes to the template'!$B1&lt;&gt;"")</definedName>
    <definedName name="reqPTList0item_dimensionsmarketplace_idATVPDKIKX0DER1.width.unit">AND(NOT(LEN('[1]Changes to the template'!$EX1)&gt;0),'[1]Changes to the template'!$B1&lt;&gt;"")</definedName>
    <definedName name="reqPTList0item_dimensionsmarketplace_idATVPDKIKX0DER1.width.value">AND(NOT(LEN('[1]Changes to the template'!$EW1)&gt;0),'[1]Changes to the template'!$B1&lt;&gt;"")</definedName>
    <definedName name="reqPTList0item_namemarketplace_idATVPDKIKX0DERlanguage_tagen_US1.value">AND(NOT(LEN('[1]Changes to the template'!$G1)&gt;0),'[1]Changes to the template'!$B1&lt;&gt;"")</definedName>
    <definedName name="reqPTList0item_package_dimensionsmarketplace_idATVPDKIKX0DER1.height.unit">AND(NOT(LEN('[1]Changes to the template'!$FF1)&gt;0),'[1]Changes to the template'!$B1&lt;&gt;"")</definedName>
    <definedName name="reqPTList0item_package_dimensionsmarketplace_idATVPDKIKX0DER1.height.value">AND(NOT(LEN('[1]Changes to the template'!$FE1)&gt;0),'[1]Changes to the template'!$B1&lt;&gt;"")</definedName>
    <definedName name="reqPTList0item_package_dimensionsmarketplace_idATVPDKIKX0DER1.length.unit">AND(NOT(LEN('[1]Changes to the template'!$FB1)&gt;0),'[1]Changes to the template'!$B1&lt;&gt;"")</definedName>
    <definedName name="reqPTList0item_package_dimensionsmarketplace_idATVPDKIKX0DER1.length.value">AND(NOT(LEN('[1]Changes to the template'!$FA1)&gt;0),'[1]Changes to the template'!$B1&lt;&gt;"")</definedName>
    <definedName name="reqPTList0item_package_dimensionsmarketplace_idATVPDKIKX0DER1.width.unit">AND(NOT(LEN('[1]Changes to the template'!$FD1)&gt;0),'[1]Changes to the template'!$B1&lt;&gt;"")</definedName>
    <definedName name="reqPTList0item_package_dimensionsmarketplace_idATVPDKIKX0DER1.width.value">AND(NOT(LEN('[1]Changes to the template'!$FC1)&gt;0),'[1]Changes to the template'!$B1&lt;&gt;"")</definedName>
    <definedName name="reqPTList0item_package_weightmarketplace_idATVPDKIKX0DER1.unit">AND(NOT(LEN('[1]Changes to the template'!$FH1)&gt;0),'[1]Changes to the template'!$B1&lt;&gt;"")</definedName>
    <definedName name="reqPTList0item_package_weightmarketplace_idATVPDKIKX0DER1.value">AND(NOT(LEN('[1]Changes to the template'!$FG1)&gt;0),'[1]Changes to the template'!$B1&lt;&gt;"")</definedName>
    <definedName name="reqPTList0item_type_keywordmarketplace_idATVPDKIKX0DER1.value">AND(NOT(LEN('[1]Changes to the template'!$K1)&gt;0),'[1]Changes to the template'!$B1&lt;&gt;"")</definedName>
    <definedName name="reqPTList0list_pricemarketplace_idATVPDKIKX0DER1.value">AND(NOT(LEN('[1]Changes to the template'!$CS1)&gt;0),'[1]Changes to the template'!$B1&lt;&gt;"")</definedName>
    <definedName name="reqPTList0lithium_batterymarketplace_idATVPDKIKX0DER1.energy_content1.unit">AND(NOT(LEN('[1]Changes to the template'!$GJ1)&gt;0),'[1]Changes to the template'!$B1&lt;&gt;"")</definedName>
    <definedName name="reqPTList0lithium_batterymarketplace_idATVPDKIKX0DER1.energy_content1.value">AND(NOT(LEN('[1]Changes to the template'!$GI1)&gt;0),'[1]Changes to the template'!$B1&lt;&gt;"")</definedName>
    <definedName name="reqPTList0lithium_batterymarketplace_idATVPDKIKX0DER1.packaging1.value">AND(NOT(LEN('[1]Changes to the template'!$GK1)&gt;0),'[1]Changes to the template'!$B1&lt;&gt;"")</definedName>
    <definedName name="reqPTList0lithium_batterymarketplace_idATVPDKIKX0DER1.weight1.unit">AND(NOT(LEN('[1]Changes to the template'!$GM1)&gt;0),'[1]Changes to the template'!$B1&lt;&gt;"")</definedName>
    <definedName name="reqPTList0lithium_batterymarketplace_idATVPDKIKX0DER1.weight1.value">AND(NOT(LEN('[1]Changes to the template'!$GL1)&gt;0),'[1]Changes to the template'!$B1&lt;&gt;"")</definedName>
    <definedName name="reqPTList0manufacturer_minimum_agemarketplace_idATVPDKIKX0DER1.value">AND(NOT(LEN('[1]Changes to the template'!$BT1)&gt;0),'[1]Changes to the template'!$B1&lt;&gt;"")</definedName>
    <definedName name="reqPTList0manufacturermarketplace_idATVPDKIKX0DERlanguage_tagen_US1.value">AND(NOT(LEN('[1]Changes to the template'!$T1)&gt;0),'[1]Changes to the template'!$B1&lt;&gt;"")</definedName>
    <definedName name="reqPTList0materialmarketplace_idATVPDKIKX0DERlanguage_tagen_US1.value">AND(NOT(LEN('[1]Changes to the template'!$AU1)&gt;0),'[1]Changes to the template'!$B1&lt;&gt;"")</definedName>
    <definedName name="reqPTList0merchant_shipping_groupmarketplace_idATVPDKIKX0DER1.value">AND(NOT(LEN('[1]Changes to the template'!$ET1)&gt;0),'[1]Changes to the template'!$B1&lt;&gt;"")</definedName>
    <definedName name="reqPTList0model_namemarketplace_idATVPDKIKX0DERlanguage_tagen_US1.value">AND(NOT(LEN('[1]Changes to the template'!$S1)&gt;0),'[1]Changes to the template'!$B1&lt;&gt;"")</definedName>
    <definedName name="reqPTList0model_variantmarketplace_idATVPDKIKX0DERlanguage_tagen_US1.value">AND(NOT(LEN('[1]Changes to the template'!$CJ1)&gt;0),'[1]Changes to the template'!$B1&lt;&gt;"")</definedName>
    <definedName name="reqPTList0non_lithium_battery_packagingmarketplace_idATVPDKIKX0DER1.value">AND(NOT(LEN('[1]Changes to the template'!$JW1)&gt;0),'[1]Changes to the template'!$B1&lt;&gt;"")</definedName>
    <definedName name="reqPTList0num_batteriesmarketplace_idATVPDKIKX0DER1.quantity">AND(NOT(LEN('[1]Changes to the template'!$FW1)&gt;0),'[1]Changes to the template'!$B1&lt;&gt;"")</definedName>
    <definedName name="reqPTList0num_batteriesmarketplace_idATVPDKIKX0DER1.type">AND(NOT(LEN('[1]Changes to the template'!$FX1)&gt;0),'[1]Changes to the template'!$B1&lt;&gt;"")</definedName>
    <definedName name="reqPTList0number_of_itemsmarketplace_idATVPDKIKX0DER1.value">AND(NOT(LEN('[1]Changes to the template'!$AZ1)&gt;0),'[1]Changes to the template'!$B1&lt;&gt;"")</definedName>
    <definedName name="reqPTList0number_of_lithium_ion_cellsmarketplace_idATVPDKIKX0DER1.value">AND(NOT(LEN('[1]Changes to the template'!$GH1)&gt;0),'[1]Changes to the template'!$B1&lt;&gt;"")</definedName>
    <definedName name="reqPTList0number_of_lithium_metal_cellsmarketplace_idATVPDKIKX0DER1.value">AND(NOT(LEN('[1]Changes to the template'!$GG1)&gt;0),'[1]Changes to the template'!$B1&lt;&gt;"")</definedName>
    <definedName name="reqPTList0operation_modemarketplace_idATVPDKIKX0DERlanguage_tagen_US1.value">AND(NOT(LEN('[1]Changes to the template'!$BP1)&gt;0),'[1]Changes to the template'!$B1&lt;&gt;"")</definedName>
    <definedName name="reqPTList0orientationmarketplace_idATVPDKIKX0DERlanguage_tagen_US1.value">AND(NOT(LEN('[1]Changes to the template'!$BN1)&gt;0),'[1]Changes to the template'!$B1&lt;&gt;"")</definedName>
    <definedName name="reqPTList0package_contains_skumarketplace_idATVPDKIKX0DER1.quantity">AND(NOT(LEN('[1]Changes to the template'!$M1)&gt;0),'[1]Changes to the template'!$B1&lt;&gt;"")</definedName>
    <definedName name="reqPTList0package_contains_skumarketplace_idATVPDKIKX0DER1.sku">AND(NOT(LEN('[1]Changes to the template'!$N1)&gt;0),'[1]Changes to the template'!$B1&lt;&gt;"")</definedName>
    <definedName name="reqPTList0part_numbermarketplace_idATVPDKIKX0DER1.value">AND(NOT(LEN('[1]Changes to the template'!$BE1)&gt;0),'[1]Changes to the template'!$B1&lt;&gt;"")</definedName>
    <definedName name="reqPTList0product_descriptionmarketplace_idATVPDKIKX0DERlanguage_tagen_US1.value">AND(NOT(LEN('[1]Changes to the template'!$AH1)&gt;0),'[1]Changes to the template'!$B1&lt;&gt;"")</definedName>
    <definedName name="reqPTList0safety_data_sheet_urlmarketplace_idATVPDKIKX0DERlanguage_tagen_US1.value">AND(NOT(LEN('[1]Changes to the template'!$GZ1)&gt;0),'[1]Changes to the template'!$B1&lt;&gt;"")</definedName>
    <definedName name="reqPTList0safety_warningmarketplace_idATVPDKIKX0DERlanguage_tagen_US1.value">AND(NOT(LEN('[1]Changes to the template'!$FI1)&gt;0),'[1]Changes to the template'!$B1&lt;&gt;"")</definedName>
    <definedName name="reqPTList0scale_namemarketplace_idATVPDKIKX0DERlanguage_tagen_US1.value">AND(NOT(LEN('[1]Changes to the template'!$CH1)&gt;0),'[1]Changes to the template'!$B1&lt;&gt;"")</definedName>
    <definedName name="reqPTList0set_namemarketplace_idATVPDKIKX0DERlanguage_tagen_US1.value">AND(NOT(LEN('[1]Changes to the template'!$CL1)&gt;0),'[1]Changes to the template'!$B1&lt;&gt;"")</definedName>
    <definedName name="reqPTList0sizemarketplace_idATVPDKIKX0DERlanguage_tagen_US1.value">AND(NOT(LEN('[1]Changes to the template'!$BD1)&gt;0),'[1]Changes to the template'!$B1&lt;&gt;"")</definedName>
    <definedName name="reqPTList0subject_charactermarketplace_idATVPDKIKX0DERlanguage_tagen_US1.value">AND(NOT(LEN('[1]Changes to the template'!$BB1)&gt;0),'[1]Changes to the template'!$B1&lt;&gt;"")</definedName>
    <definedName name="reqPTList0supplier_declared_dg_hz_regulationmarketplace_idATVPDKIKX0DER1.value">AND(NOT(LEN('[1]Changes to the template'!$GN1)&gt;0),'[1]Changes to the template'!$B1&lt;&gt;"")</definedName>
    <definedName name="reqPTList0taa_compliant_countrymarketplace_idATVPDKIKX0DER1.value">AND(NOT(LEN('[1]Changes to the template'!$KK1)&gt;0),'[1]Changes to the template'!$B1&lt;&gt;"")</definedName>
    <definedName name="reqPTList0target_audience_keywordmarketplace_idATVPDKIKX0DERlanguage_tagen_US1.value">AND(NOT(LEN('[1]Changes to the template'!$O1)&gt;0),'[1]Changes to the template'!$B1&lt;&gt;"")</definedName>
    <definedName name="reqPTList0thememarketplace_idATVPDKIKX0DERlanguage_tagen_US1.value">AND(NOT(LEN('[1]Changes to the template'!$BF1)&gt;0),'[1]Changes to the template'!$B1&lt;&gt;"")</definedName>
    <definedName name="reqPTList0toy_vehicle_formmarketplace_idATVPDKIKX0DERlanguage_tagen_US1.value">AND(NOT(LEN('[1]Changes to the template'!$CI1)&gt;0),'[1]Changes to the template'!$B1&lt;&gt;"")</definedName>
    <definedName name="reqPTList0variation_theme1.name">AND(NOT(LEN('[1]Changes to the template'!$F1)&gt;0),'[1]Changes to the template'!$B1&lt;&gt;"")</definedName>
    <definedName name="purchasable_offermarketplace_idATVPDKIKX0DERaudienceB2B1.quantity_discount_plan1.schedule1.discount_type">'[1]Dropdown Lists'!$FB$4:$FB$6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<sst xmlns="http://schemas.openxmlformats.org/spreadsheetml/2006/main" count="11644" uniqueCount="2971">
  <si>
    <t>50的asin</t>
  </si>
  <si>
    <t>S/SS 级别产品则 * 2 否则 *1</t>
  </si>
  <si>
    <t>级别</t>
  </si>
  <si>
    <t>purchasable_offer[marketplace_id=ATVPDKIKX0DER][audience=B2B]#1.our_price#1.schedule#1.value_with_tax</t>
  </si>
  <si>
    <t>purchasable_offer[marketplace_id=ATVPDKIKX0DER][audience=B2B]#1.quantity_discount_plan#1.schedule#1.discount_type</t>
  </si>
  <si>
    <t>purchasable_offer[marketplace_id=ATVPDKIKX0DER][audience=B2B]#1.quantity_discount_plan#1.schedule#1.levels#1.lower_bound</t>
  </si>
  <si>
    <t>purchasable_offer[marketplace_id=ATVPDKIKX0DER][audience=B2B]#1.quantity_discount_plan#1.schedule#1.levels#1.value</t>
  </si>
  <si>
    <t>purchasable_offer[marketplace_id=ATVPDKIKX0DER][audience=B2B]#1.quantity_discount_plan#1.schedule#1.levels#2.lower_bound</t>
  </si>
  <si>
    <t>purchasable_offer[marketplace_id=ATVPDKIKX0DER][audience=B2B]#1.quantity_discount_plan#1.schedule#1.levels#2.value</t>
  </si>
  <si>
    <t>purchasable_offer[marketplace_id=ATVPDKIKX0DER][audience=B2B]#1.quantity_discount_plan#1.schedule#1.levels#3.lower_bound</t>
  </si>
  <si>
    <t>purchasable_offer[marketplace_id=ATVPDKIKX0DER][audience=B2B]#1.quantity_discount_plan#1.schedule#1.levels#3.value</t>
  </si>
  <si>
    <t>purchasable_offer[marketplace_id=ATVPDKIKX0DER][audience=B2B]#1.quantity_discount_plan#1.schedule#1.levels#4.lower_bound</t>
  </si>
  <si>
    <t>purchasable_offer[marketplace_id=ATVPDKIKX0DER][audience=B2B]#1.quantity_discount_plan#1.schedule#1.levels#4.value</t>
  </si>
  <si>
    <t>purchasable_offer[marketplace_id=ATVPDKIKX0DER][audience=B2B]#1.quantity_discount_plan#1.schedule#1.levels#5.lower_bound</t>
  </si>
  <si>
    <t>purchasable_offer[marketplace_id=ATVPDKIKX0DER][audience=B2B]#1.quantity_discount_plan#1.schedule#1.levels#5.value</t>
  </si>
  <si>
    <t>B0DTP8B4FZ</t>
  </si>
  <si>
    <t>Percent</t>
  </si>
  <si>
    <t>B0DTP4VV5V</t>
  </si>
  <si>
    <t>B0C7G7W43V</t>
  </si>
  <si>
    <t>B0C7G9L4GD</t>
  </si>
  <si>
    <t>B0CCJKDDLG</t>
  </si>
  <si>
    <t>50Fengrenji-WhiteNEW01</t>
  </si>
  <si>
    <t>50US-FengRenJi202-new</t>
  </si>
  <si>
    <t>FRenJ-White 002</t>
  </si>
  <si>
    <t>B0CCJKFGGG</t>
  </si>
  <si>
    <t>WhiteFengrenjiNew02</t>
  </si>
  <si>
    <t>FRenJ-White 004</t>
  </si>
  <si>
    <t>B0DTTBGYWW</t>
  </si>
  <si>
    <t>B0DTT3NTLG</t>
  </si>
  <si>
    <t>B0DTT4GNWW</t>
  </si>
  <si>
    <t>B0DTT8SK6H</t>
  </si>
  <si>
    <t>B0DYMGYWJ7</t>
  </si>
  <si>
    <t>B0DYN4HDJW</t>
  </si>
  <si>
    <t>B0FHH5Q86M</t>
  </si>
  <si>
    <t>B0FHHC21LG</t>
  </si>
  <si>
    <t>B0FHHC11GJ</t>
  </si>
  <si>
    <t>B0FHH5PQ4H</t>
  </si>
  <si>
    <t>B0GCH6J851</t>
  </si>
  <si>
    <t>G505Guyuhuoche</t>
  </si>
  <si>
    <t>50US-G501GuYuHuoChe</t>
  </si>
  <si>
    <t>B0GCHH67CH</t>
  </si>
  <si>
    <t>B0FHH5PNNZ</t>
  </si>
  <si>
    <t>50US-G505GuYuZhiShengJi</t>
  </si>
  <si>
    <t>G501Guyuhuoche</t>
  </si>
  <si>
    <t>B0FG6W44P5</t>
  </si>
  <si>
    <t>B0FG73GKBG</t>
  </si>
  <si>
    <t>B0FHKLCG68</t>
  </si>
  <si>
    <t>B0F13S45L4</t>
  </si>
  <si>
    <t>B0FMXV3JBC</t>
  </si>
  <si>
    <t>B0GJWXPW57，50US-RuanDanTankFaSheTou-01</t>
  </si>
  <si>
    <t>only-value</t>
  </si>
  <si>
    <t>50US-MaiGanYaZi-013</t>
  </si>
  <si>
    <t>50US-MaiGanYaZi-005</t>
  </si>
  <si>
    <t>50US-MaoCiBabyBall001</t>
  </si>
  <si>
    <t>50US-MaoCiBabyBall002</t>
  </si>
  <si>
    <t>50US-GenSuiYa-003</t>
  </si>
  <si>
    <t>50US-GenSuiYa-004</t>
  </si>
  <si>
    <t>50US-GenSuiYa-005</t>
  </si>
  <si>
    <t>50US-GenSuiYa-006</t>
  </si>
  <si>
    <t>50-3Ddongwupintu-Shizi1</t>
  </si>
  <si>
    <t>50-3Ddongwupintu-Lu1</t>
  </si>
  <si>
    <t>G502GuYuKaChe001</t>
  </si>
  <si>
    <t>G502GuYuKaChe002</t>
  </si>
  <si>
    <t>G503GuYuWaJueJi001</t>
  </si>
  <si>
    <t>G503GuYuWaJueJi002</t>
  </si>
  <si>
    <t>G504Guyuhuoche</t>
  </si>
  <si>
    <t>50US-HanBaoJi-002</t>
  </si>
  <si>
    <t>50US-HanBaoJi-003</t>
  </si>
  <si>
    <t>YinErTanSheTouLanJi-0001</t>
  </si>
  <si>
    <t>50US-DuiDieKongLong-003</t>
  </si>
  <si>
    <t>50US-DuiDieKongLong-007</t>
  </si>
  <si>
    <t>B0CT5J8GCW</t>
  </si>
  <si>
    <t>B0CT5GKHRM</t>
  </si>
  <si>
    <t>B0FHPSR92X</t>
  </si>
  <si>
    <t>B0FHP2GN29</t>
  </si>
  <si>
    <t>B0FPC6D218</t>
  </si>
  <si>
    <t>B0F1Y6LC4H</t>
  </si>
  <si>
    <t>B0DD7HPPGX</t>
  </si>
  <si>
    <t>B0FMK6R2HS</t>
  </si>
  <si>
    <t>A</t>
  </si>
  <si>
    <t>149US-8JianTaoBingXiangChiLun</t>
  </si>
  <si>
    <t>149US-XiaoHaoBingXiangChiLun</t>
  </si>
  <si>
    <t>149US-SoftCiLiGuan26P-007</t>
  </si>
  <si>
    <t>149US-SoftCiLiGuan66PCS</t>
  </si>
  <si>
    <t>S</t>
  </si>
  <si>
    <t>149US-PinkNiuDanClaw</t>
  </si>
  <si>
    <t>149-GuDianniwaA20</t>
  </si>
  <si>
    <t>149US-QiQiuChe</t>
  </si>
  <si>
    <t>ZiMuYouXi-0003</t>
  </si>
  <si>
    <t>B0F26NHK7M</t>
  </si>
  <si>
    <t>B0FH2FXX7B</t>
  </si>
  <si>
    <t>B0FH2J7RM6</t>
  </si>
  <si>
    <t>B0FH2GQ7CM</t>
  </si>
  <si>
    <t>B0FH2DS2FR</t>
  </si>
  <si>
    <t>B0FH2FYH2Y</t>
  </si>
  <si>
    <t>48US-YinYueHuiGangQingJiMu</t>
  </si>
  <si>
    <t>48US-JuanZhiShouLian-001</t>
  </si>
  <si>
    <t>48US-JuanZhiShouLian-002</t>
  </si>
  <si>
    <t>48US-MiddleShouLian001</t>
  </si>
  <si>
    <t>48US-SmallShouLian001</t>
  </si>
  <si>
    <t>48US-SmallShouLian002</t>
  </si>
  <si>
    <t>82欧洲</t>
  </si>
  <si>
    <t>B0D9M5V4J9</t>
  </si>
  <si>
    <t>B08FRGNGGZ</t>
  </si>
  <si>
    <t>B07KD7NDK9</t>
  </si>
  <si>
    <t>B0DRCQHZQS</t>
  </si>
  <si>
    <t>B0BLKBV7T2</t>
  </si>
  <si>
    <t>B0DRF9PR3K</t>
  </si>
  <si>
    <t>B08FM4LMWR</t>
  </si>
  <si>
    <t>B09JWPHF4K</t>
  </si>
  <si>
    <t>B07FQ4MGH6</t>
  </si>
  <si>
    <t>B0DD6XVGKY</t>
  </si>
  <si>
    <t>B0CB1947NZ</t>
  </si>
  <si>
    <t>B08G4MQP82</t>
  </si>
  <si>
    <t>B0CN19YZZ3</t>
  </si>
  <si>
    <t>B0D9M8GYFL</t>
  </si>
  <si>
    <t>B08J3MZQ2M</t>
  </si>
  <si>
    <t>B09M8D5Z9S</t>
  </si>
  <si>
    <t>B0CLY42ZMP</t>
  </si>
  <si>
    <t>B0CB1BDS7V</t>
  </si>
  <si>
    <t>B0C5CWSDGX</t>
  </si>
  <si>
    <t>B09W3RZZQV</t>
  </si>
  <si>
    <t>B0DRFCKH13</t>
  </si>
  <si>
    <t>B0BGKRJGPZ</t>
  </si>
  <si>
    <t>B0CRDMC78Z</t>
  </si>
  <si>
    <t>B0CRHNWNRT</t>
  </si>
  <si>
    <t>B0CRHLR43T</t>
  </si>
  <si>
    <t>B0B9N5PX8H</t>
  </si>
  <si>
    <t>B0BLHZLLK6</t>
  </si>
  <si>
    <t>newsewingmachine-pink</t>
  </si>
  <si>
    <t>ShouZhouQiu-002-82UK</t>
  </si>
  <si>
    <t>P82-FenRenJi</t>
  </si>
  <si>
    <t>82RF-BlueClawMachine</t>
  </si>
  <si>
    <t>B07M5DZK77</t>
  </si>
  <si>
    <t>B07ZGM5XKP</t>
  </si>
  <si>
    <t>B01MDORCGM</t>
  </si>
  <si>
    <t>B07ZGGY529</t>
  </si>
  <si>
    <t>B01N2TK4J6</t>
  </si>
  <si>
    <t>50欧洲</t>
  </si>
  <si>
    <t>B01N9A0C2V</t>
  </si>
  <si>
    <t>B07M5BZHNN</t>
  </si>
  <si>
    <t>B096TLYW2H</t>
  </si>
  <si>
    <t>B096TWM83C</t>
  </si>
  <si>
    <t>B0BCKL1HJ2</t>
  </si>
  <si>
    <t>B0793QX6SJ</t>
  </si>
  <si>
    <t>B083WP6MHS</t>
  </si>
  <si>
    <t>B077SXPC9T</t>
  </si>
  <si>
    <t>B01N38QI5W</t>
  </si>
  <si>
    <t>B06XG9V4Y4</t>
  </si>
  <si>
    <t>B08THHHMYD</t>
  </si>
  <si>
    <t>B0DRVRMLBF</t>
  </si>
  <si>
    <t>B08V54W7V7</t>
  </si>
  <si>
    <t>B01JFU3WXW</t>
  </si>
  <si>
    <t>B0F2MH57MG</t>
  </si>
  <si>
    <t>B01N0TR8UP</t>
  </si>
  <si>
    <t>B0DRCTZ6NK</t>
  </si>
  <si>
    <t>B08MQM4RQV</t>
  </si>
  <si>
    <t>B0F2MHHKGD</t>
  </si>
  <si>
    <t>B07ZGGWS5G</t>
  </si>
  <si>
    <t>B0793QVJDG</t>
  </si>
  <si>
    <t>B08V4WZCBP</t>
  </si>
  <si>
    <t>B0DRVRZZ13</t>
  </si>
  <si>
    <t>B01NBNK676</t>
  </si>
  <si>
    <t>B083WPFN8Y</t>
  </si>
  <si>
    <t>B0DRVPPDSQ</t>
  </si>
  <si>
    <t>B07SVYD7RV</t>
  </si>
  <si>
    <t>B07M8SFB8D</t>
  </si>
  <si>
    <t>B07ZGM8LSX</t>
  </si>
  <si>
    <t>B096V4XVSD</t>
  </si>
  <si>
    <t>B0DRCY3XN1</t>
  </si>
  <si>
    <t>B08B84VYB3</t>
  </si>
  <si>
    <t>B0CB32JWH2</t>
  </si>
  <si>
    <t>B0DRVRVCKD</t>
  </si>
  <si>
    <t>B09B261NK7</t>
  </si>
  <si>
    <t>B0CJ6NGP6S</t>
  </si>
  <si>
    <t>B01N9SZO1J</t>
  </si>
  <si>
    <t>B07LHLV4ZF</t>
  </si>
  <si>
    <t>B0F2MJJFP8</t>
  </si>
  <si>
    <t>B07M89X2B6</t>
  </si>
  <si>
    <t>B0DRVSDCFX</t>
  </si>
  <si>
    <t>B01NCTUHR2</t>
  </si>
  <si>
    <t>B0DRCVZPX7</t>
  </si>
  <si>
    <t>B083WPQRCN</t>
  </si>
  <si>
    <t>B096NVWNBF</t>
  </si>
  <si>
    <t>B0DRVRGPRX</t>
  </si>
  <si>
    <t>B07ZGM9KN5</t>
  </si>
  <si>
    <t>B096V6SMLJ</t>
  </si>
  <si>
    <t>B096TR2VWH</t>
  </si>
  <si>
    <t>B08V55S928</t>
  </si>
  <si>
    <t>B07KCZD1ML</t>
  </si>
  <si>
    <t>B07ZGMB3QN</t>
  </si>
  <si>
    <t>B077QR8L35</t>
  </si>
  <si>
    <t>B0794XVF8F</t>
  </si>
  <si>
    <t>B01MTQ7PAK</t>
  </si>
  <si>
    <t>B096P1BT8K</t>
  </si>
  <si>
    <t>B08T1PRVBG</t>
  </si>
  <si>
    <t>B0F2MJV9F1</t>
  </si>
  <si>
    <t>B0794T3JD9</t>
  </si>
  <si>
    <t>B075GSL478</t>
  </si>
  <si>
    <t>B07Z1KCQDL</t>
  </si>
  <si>
    <t>B07SX1T3JQ</t>
  </si>
  <si>
    <t>B07SRSJZSL</t>
  </si>
  <si>
    <t>B08V4PPGW4</t>
  </si>
  <si>
    <t>B075GJPH6K</t>
  </si>
  <si>
    <t>B07ZGGTJXC</t>
  </si>
  <si>
    <t>B08THK7KR2</t>
  </si>
  <si>
    <t>B083WPKZWR</t>
  </si>
  <si>
    <t>B0794TB2XQ</t>
  </si>
  <si>
    <t>B096P5FBGB</t>
  </si>
  <si>
    <t>B096TNPK9N</t>
  </si>
  <si>
    <t>B08V59NV7T</t>
  </si>
  <si>
    <t>B096TK8DWV</t>
  </si>
  <si>
    <t>B07PMZQ8XN</t>
  </si>
  <si>
    <t>B07ZGGY3GL</t>
  </si>
  <si>
    <t>B01MU3JPO5</t>
  </si>
  <si>
    <t>B096NY1HD4</t>
  </si>
  <si>
    <t>B083WPPZKW</t>
  </si>
  <si>
    <t>B0DRVTB45L</t>
  </si>
  <si>
    <t>B0BLHXCYWM</t>
  </si>
  <si>
    <t>B08FDP4WNK</t>
  </si>
  <si>
    <t>B0F2MJFC3L</t>
  </si>
  <si>
    <t>B07MXKJZN6</t>
  </si>
  <si>
    <t>B08V5G5D4X</t>
  </si>
  <si>
    <t>B07ZGLR5BV</t>
  </si>
  <si>
    <t>B0794VZY7C</t>
  </si>
  <si>
    <t>B01MS8PL3A</t>
  </si>
  <si>
    <t>B07ZGHDGWX</t>
  </si>
  <si>
    <t>B096TX1ZXN</t>
  </si>
  <si>
    <t>B083WP3DZ4</t>
  </si>
  <si>
    <t>B0BDFBXDHP</t>
  </si>
  <si>
    <t>fengrenji-P82-50UK</t>
  </si>
  <si>
    <t>50UK-LiujiantaoRV</t>
  </si>
  <si>
    <t>50UK-BlueMaiGanQiuLing</t>
  </si>
  <si>
    <t>50UK-WheatStrawRattle-Blue</t>
  </si>
  <si>
    <t>50UK-Shouzhuaqiu-3JQ</t>
  </si>
  <si>
    <t>snapshot-date</t>
  </si>
  <si>
    <t>fnsku</t>
  </si>
  <si>
    <t>asin</t>
  </si>
  <si>
    <t>sku</t>
  </si>
  <si>
    <t>product-name</t>
  </si>
  <si>
    <t>condition</t>
  </si>
  <si>
    <t>available</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</si>
  <si>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</si>
  <si>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</si>
  <si>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</si>
  <si>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</si>
  <si>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</si>
  <si>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</si>
  <si>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</si>
  <si>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</si>
  <si>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</si>
  <si>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</si>
  <si>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</si>
  <si>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</si>
  <si>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</si>
  <si>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</si>
  <si>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</si>
  <si>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</si>
  <si>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</si>
  <si>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</si>
  <si>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DEPRECATED 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</si>
  <si>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</si>
  <si>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</si>
  <si>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</si>
  <si>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</si>
  <si>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</si>
  <si>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</si>
  <si>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</si>
  <si>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</si>
  <si>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</si>
  <si>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</si>
  <si>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</si>
  <si>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</si>
  <si>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</si>
  <si>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</si>
  <si>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</si>
  <si>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</si>
  <si>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</si>
  <si>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</si>
  <si>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</si>
  <si>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</si>
  <si>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</si>
  <si>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</si>
  <si>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</si>
  <si>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</si>
  <si>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</si>
  <si>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</si>
  <si>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</si>
  <si>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</si>
  <si>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</si>
  <si>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</si>
  <si>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</si>
  <si>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no-sale-last-6-months</t>
  </si>
  <si>
    <t>Total Reserved Quantity</t>
  </si>
  <si>
    <t>unfulfillable-quantity</t>
  </si>
  <si>
    <t>quantity-to-be-charged-ais-181-210-days</t>
  </si>
  <si>
    <t>estimated-ais-181-210-days</t>
  </si>
  <si>
    <t>quantity-to-be-charged-ais-211-240-days</t>
  </si>
  <si>
    <t>estimated-ais-211-240-days</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</si>
  <si>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</si>
  <si>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</si>
  <si>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</si>
  <si>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</si>
  <si>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</si>
  <si>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</si>
  <si>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</si>
  <si>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</si>
  <si>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</si>
  <si>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</si>
  <si>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</si>
  <si>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</si>
  <si>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</si>
  <si>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</si>
  <si>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</si>
  <si>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</si>
  <si>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</si>
  <si>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</si>
  <si>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Low-Inventory-Level fee?</t>
  </si>
  <si>
    <t>Low-Inventory-Level fee applied in current week?</t>
  </si>
  <si>
    <t>Short term historical days of supply</t>
  </si>
  <si>
    <t>Long term historical days of supply</t>
  </si>
  <si>
    <t>Inventory age snapshot date</t>
  </si>
  <si>
    <t>Inventory Supply at FBA</t>
  </si>
  <si>
    <t>Reserved FC Transfer</t>
  </si>
  <si>
    <t>Reserved FC Processing</t>
  </si>
  <si>
    <t>Reserved Customer Order</t>
  </si>
  <si>
    <t>Reserved Staging</t>
  </si>
  <si>
    <t>Total Days of Supply (including units from open shipments)</t>
  </si>
  <si>
    <t>supplier</t>
  </si>
  <si>
    <t>is-seasonal-in-next-3-months</t>
  </si>
  <si>
    <t>season-name</t>
  </si>
  <si>
    <t>season-start-date</t>
  </si>
  <si>
    <t>season-end-date</t>
  </si>
  <si>
    <t>X0042YZRY5</t>
  </si>
  <si>
    <t>B0CQXJ37CQ</t>
  </si>
  <si>
    <t>NewSewingMachinePink 0001</t>
  </si>
  <si>
    <t>Portable Sewing Machine for Beginners, Mini Electric Sewing Machine 12 Built-in Stitch Patterns, Light, 2 Speed with Foot Pedal &amp; Sewing Kit, Household máquinas de coser for Kids Ages 8-12</t>
  </si>
  <si>
    <t>New</t>
  </si>
  <si>
    <t>USD</t>
  </si>
  <si>
    <t>NoExcessInventory</t>
  </si>
  <si>
    <t>cubic feet</t>
  </si>
  <si>
    <t>Standard</t>
  </si>
  <si>
    <t>US</t>
  </si>
  <si>
    <t>gl_home</t>
  </si>
  <si>
    <t>Low stock</t>
  </si>
  <si>
    <t>Yes</t>
  </si>
  <si>
    <t>No</t>
  </si>
  <si>
    <t>unassigned</t>
  </si>
  <si>
    <t>N</t>
  </si>
  <si>
    <t>X004T1CKOB</t>
  </si>
  <si>
    <t>ROHSCE Push and Go Friction Powered Toy Cars for Toddlers 1-3, Musical Cartoon Excavator Construction Vehicles, Baby Engineering Trucks for 1 2 3 Year Old Boys Girls, Birthday</t>
  </si>
  <si>
    <t>Low traffic</t>
  </si>
  <si>
    <t>Create Outlet deal</t>
  </si>
  <si>
    <t>gl_toy</t>
  </si>
  <si>
    <t>Excess</t>
  </si>
  <si>
    <t>X0042Z3XE5</t>
  </si>
  <si>
    <t>B0CQX71441</t>
  </si>
  <si>
    <t>NewSewingMachineBlack 0002</t>
  </si>
  <si>
    <t>Flying Banana Mini Sewing Machine for Beginners, Portable Electric Small Mending Machine with 12 Stitches, Foot Pedal, LED Light, 2 Speeds, Kids Sewing Kit for Boys &amp; Girls 6-12 Years Old - White</t>
  </si>
  <si>
    <t>NoRestockExcessActionRequired</t>
  </si>
  <si>
    <t>Healthy</t>
  </si>
  <si>
    <t>X002LTO7VR</t>
  </si>
  <si>
    <t>6JianQiuUs-5001</t>
  </si>
  <si>
    <t>ROHSCE Sensory Balls for Baby Sensory Baby Toys 6 to 12 Months for Toddlers 1-3, Bright Color Textured Multi Soft Ball Gift Sets, Montessori Toys for Babies 6-12 Months Infant Toys (6 Pack)</t>
  </si>
  <si>
    <t>X0046NX1NV</t>
  </si>
  <si>
    <t>B0C6T332PH</t>
  </si>
  <si>
    <t>50-huangsepenshuihuojian-2PH</t>
  </si>
  <si>
    <t>ROHSCE Water Rocket Sprinkler for Kids, Outdoor Sprinkler Rocket Launcher Toy for Backyard, Summer Water Toys for Kids Ages 3-12, Fun Water Powered Rocket Toy (Yellow-1)</t>
  </si>
  <si>
    <t>X005554ZWP</t>
  </si>
  <si>
    <t>B0GTL46L4V</t>
  </si>
  <si>
    <t>50US-trainmangluban</t>
  </si>
  <si>
    <t>ROHSCE Baby Activity Cube Toys 12-18 Months, Montessori Musical Train with Lights &amp; Sounds, Shape Sorter Busy Cube, Multifunctional Learning Toys for Toddlers 1-3 Boys Girls</t>
  </si>
  <si>
    <t>Edit listing</t>
  </si>
  <si>
    <t>X004ML2I7R</t>
  </si>
  <si>
    <t>B0F192Z9C9</t>
  </si>
  <si>
    <t>50US-YingErYongQuan-003</t>
  </si>
  <si>
    <t>Baby Pool Float with Removable Canopy Baby Float,Friendly Material Swim Trainer for Toddler Boys Girls,Babies Toy</t>
  </si>
  <si>
    <t>Other</t>
  </si>
  <si>
    <t>gl_outdoors</t>
  </si>
  <si>
    <t>X0051COV53</t>
  </si>
  <si>
    <t>B0GSPQCM17</t>
  </si>
  <si>
    <t>50US-BallsBlocks26PCS-01</t>
  </si>
  <si>
    <t>ROHSCE 26PCS Textured Sensory Balls &amp; Soft Silicone Building Blocks, Montessori Stacking Toy for Babies 6-12 Months, BPA-Free Infant Sensory Toys for Grasping &amp; Early Learning</t>
  </si>
  <si>
    <t>X002UKDWNB</t>
  </si>
  <si>
    <t>B0915H7J7Q</t>
  </si>
  <si>
    <t>FBA-YuLian- parent-0001</t>
  </si>
  <si>
    <t>ROHSCE No Hooks Waffle Weave Mildew Resistant Shower Curtain with Snap in Removable Liner for Bathroom-Hotel Grade,Mesh Top Window, Machine Washable-72x72inch</t>
  </si>
  <si>
    <t>X004MN5Z89</t>
  </si>
  <si>
    <t>B0DTP55X8K</t>
  </si>
  <si>
    <t>50US-MaiGanYaZi-004</t>
  </si>
  <si>
    <t>ROHSCE Baby Bath Toys 6-12 Months, 9 Pcs Wheat Straw Sensory Balls &amp; Ducks, No Hole Floating Toddler Bath Toys, for Boys &amp; Girls 1-3, Textured Squeeze Stress Relief Montessori Set</t>
  </si>
  <si>
    <t>Lower price</t>
  </si>
  <si>
    <t>X003HYQYM5</t>
  </si>
  <si>
    <t>B0BLHYTV6G</t>
  </si>
  <si>
    <t>SoftBuildingBlock-114</t>
  </si>
  <si>
    <t>Soft Building Block Sets for Kids Aged 36 Months to 6 Years Old Top STEM Building Blocks for Preschool Large Construction Block Toys for Toddler to Improve Imagination Creativity Hands-on Ability</t>
  </si>
  <si>
    <t>X0050OVSSP</t>
  </si>
  <si>
    <t>B0CGCM7TXL</t>
  </si>
  <si>
    <t>50US-PangXieBubbleMachine</t>
  </si>
  <si>
    <t>Crab Bubble Bath Maker for The Bathtub,Blows Bubbles and Plays 12 Children’s Songs,Sing-Along Bath Bubble Machine Baby, Toddler Kids Toys Makes Great Gifts for 3 Years Girl Boy</t>
  </si>
  <si>
    <t>X003RGLZ45</t>
  </si>
  <si>
    <t>B0BYVGS56Z</t>
  </si>
  <si>
    <t>YaoKongQi Teether11</t>
  </si>
  <si>
    <t>ROHSCE Silicone Baby Teether Toys, Cell Phone Teething Toys for Babies 6-12 Months Soft Molar Teether Infant Baby Chew Toys Sensory Remote Teether BPA-Free Gifts, Black+Green</t>
  </si>
  <si>
    <t>gl_baby_product</t>
  </si>
  <si>
    <t>X004YXYQ5F</t>
  </si>
  <si>
    <t>B0CT5SFK7T</t>
  </si>
  <si>
    <t>50US-LiHeRuanCiBall6</t>
  </si>
  <si>
    <t>ROHSCE Baby Sensory Balls, 6PCS Soft Textured Spiky Bath Toys 6M+</t>
  </si>
  <si>
    <t>Low conversion</t>
  </si>
  <si>
    <t>X0046NX0JB</t>
  </si>
  <si>
    <t>50-ruantijimu-LK6</t>
  </si>
  <si>
    <t>ROHSCE Soft Building Blocks for Toddler, Blocks for Kids 6 Months and up, Large Creative Stacking Blocks 20 PCS STEM Toddler Toys Gifts, Educational Baby Blocks Colorful Soft Block Sets</t>
  </si>
  <si>
    <t>X002LYPVNF</t>
  </si>
  <si>
    <t>GameGuaTanZsUs-5001</t>
  </si>
  <si>
    <t>Flying Banana Gamer Play &amp; Win Purple Gamepad Tapestry, Cool Colorful Gaming Wall Hanging Tapestry For Men,Bedroom Aesthetic,College Dorm Room Decor(78.7 x 59in)</t>
  </si>
  <si>
    <t>X0051RPOUT</t>
  </si>
  <si>
    <t>B0GJXPV9Q1</t>
  </si>
  <si>
    <t>50US-TankYaoKongQi-002</t>
  </si>
  <si>
    <t>ROHSCE RC Tank Accessories Controller Set, Replacement 2.4GHz Remote Transmitter and Gesture Sensing Watch Control for Compatible Battle Vehicle Toy Spare Parts</t>
  </si>
  <si>
    <t>X004ETS49X</t>
  </si>
  <si>
    <t>B0CRDL2HD6</t>
  </si>
  <si>
    <t>50-PinkGuiDaoClaw-HD6</t>
  </si>
  <si>
    <t>ROHSCE Claw Machine for Kids, Mini Vending Machine Toys for Girls, Arcade Game Toy for Ages 8-13, Electronic Claw Game Machine for Party with Lights Sound, Birthday Gifts for Ages 4+</t>
  </si>
  <si>
    <t>Oversize</t>
  </si>
  <si>
    <t>X004QU0Y93</t>
  </si>
  <si>
    <t>B0DTTVCDCG</t>
  </si>
  <si>
    <t>50US-GenSuiYa-001</t>
  </si>
  <si>
    <t>ROHSCE Duck Tummy Time Toys for Baby, Musical Toys for Toddlers, Baby Crawling Baby Toys for Boys Girls, Early Learning Education, Christmas Birthday Gifts for Babies 18 Months</t>
  </si>
  <si>
    <t>Out of stock</t>
  </si>
  <si>
    <t>X0051RXUQ9</t>
  </si>
  <si>
    <t>B0GJYDMJ8D</t>
  </si>
  <si>
    <t>50US-TankTiHuanJiShen-03</t>
  </si>
  <si>
    <t>ROHSCE Green RC Tank Accessories Replacement Body Shell, Plastic Hull Cover for Remote Control Tank Model, Repair Spare Part Upgrade Kit for RC Hobby Tracked Vehicle</t>
  </si>
  <si>
    <t>B08F3GFQYJ</t>
  </si>
  <si>
    <t>JIaJieMao12taozhuang-0012</t>
  </si>
  <si>
    <t>Yayalovehomee Magnetic Eyelashes and Magnetic Eyeliner Kit, 12 Pairs of Different Styles Reusable Magnetic Eyelashes with 2 Special Magnetic Eyeliners and Tweezers, Easy to Apply with Natural Look</t>
  </si>
  <si>
    <t>gl_beauty</t>
  </si>
  <si>
    <t>X003F87X73</t>
  </si>
  <si>
    <t>B0BHF5ZBS6</t>
  </si>
  <si>
    <t>TuMaMaBalls</t>
  </si>
  <si>
    <t>ROHSCE Montessori Sensory Balls for Babies 6 to 12 Months, Soft Textured Multi Sensory Toys, BPA Free - Gift Set Includes: Toddler Ball, Bath Toys</t>
  </si>
  <si>
    <t>B09GVMZLSF</t>
  </si>
  <si>
    <t>JIMU9JIAN</t>
  </si>
  <si>
    <t>Flying Banana Building Blocks Baby Toys for 3 Months and up, Soft Squeeze Sensory Colorful Teething Chewing Educational Stacking Blocks with 3D Embossed Patterns</t>
  </si>
  <si>
    <t>X003EOK7TJ</t>
  </si>
  <si>
    <t>B0BGBWZY8G</t>
  </si>
  <si>
    <t>BubbleGun-Blue-2</t>
  </si>
  <si>
    <t>Automatic Bubble Machine for Kids, Kids Bubble Makers Bubble Machine Gun with Light, Automatic Gatling Bubble Gun for Adult &amp; Kids, Rechargeable Bubble Machine for Party, Large Bubble Blower</t>
  </si>
  <si>
    <t>X00554YAPD</t>
  </si>
  <si>
    <t>B0GXNYXWXP</t>
  </si>
  <si>
    <t>50US-yinyueguPINK-003</t>
  </si>
  <si>
    <t>ROHSCE Infant Musical Drum Toy – Colorful Interactive Drum Playset with Lights and Sounds, Perfect for Enhancing Sensory Awareness, Motor Skills, and Early Cognitive Development</t>
  </si>
  <si>
    <t>X004YIAEBZ</t>
  </si>
  <si>
    <t>B0DSZRWS75</t>
  </si>
  <si>
    <t>50US-TankRuanDanLanTou</t>
  </si>
  <si>
    <t>ROHSCE Blue Foam Dart Launcher Attachment for RC Toy Vehicle, Soft Foam Dart Shooter Replacement Module for Remote Control Stunt Car Toy, Kids RC Toy Accessory Spare Part</t>
  </si>
  <si>
    <t>X004SQ5VN9</t>
  </si>
  <si>
    <t>B0FGC9SZ4D</t>
  </si>
  <si>
    <t>HuocheMaoRongChe002</t>
  </si>
  <si>
    <t>ROHSCE Plush Remote Control Train for Toddlers, Soft RC Car with 2.4GHz Two-Button Remote, Washable Soft Cover, for Boys &amp; Girls Ages 18 Months+</t>
  </si>
  <si>
    <t>X003DY3UUN</t>
  </si>
  <si>
    <t>SZQchuxuGuan-03</t>
  </si>
  <si>
    <t>ROHSCE Sensory Balls Montessori Toys for Babies 6-12 Months, Baby Sensory Toys Turtle Toys Bright Color Textured Multi Soft Balls, BPA Free Ball for Toddlers 1-3 Teething Gifts</t>
  </si>
  <si>
    <t>CreateShippingPlan</t>
  </si>
  <si>
    <t>gl_sports</t>
  </si>
  <si>
    <t>X004957WDB</t>
  </si>
  <si>
    <t>B0CJ5B2DXY</t>
  </si>
  <si>
    <t>50busyboard-0001</t>
  </si>
  <si>
    <t>ROHSCE Montessori Busy Board Sensory Toys for Toddlers 1-3, Activity Music &amp; LED Light Up Montessori Toys for 2+ Year Old, Travel Toys for 2 Year Old Boys &amp; Girls, 2025</t>
  </si>
  <si>
    <t>X004JMVLFJ</t>
  </si>
  <si>
    <t>B0GG4GS8FZ</t>
  </si>
  <si>
    <t>50-WuziMangLuBan</t>
  </si>
  <si>
    <t>ROHSCE Baby Busy Board for 1 Year Old, Musical Montessori House Busy Board with Light &amp; Music, Toddler Activity Toy for Boys Girls 12-18 Months, 1 Year Old Birthday Gift</t>
  </si>
  <si>
    <t>X003EOGQWL</t>
  </si>
  <si>
    <t>B0BGBXHL7T</t>
  </si>
  <si>
    <t>BubbleGun-Blue-1</t>
  </si>
  <si>
    <t>ROHSCE Automatic Bubble Machine for Kids, Kids Bubble Makers Bubble Machine Gun with Light, Automatic Gatling Bubble Gun for Kids, Rechargeable Bubble Machine Bubble Blower for Party, Blue</t>
  </si>
  <si>
    <t>X003RGBQ1R</t>
  </si>
  <si>
    <t>B0BYVFS9H1</t>
  </si>
  <si>
    <t>YaoKongQi Teether06</t>
  </si>
  <si>
    <t>ROHSCE Silicone Baby Teether Toys, Mobile Phone Shape Teething Toys for Babies 6-12 Months Soft Molar Teether Infant Baby Chew Toys Sensory Phone Teether for Baby BPA-Free Gifts, Yellow</t>
  </si>
  <si>
    <t>X003E7KZCZ</t>
  </si>
  <si>
    <t>B0BFDXJ925</t>
  </si>
  <si>
    <t>shouchifengrenji</t>
  </si>
  <si>
    <t>Mini Handheld Electric Sewing Machine for Kids &amp; Sewing Beginners, Portable Sewing Machine with Sewing Kit for Household Sewing</t>
  </si>
  <si>
    <t>X00335CKC1</t>
  </si>
  <si>
    <t>B09MK2ZTK1</t>
  </si>
  <si>
    <t>50-FB-bluepuzzle-001</t>
  </si>
  <si>
    <t>Flying Banana Wooden Face Changing Cube Matching Game Puzzle, Expressions Matching Block Puzzles Building Cubes Game Educational Social Toys for Kids Ages 3 Years and Up</t>
  </si>
  <si>
    <t>X003WOREFL</t>
  </si>
  <si>
    <t>YaokongYueyeche-006</t>
  </si>
  <si>
    <t>ROHSCE RC Tank that Shoots Gesture Sensing RC Tank, 2.4GHz Battle Soft Bullets Hand Control Car Drift Remote Control Trucks for Boys &amp; Girls 8-12, Remote Control Tank with Light Music</t>
  </si>
  <si>
    <t>X004MPM67P</t>
  </si>
  <si>
    <t>ROHSCE Baby Sensory Balls 6–12 Months, Soft Spiky Textured Teething Toys for Infants Montessori Grasping &amp; Learning Balls for Tactile Development &amp; Play</t>
  </si>
  <si>
    <t>X004SHE0FN</t>
  </si>
  <si>
    <t>50US-NEWp-Sewing Machine White020</t>
  </si>
  <si>
    <t>Mini Sewing Machine for Beginners-Maquina de Coser, Easy Automatic Sewing Machine with Extension Table, Household Electric Portable Sewing Tool with Sewing Kit, Small, for All Age, Kids or Adults</t>
  </si>
  <si>
    <t>X003RGBNZL</t>
  </si>
  <si>
    <t>B0BYVFTT4X</t>
  </si>
  <si>
    <t>YaoKongQi Teether09</t>
  </si>
  <si>
    <t>ROHSCE Silicone Baby Teether Toys, Remote Game Control Teething Toys for Babies 6-12 Months Soft Molar Teether Infant Baby Chew Toys Sensory Remote Teether BPA-Free Gifts, Black+Dark Blue</t>
  </si>
  <si>
    <t>X003G49PO5</t>
  </si>
  <si>
    <t>SoftBuildingBlock-9</t>
  </si>
  <si>
    <t>X004MKHF03</t>
  </si>
  <si>
    <t>B0F18Z6W15</t>
  </si>
  <si>
    <t>50US-YingErYongQuan-005</t>
  </si>
  <si>
    <t>Baby Pool Float with Removable Sun Canopy,Infant Swim Float with Anti-Flip Tail Design Baby Toy</t>
  </si>
  <si>
    <t>X0046MF699</t>
  </si>
  <si>
    <t>B0CFZM7ZMN</t>
  </si>
  <si>
    <t>50-lansexiaoshuiqiang-MN</t>
  </si>
  <si>
    <t>ROHSCE Electric Water Gun Pistol, Rechargeable Automatic Squirt Guns Up to 26 FT Range, One-Button Powerful Squirt Guns for Kids &amp; Adults Summer Swimming Pool Party Beach Outdoor Activity, Blue</t>
  </si>
  <si>
    <t>X004MKYNOJ</t>
  </si>
  <si>
    <t>B0F192ZFBS</t>
  </si>
  <si>
    <t>50US-YingErYongQuan-002</t>
  </si>
  <si>
    <t>ROHSCE Baby Beach Float with Canopy 1 Year Old Pool Float 6 Month Pool Float 12 Month Swim Float for Infants &amp; Toddlers Infant Swim Float</t>
  </si>
  <si>
    <t>Create removal order</t>
  </si>
  <si>
    <t>X003FOM7BJ</t>
  </si>
  <si>
    <t>B0BJBDJRTB</t>
  </si>
  <si>
    <t>Teether-HongLan</t>
  </si>
  <si>
    <t>Silicone Baby Teether Toys, Silicone Baby Teething Toys, BPA Free Teething Relief Baby Toys, Soft Textured Toddler Molar Toy, Silicone Teethers for Babies - 2 Pack…</t>
  </si>
  <si>
    <t>X0051KLQX5</t>
  </si>
  <si>
    <t>B0GJYW6Z2F</t>
  </si>
  <si>
    <t>50US-TankYaoKongQi-001</t>
  </si>
  <si>
    <t>ROHSCE 2-in-1 RC Tank Remote Controller Set, Replacement Handheld Controller and Gesture Sensing Watch Remote for Compatible Stunt Battle Tank Toy, RC Tank Spare Accessories</t>
  </si>
  <si>
    <t>X0046MLIKF</t>
  </si>
  <si>
    <t>B0CDLWPTCN</t>
  </si>
  <si>
    <t>50-xiaohaohongseshuqiang-TCN</t>
  </si>
  <si>
    <t>ROHSCE Electric Water Gun Pistol, Automatic Adult Water Pistol, Powerful Squirt Guns Long Range, Backyard Beach Party Toy, Pistolas De Agua Holiday Deals for Kids</t>
  </si>
  <si>
    <t>X003IXZ8FJ</t>
  </si>
  <si>
    <t>B0BMXGWYJ8</t>
  </si>
  <si>
    <t>diediele-01</t>
  </si>
  <si>
    <t>ROHSCE Baby Sensory Stacking Rings - Montessori Educational Developmental Learning Infant Toys - Soft Building Blocks Toddlers - Baby Toys Newborn for 6 9 12 18 Month 1 One Year Old Girls Boys Gifts</t>
  </si>
  <si>
    <t>X003799QHF</t>
  </si>
  <si>
    <t>B09W29MZHD</t>
  </si>
  <si>
    <t>2yaojiao</t>
  </si>
  <si>
    <t>Silicone Baby Teether Toys, BPA Free Teething Relief, Soft Textured Toddler Molar Teethers for Babies - 2 Pack</t>
  </si>
  <si>
    <t>X003RGLZ3V</t>
  </si>
  <si>
    <t>B0BYVCWKJD</t>
  </si>
  <si>
    <t>YaoKongQi Teether08</t>
  </si>
  <si>
    <t>ROHSCE 2 Pcs Silicone Baby Teether Toys, Remote Game Control Teething Toys for Babies 6-12 Months Soft Molar Teether Infant Baby Chew Toys Sensory Remote Teether BPA-Free Gifts, Pink</t>
  </si>
  <si>
    <t>X005522ABV</t>
  </si>
  <si>
    <t>B0H38PBQSJ</t>
  </si>
  <si>
    <t>50US-yuer003</t>
  </si>
  <si>
    <t>X004QM4UD7</t>
  </si>
  <si>
    <t>B0DYN23PHP</t>
  </si>
  <si>
    <t>50-3Ddongwupintu-Shizi2</t>
  </si>
  <si>
    <t>ROHSCE 3D Puzzles for Kids Ages 3-8 - 6 Pack Animal Models (Lion, Dino, Elephant) - DIY EVA Foam Jigsaw Puzzle Toy - STEM Educational Building Kit Arts &amp; Crafts Gift for Boys &amp; Girls</t>
  </si>
  <si>
    <t>X002O7Y9LT</t>
  </si>
  <si>
    <t>B08KT79KJG</t>
  </si>
  <si>
    <t>FBA-10JianTaoShouZhuaQiu-BeiZi</t>
  </si>
  <si>
    <t>Sensory Balls for Baby, Infant Toys 6-12 Months, Textured Multi Balls for Toddlers 1-3 Colorful Soft Squeezy Bath Toy with Stacking Cups Montessori Toys for Babies Juguetes Para Bebes de 0 a 6 Meses</t>
  </si>
  <si>
    <t>X004SQMZBP</t>
  </si>
  <si>
    <t>B0FGCFD9FS</t>
  </si>
  <si>
    <t>XiaocheMaoRongChe001</t>
  </si>
  <si>
    <t>ROHSCE Plush Remote Control Bus for Toddlers, 2.4GHz Soft Body RC Car with Music Universal Brick-Compatible Roof, Easy 2-Button Controller, Durable Wheels, Gift Toy for Boys &amp; Girls Ages 2–5</t>
  </si>
  <si>
    <t>X002QT71KV</t>
  </si>
  <si>
    <t>New4JianTaoQiu-02</t>
  </si>
  <si>
    <t>ROHSCE Montessori Toys for Babies 3 Months+, Baby Balls 3 to 12 Month for Babies &amp; Toddlers 3M+, Textured Multi Ball Set Colorful &amp; Soft Squeezy Sensory Toys. Stress Relief Balls for Infant (4 Pack)</t>
  </si>
  <si>
    <t>X00554QX3F</t>
  </si>
  <si>
    <t>B0H3FCR75C</t>
  </si>
  <si>
    <t>50US-yinyueguBlue-001</t>
  </si>
  <si>
    <t>ROHSCE Musical Drum Toy with Sound Effects, Colorful Baby Music Toy with Double Drum Pads, Buttons, Lights and Melodies, Interactive Early Learning Musical Toy Gift for Toddlers Boys Girls</t>
  </si>
  <si>
    <t>X0046ME5HX</t>
  </si>
  <si>
    <t>B0CDLW2X17</t>
  </si>
  <si>
    <t>50-dahongseshuiqiang-X17</t>
  </si>
  <si>
    <t>ROHSCE Electric Water Gun, Powerful Automatic Water Gun, Long Range Classic Big Electronic Watergun, Summer Outdoor Beach and Pool Party Toy, Holiday Deals Water Blaster Toy for Kids Adults, Red</t>
  </si>
  <si>
    <t>X003DYNUKD</t>
  </si>
  <si>
    <t>B0BDFBYHNQ</t>
  </si>
  <si>
    <t>SZQchuxuGuan-02</t>
  </si>
  <si>
    <t>ROHSCE Balls for Toddlers 1-3 Baby Sensory Toys, Montessori Toys for Babies 6-12 Months Baby Toys, Sensory Ball BPA Free Teething Gift Toddler Balls Bath Toys with Bright Color Multi Textured</t>
  </si>
  <si>
    <t>X004T2YG3N</t>
  </si>
  <si>
    <t>ROHSCE Rainbow Stacker Pull Along Toy for Toddlers 18-36 Months, Montessori 2 in 1 Stacking Toys Push &amp; Pull Toys, Autism Sensory Learning Toy with 6 Nesting Arches, Baby Gifts for Christmas Birthday</t>
  </si>
  <si>
    <t>X0051KLSBP</t>
  </si>
  <si>
    <t>B0GJZ76Q62</t>
  </si>
  <si>
    <t>50US-TankTiHuanJiShen-02</t>
  </si>
  <si>
    <t>ROHSCE Green RC Tank Replacement Body, RC Tank Accessories Plastic Hull Shell Cover for Remote Control Tank Toy, Repair Upgrade Spare Parts for Hobby Model Vehicles</t>
  </si>
  <si>
    <t>X004RPXR2X</t>
  </si>
  <si>
    <t>FengrenjiP82-NEWp</t>
  </si>
  <si>
    <t>Sewing Machine for Beginners with Extension Table, Adjustable 2-Speed 2-Thread Mini Sewing Machine, Portable Electric Maquina de Coser with Foot Pedal, Perfect for DIY, Ideal Gift for Kids and Adults</t>
  </si>
  <si>
    <t>B09M6DVNWX</t>
  </si>
  <si>
    <t>NeiLian-BaiSe</t>
  </si>
  <si>
    <t>Snap-in Clear Shower Curtain Liner Replacement Hotel Qulity Premium Polyester Waterproof Fabric with Bottom Weighted Magnets to stable for Bathroom and Bathtub - Machine Washable 70 x 54 inch</t>
  </si>
  <si>
    <t>X004ETIY4N</t>
  </si>
  <si>
    <t>B0FP4VXQV9</t>
  </si>
  <si>
    <t>50-ErTongYuGang-LWL</t>
  </si>
  <si>
    <t>Small Fish Tank, Portable Betta Fish Tank for Kids with LED Light, Air Pump,Battery,Small Aquarium KIT - Perfect for Home Decor and Pet Care,Educational Science Gifts for Kids</t>
  </si>
  <si>
    <t>gl_pet_products</t>
  </si>
  <si>
    <t>X002QADNUH</t>
  </si>
  <si>
    <t>FBA-ShouZhuaQiu-3JQ</t>
  </si>
  <si>
    <t>ROHSCE Sensory Balls for Baby, 6PCS Textured Sensory Toys for Toddlers 1-3</t>
  </si>
  <si>
    <t>X002LZJLYJ</t>
  </si>
  <si>
    <t>B08FDQBKW2</t>
  </si>
  <si>
    <t>10CunDengZsUs-5001</t>
  </si>
  <si>
    <t>Flying Banana 10 inch Selfie Ring Light With Tripod Stand and Cell Phone Holder &amp; Remote Control 3 Light Modes For YouTube Videos/Makeup Light/Live Streaming/Vlog Compatible For iPhone &amp; Android Phone</t>
  </si>
  <si>
    <t>gl_wireless</t>
  </si>
  <si>
    <t>X002M44UOZ</t>
  </si>
  <si>
    <t>YuLianZsUs3-5001</t>
  </si>
  <si>
    <t>ROHSCE Hookless Shower Curtain Set with Snap-in Liner, 250GSM Waffle Weave Fabric, Hotel Grade, Mesh Window, Weighted Hem, 72x74 Inch - Black</t>
  </si>
  <si>
    <t>X003HY2WML</t>
  </si>
  <si>
    <t>B0BLHZG8SC</t>
  </si>
  <si>
    <t>SoftBuildingBlock-112</t>
  </si>
  <si>
    <t>ROHSCE Baby Blocks, 34PCS Soft Building Blocks for Babies 12M+</t>
  </si>
  <si>
    <t>X003IXQXAD</t>
  </si>
  <si>
    <t>B0BMXGYDTX</t>
  </si>
  <si>
    <t>diediele-07</t>
  </si>
  <si>
    <t>ROHSCE Famure 6 Pieces Stacking Rings Stacking Blocks Montessori Toys Soft Stacking Blocks Ring Stacker Early Learning Toys for Babies</t>
  </si>
  <si>
    <t>X002Y9PO5H</t>
  </si>
  <si>
    <t>B098WSPFTH</t>
  </si>
  <si>
    <t>YLSZQ-0708</t>
  </si>
  <si>
    <t>Sensory Balls Baby Toys 6 to 12 Months Textured Multicolor 7 Pcs, Hand Catching Balls Rattle Sensory Toys for Toddlers 1-3 Sensory Developmental Newborn Baby Toys</t>
  </si>
  <si>
    <t>X004OTJ8S9</t>
  </si>
  <si>
    <t>Flying Banana Portable Dual Speed Electric Sewing Kit for Beginners with Extension Table, Mini Sewing Machine with Light, Foot Pedal &amp; Accessories for Household Travel DIY Crafts Repair, White</t>
  </si>
  <si>
    <t>Advertise listing</t>
  </si>
  <si>
    <t>X004MN5N2H</t>
  </si>
  <si>
    <t>B0DTNYLQ2G</t>
  </si>
  <si>
    <t>50US-MaiGanYaZi-001</t>
  </si>
  <si>
    <t>ROHSCE Sensory Balls for Babies, Ball for Toddlers 1-3, Wheat Straw Soft &amp; Textured Multi Sensory Baby Toy 6-12 Months Squeeze, Infant Montessori Gift Set for Kids 5 Pack</t>
  </si>
  <si>
    <t>X002M74JFR</t>
  </si>
  <si>
    <t>B08FT9HHFL</t>
  </si>
  <si>
    <t>FBAChunCaiGuanHunHe</t>
  </si>
  <si>
    <t>Flying Banana 10ml 20 PCS Squeeze Tubes for Lip Gloss,12 PCS Lip Gloss Tubes with Wand Empty, Containers for Lip Gloss Cosmetic with syringe sticker</t>
  </si>
  <si>
    <t>X003RGBQ21</t>
  </si>
  <si>
    <t>B0BYVH9CX8</t>
  </si>
  <si>
    <t>YaoKongQi Teether10</t>
  </si>
  <si>
    <t>ROHSCE Silicone Baby Teether Toys, Remote Control Shape Teething Toys for Babies 6-12 Months Soft Molar Teether Infant Baby Chew Toys Sensory Remote Teether BPA-Free Gifts 2 Pack, Black+White</t>
  </si>
  <si>
    <t>X003795G4H</t>
  </si>
  <si>
    <t>15yuer</t>
  </si>
  <si>
    <t>Soft Bionic Fishing Lure - 10 PCS Soft Plastic Swim Baits for Bass, Freshwater &amp; Saltwater Top Water Fishing Lures</t>
  </si>
  <si>
    <t>X0033OR1OT</t>
  </si>
  <si>
    <t>Neilian-Bai-1214-FBA</t>
  </si>
  <si>
    <t>X002O92CVV</t>
  </si>
  <si>
    <t>YuLian-02-FBA</t>
  </si>
  <si>
    <t>GoToRestock</t>
  </si>
  <si>
    <t>X004MN5N2R</t>
  </si>
  <si>
    <t>ROHSCE Baby Stacking Cups &amp; Sensory Ball Set, Textured Sensory Toys for Babies, Soft Castle Nesting Blocks, Newborn Teether &amp; Bath Toys 6-12 Months, 8 PCS Montessori Learning Gifts for Toddlers 1-3</t>
  </si>
  <si>
    <t>X0053FICH1</t>
  </si>
  <si>
    <t>B0GYNV85ZW</t>
  </si>
  <si>
    <t>50US-LadybugR-05</t>
  </si>
  <si>
    <t>Interactive Ladybug Rattle Toy for Babies – LED Lights &amp; Music with Colorful Rings – Ideal for 3-24 Month Infants – Fine Motor Development Toy with Engaging Sounds</t>
  </si>
  <si>
    <t>X003345V8R</t>
  </si>
  <si>
    <t>B09MB4RN1R</t>
  </si>
  <si>
    <t>50-SL-30Sshalou-002</t>
  </si>
  <si>
    <t>Flying Banana 30 Seconds Sandglass Sand Clock Timers Time Saver Game Timer Toy Gift for Kids Random</t>
  </si>
  <si>
    <t>X00334A4Y3</t>
  </si>
  <si>
    <t>B09MB24LCB</t>
  </si>
  <si>
    <t>50-FCWH-whitepuzzle-002</t>
  </si>
  <si>
    <t>Wooden Face Changing Cube Expressions Matching Block Game Puzzles Cute Building Blocks with Bell Social Board Games for 3+ Years Kids Christmas Birthday Gift</t>
  </si>
  <si>
    <t>X004R78I0R</t>
  </si>
  <si>
    <t>B0CDGKZK2K</t>
  </si>
  <si>
    <t>50US-100SoftBuildingBlocks</t>
  </si>
  <si>
    <t>ROHSCE 100PCS Baby Blocks Set with Storage Bucket, Building Block Toys STEM Educational Toddler Gifts, Rubber Soft Blocks for Preschool, Sensory Stacking Toys to Improve Creativity</t>
  </si>
  <si>
    <t>gl_biss</t>
  </si>
  <si>
    <t>X004FT1CDR</t>
  </si>
  <si>
    <t>B0CW9GKWSL</t>
  </si>
  <si>
    <t>50GuiJiaoDieLe-Pink</t>
  </si>
  <si>
    <t>ROHSCE Silicone Stacking Toys for Babies, Rainbow Stacker, Montessori Nesting Blocks Soft Building Toys Large Sensory Stacking Toys for Creative Play &amp; Learning, for Toddlers, 7CPS</t>
  </si>
  <si>
    <t>X0046NFKCV</t>
  </si>
  <si>
    <t>B0CDLWP5HK</t>
  </si>
  <si>
    <t>50-cailansedashuiqiang-5HK</t>
  </si>
  <si>
    <t>ROHSCE Electric Water Gun for Kids, Automatic Squirt Guns 32FT Long Range, Powerful Auto Water Absorption, Modular High Battery Powered, Summer Pool Beach Outdoor Game Toys for Kids Age 8-12</t>
  </si>
  <si>
    <t>X003DYF9PH</t>
  </si>
  <si>
    <t>B0BDF7CTWP</t>
  </si>
  <si>
    <t>jimuSZQdiequan-01</t>
  </si>
  <si>
    <t>Baby Toys 6 to 12 Months, Soft Building Blocks &amp; Baby Sensory Balls &amp; Stacking Rings, 3 in 1 Montessori Toys for 1 Year Old, Educational Infant Toys, Baby Sensory Toys for Toddler 1-3, Learning Toys</t>
  </si>
  <si>
    <t>X004TC2W5H</t>
  </si>
  <si>
    <t>ROHSCE 2-in-1 Rainbow Stacker &amp; Pull-Along Chameleon Toy for Toddlers 18-36 Months, Montessori-Inspired Nesting Arch Stacking Toy, Push &amp; Pull Sensory Learning Toy, Christmas Birthday Gift</t>
  </si>
  <si>
    <t>X003HYWYY7</t>
  </si>
  <si>
    <t>B0BLK8TLVM</t>
  </si>
  <si>
    <t>YaokongYueyeche-004</t>
  </si>
  <si>
    <t>Remote Control Car, 2.4GHz All Terrain Off-Road RC Stunt Cars with Inflatable Wheels, Rechargeable Batteries for 1 Hour Play, Glow Up RC Truck Toys for Boys Kids Age 4-7 8-12 Birthday Charisma Gift</t>
  </si>
  <si>
    <t>X003IXZ8FT</t>
  </si>
  <si>
    <t>B0BMXFZYLJ</t>
  </si>
  <si>
    <t>diediele-03</t>
  </si>
  <si>
    <t>ROHSCE 6 Pcs Stacking Rings Soft Toys for Babies 6 Months and up Toddlers Sensory Educational Montessori Baby Blocks Developmental Teething Learning Stacker Girls Boys</t>
  </si>
  <si>
    <t>X0046NXNL1</t>
  </si>
  <si>
    <t>B0CDLW4ZCT</t>
  </si>
  <si>
    <t>50-baisedahongseshuiqiang-ZCT</t>
  </si>
  <si>
    <t>ROHSCE Electric Water Gun, Powerful Automatic Squirt Guns, Long Range Classic Big Electronic Watergun, Electric Squirt Gun Water Blaster Toy for Kids Adults, Summer Pool Beach Outdoor Game Toys</t>
  </si>
  <si>
    <t>X003F49WNP</t>
  </si>
  <si>
    <t>HuoJian-Hei</t>
  </si>
  <si>
    <t>ROHSCE Rocket Launcher for Kids 8-12, Electric Powered Toy Launcher, Motorized Air Toys with Parachute Outdoor Toys for Kids Ages 6-8, Launch up to 250 ft Birthday Gift…</t>
  </si>
  <si>
    <t>X004JNA3J3</t>
  </si>
  <si>
    <t>B0CCJLXS14</t>
  </si>
  <si>
    <t>TouMingZiFengRen</t>
  </si>
  <si>
    <t>Flying Banana Mini Sewing Machine for Beginners Kids, Portable Electric Dual Speed Repairing Mending Tool with Light Foot Pedal, Household Travel DIY Kit, Transparent Purple</t>
  </si>
  <si>
    <t>X0045PK07Z</t>
  </si>
  <si>
    <t>NewBabyBall 0007</t>
  </si>
  <si>
    <t>X0047HWYC5</t>
  </si>
  <si>
    <t>50DaHaoLanWaWaJi-78Z</t>
  </si>
  <si>
    <t>ROHSCE Mini Claw Machine for Kids | Electric Vending Machine Toy Arcade Game Toy with Mini Prizes, Candy Claw Machine Toys Adjustable Sound and Music, Birthday Gifts for Girls</t>
  </si>
  <si>
    <t>X004V6TWRH</t>
  </si>
  <si>
    <t>B0CN1BW4C7</t>
  </si>
  <si>
    <t>NewHuoJian-200FT</t>
  </si>
  <si>
    <t>Rocket Launcher, 170 Feet of Flight Altitude, Model Rocket Kits with Launch Set, Rocket Toy, Kids Outdoor Toys, Gift for Kids Ages 8-12 Children's Day Gift</t>
  </si>
  <si>
    <t>X004QTLDU3</t>
  </si>
  <si>
    <t>B0DTTJ2PNV</t>
  </si>
  <si>
    <t>50US-GenSuiYa-002</t>
  </si>
  <si>
    <t>ROHSCE Duck Tummy Time Toys Set, Crawling Baby Toy with Music and Light,Musical Toys for Toddlers 1-3, Duck Toy for Learning Crawl, Christmas Birthday Gift for Boys Girls</t>
  </si>
  <si>
    <t>X003416GER</t>
  </si>
  <si>
    <t>B09P47QVR2</t>
  </si>
  <si>
    <t>TaiYanGuaTan-2022</t>
  </si>
  <si>
    <t>Flying Banana Sun and Moon Tapestry, Burning Sun with Stars Psychedelic Popular Mystic Wall Hanging Tapestry For Bedroom Aesthetic (78.7 x 59in)</t>
  </si>
  <si>
    <t>X002LYPIWJ</t>
  </si>
  <si>
    <t>B08FDP1X8N</t>
  </si>
  <si>
    <t>TaiYangGuaTanZsUs-5001</t>
  </si>
  <si>
    <t>Sun and Moon Tapestry, Burning Sun with Stars Psychedelic Popular Mystic Wall Hanging Tapestry For Bedroom Aesthetic (78.7 x 59in)</t>
  </si>
  <si>
    <t>X0045P95Q7</t>
  </si>
  <si>
    <t>B0BLHJ5G3N</t>
  </si>
  <si>
    <t>SZQchuxu-02</t>
  </si>
  <si>
    <t>ROHSCE Sensory Balls for Toddlers 1-3, Montessori Toys for Babies 6-12 Months, Easter Baby Toys, Sensory Balls for Easter Basket, BPA Free Teething Gift, Toddler Bath Toys with Multi Textured</t>
  </si>
  <si>
    <t>X003F4JGO5</t>
  </si>
  <si>
    <t>B0BGKTVG8X</t>
  </si>
  <si>
    <t>HuoJian-Bai</t>
  </si>
  <si>
    <t>ROHSCE Rocket Launcher, 200 Feet of Flight Altitude, Model Rocket Kits with Launch Set, Rocket Toy with Parachute, Outdoor Toys for Kids Ages 4-8, Gifts for Kids Ages 8-12</t>
  </si>
  <si>
    <t>X0051KHYG3</t>
  </si>
  <si>
    <t>B0GJYRXJJC</t>
  </si>
  <si>
    <t>50US-4PCSTankLunZi-002</t>
  </si>
  <si>
    <t>ROHSCE Black Set of 4 RC Stunt Car Replacement Wheels, Compatible Durable Spare Tire Kit for Kids Remote Control Toy Vehicle Repair, Easy-Install RC Car Accessories Parts</t>
  </si>
  <si>
    <t>X0051RPOVD</t>
  </si>
  <si>
    <t>B0GJZ4Z1LY</t>
  </si>
  <si>
    <t>50US-RuanDanTankFaSheTou-02</t>
  </si>
  <si>
    <t>ROHSCE Green Foam Dart Launcher Attachment for RC Toy Vehicle, Soft Dart Shooter Replacement Module for Remote Control Stunt Car, Kids RC Car Accessory Spare Part</t>
  </si>
  <si>
    <t>X004ETS4YX</t>
  </si>
  <si>
    <t>B0GFMRGFXW</t>
  </si>
  <si>
    <t>50-LvHeGunZhu-PQ8</t>
  </si>
  <si>
    <t>Glow in The Dark Marble Run 325 Piece Set Motorized Elevator STEM Maze Construction Blocks Kids Ages 3 Plus Easter Birthday Gift Boys Girls</t>
  </si>
  <si>
    <t>X004OU3YTR</t>
  </si>
  <si>
    <t>Flying Banana Mini Sewing Machine with Extension Table, Dual Speed Portable Electric Sewing Machine for Beginners, Small Household Mending Kit with Light, Foot Pedal, AC/Battery Operated, White</t>
  </si>
  <si>
    <t>X004SGZ5GR</t>
  </si>
  <si>
    <t>B0FG6QPB1X</t>
  </si>
  <si>
    <t>50NEWShouzhuaqiu6P-B</t>
  </si>
  <si>
    <t>ROHSCE Sensory Balls for Babies 6-12 Months, 6PCS Textured Sensory Ball Set, Montessori Toy for Baby Development, Soft Infant Toy for Fine Motor Skills, Early Learning Gift for Baby</t>
  </si>
  <si>
    <t>X004JN3H2D</t>
  </si>
  <si>
    <t>B0CDGNFQMH</t>
  </si>
  <si>
    <t>50-RuanJiMu80Tong</t>
  </si>
  <si>
    <t>ROHSCE 80PCS Baby Building Blocks Set with Storage Bucket, Blocks for Babies 6 Months and Up STEM Educational Toddler Gifts, Rubber Soft Blocks Big Building Blocks Sensory Stacking Toys</t>
  </si>
  <si>
    <t>X0051RPOV3</t>
  </si>
  <si>
    <t>B0GJXG2RGH</t>
  </si>
  <si>
    <t>50US-4PCSTankLunZi-003</t>
  </si>
  <si>
    <t>ROHSCE RC Stunt Car Replacement Wheels Set of 4, Durable Spare Tires for Kids Remote Control Toy Vehicle, Easy-Install Wheel Kit Repair Accessories, Black</t>
  </si>
  <si>
    <t>X004LO70U5</t>
  </si>
  <si>
    <t>B0D944QLV4</t>
  </si>
  <si>
    <t>HuoYanMiCaiTank-LV4</t>
  </si>
  <si>
    <t>ROHSCE Remote Control Car - SC9 RC Tank with Gel Blaster, 4WD Remote Control Tank, LED, Rechargeable Battery, 360° Rotating RC Stunt Car, Battle Tank Toy Birthday Gift for Boys, Girls</t>
  </si>
  <si>
    <t>X003HY2WMV</t>
  </si>
  <si>
    <t>B0BLHXLT8F</t>
  </si>
  <si>
    <t>SoftBuildingBlock-116</t>
  </si>
  <si>
    <t>ROHSCE Soft Building Block Sets for Baby 36 Months, Top STEM Building Blocks for Kids Preschool Large Construction Block Toys for Toddler to Improve Imagination Creativity Hands-on Ability</t>
  </si>
  <si>
    <t>X003UEWQJH</t>
  </si>
  <si>
    <t>B0C6Z8L3J1</t>
  </si>
  <si>
    <t>8JianTaoQiu-02</t>
  </si>
  <si>
    <t>ROHSCE Montessori Toys - 8pc Sensory Balls for Baby, Soft Textured Multi Sensory Toys for Babies Massage Balls for Toddlers 1-3, Toy for 3 Month old Gift Set BPA Free Montessori Infant 6-12 Month toys</t>
  </si>
  <si>
    <t>X004REJC55</t>
  </si>
  <si>
    <t>B0DTPHV3WP</t>
  </si>
  <si>
    <t>XuanCaiQiuLingzu1</t>
  </si>
  <si>
    <t>Sensory Balls for Toddlers 1-3, Sensory Baby Toys 6-12 Months, Infant Squeeze Sensory Toys,Baby Rattle Ball, Baby Teething Sensory Montessori Toys Soft Chew Toy with Rattles for Babies</t>
  </si>
  <si>
    <t>X003RGLZ3L</t>
  </si>
  <si>
    <t>B0BYVDRR2D</t>
  </si>
  <si>
    <t>YaoKongQi Teether07</t>
  </si>
  <si>
    <t>ROHSCE 2 Pcs Silicone Baby Teether Toys, Remote Control Shape Teething Toys for Babies 6-12 Months Soft Molar Teether Infant Baby Chew Toys Sensory Remote Teether BPA-Free Gifts, Black+Yellow</t>
  </si>
  <si>
    <t>X003HYQYMZ</t>
  </si>
  <si>
    <t>B0BLHTPMZR</t>
  </si>
  <si>
    <t>23pcs-03</t>
  </si>
  <si>
    <t>ROHSCE Baby Stacking Toys for Toddlers, 23 Pcs Soft Building Blocks Rings Balls, Montessori Toys for Babies 6-12 Months, Sensory Balls Infant Toys Learning Teething Gifts</t>
  </si>
  <si>
    <t>X0033P1UNV</t>
  </si>
  <si>
    <t>B09NM7TK9B</t>
  </si>
  <si>
    <t>Cup-5p-FBA-003</t>
  </si>
  <si>
    <t>ROHSCE Stacking Cups Bath Toy, Hamburger Design with Interactive Faces Stacking Cup for Baby Toddler Infant 6 PCS</t>
  </si>
  <si>
    <t>X002MD9PRD</t>
  </si>
  <si>
    <t>B08G4RHLJH</t>
  </si>
  <si>
    <t>FBA QiQiuZs-01</t>
  </si>
  <si>
    <t>Flying Banana Navy Blue Balloon Garland Arch Kit With Pump-101pcs Latex Gold Confetti White Macaron Blue Gray And Gold Balloons For Wedding Bridal &amp; Baby Shower Birthday,Anniversary Graduation Party</t>
  </si>
  <si>
    <t>X0034NS7T7</t>
  </si>
  <si>
    <t>FBA-YOUXIGuaTan-2</t>
  </si>
  <si>
    <t>X0046NYHC5</t>
  </si>
  <si>
    <t>B0CDGK13SD</t>
  </si>
  <si>
    <t>50-80ruanjimu-3SD</t>
  </si>
  <si>
    <t>ROHSCE Baby Soft Blocks Set, Big Building Block Toys, Soft Rubber Blocks for Babies 6 Months and Up STEM Educational Toddler Gifts, Baby Soft Blocks Sensory Stacking Toys, 80PCS</t>
  </si>
  <si>
    <t>X004QKNWY7</t>
  </si>
  <si>
    <t>ROHSCE 3D Animal Puzzles for Kids Ages 4-8, DIY Educational Paper Craft Kit, 5 Cartoon Animals STEM Learning Toys for Boys and Girls, Easy to Assemble, Birthday Gifts</t>
  </si>
  <si>
    <t>X0044EPRHP</t>
  </si>
  <si>
    <t>B0CT5RHX92</t>
  </si>
  <si>
    <t>NewBabyBall 0019</t>
  </si>
  <si>
    <t>ROHSCE Baby Toy Set, 3 in 1 Baby Blocks, Teething Rings &amp; Sensory Balls 6M+</t>
  </si>
  <si>
    <t>X003BAH0ZP</t>
  </si>
  <si>
    <t>B0B6G7CMF1</t>
  </si>
  <si>
    <t>teether4</t>
  </si>
  <si>
    <t>Frozen Teething Toys for Babies, Cold Teethers for Babies, Baby Teething Relief, Toddler Teething Toys for Molars, Silicone Teethers for Babies, Sensory Baby Boy Toys 6 to 12 Months - 4 Pack</t>
  </si>
  <si>
    <t>X004U6YUWZ</t>
  </si>
  <si>
    <t>ROHSCE Burger Maker Playdough Set for Kids, 12 Color Modeling Clay Kitchen Food Playset with Burger Press &amp; Breakfast Molds, Creative Pretend Cooking Toy for Boys &amp; Girls Ages 3+ Birthday Gifts</t>
  </si>
  <si>
    <t>X0033OQ4GZ</t>
  </si>
  <si>
    <t>B09NM5CQQQ</t>
  </si>
  <si>
    <t>Rattle-Lan-FBA-1214</t>
  </si>
  <si>
    <t>ROHSCE Baby Rattle Balls, Easy Grasp Sensory Toys for 3-6 Months</t>
  </si>
  <si>
    <t>X004NUKHWF</t>
  </si>
  <si>
    <t>B0CGV45XZK</t>
  </si>
  <si>
    <t>50BingQiLinBubble-XZK</t>
  </si>
  <si>
    <t>ROHSCE Bath Toys for Toddlers, Ice Cream Maker Bath Toy, Bubble Pretend Cake Play Toys Set Gift for Kids Baby Boys Girls Bath Time</t>
  </si>
  <si>
    <t>X004SQCBHN</t>
  </si>
  <si>
    <t>B0FGCH3SSK</t>
  </si>
  <si>
    <t>HuocheMaoRongChe001</t>
  </si>
  <si>
    <t>ROHSCE Plush RC Train for Toddlers 18m+, 2.4GHz Two-Button Remote Control Toys, Machine-Washable Cover, Brick-Compatible Build-On Top, Quiet Floor-Safe Wheels, Music, Gift-Ready</t>
  </si>
  <si>
    <t>X003HYJKSF</t>
  </si>
  <si>
    <t>B0BLKDTF5P</t>
  </si>
  <si>
    <t>YaokongYueyeche-001</t>
  </si>
  <si>
    <t>Remote Control Car, 2.4GHz All Terrain Off-Road RC Stunt Cars with Inflatable Wheels, Rechargeable Batteries for 60 Minutes Play, Glow Up RC Truck Toys for Boys Kids Age 4-7 8-12 Birthday Easter Gift</t>
  </si>
  <si>
    <t>X0044E5KO5</t>
  </si>
  <si>
    <t>B0CT5PL82Y</t>
  </si>
  <si>
    <t>NewBabyBall 0013</t>
  </si>
  <si>
    <t>ROHSCE Soft Spiky Sensory Balls, Textured Baby Toys 6 to 12 Months</t>
  </si>
  <si>
    <t>X0042ZEF65</t>
  </si>
  <si>
    <t>50US-ShouZhuaQiu6-DK9</t>
  </si>
  <si>
    <t>VintageⅢ Sensory Balls for Babies 6-12 Months, 6 Pack Soft Textured Montessori Baby Sensory Toys, Squeeze &amp; Grasp Toddler Balls for 1-3, Bright Color Multi Ball Set, Christmas Stocking Stuffers</t>
  </si>
  <si>
    <t>X003BAKSGD</t>
  </si>
  <si>
    <t>B0B6G8W7FR</t>
  </si>
  <si>
    <t>teether2</t>
  </si>
  <si>
    <t>Frozen Silicone Teether Toys for Babies &amp; Toddlers - Molars Teething Relief, Sensory Baby Teethers 6-12 Months - 2 Pack</t>
  </si>
  <si>
    <t>X0044EGVJ3</t>
  </si>
  <si>
    <t>B0CT5TKD1T</t>
  </si>
  <si>
    <t>NewBabyBall 0016</t>
  </si>
  <si>
    <t>ROHSCE Bath Toys, Soft Sport Sensory Balls for Toddlers Boys Girls No Hole Wheat Straw Soft Montessori Toys for Babies 6 Months+, Swimming Pool Beach Shower Baby Toys</t>
  </si>
  <si>
    <t>X0047I4ZTJ</t>
  </si>
  <si>
    <t>B0CB1C5BM1</t>
  </si>
  <si>
    <t>50ShenLanGuidaoche-BM1</t>
  </si>
  <si>
    <t>Logical Road Builder, STEM Board Games Brain Teaser, Kids Puzzle Games Educational Montessori Toys, Large Board Games Birthday Gifts for 4 5 6 7 Year Old Preschool Boys Girls</t>
  </si>
  <si>
    <t>X003348ZYJ</t>
  </si>
  <si>
    <t>B09MB44HV2</t>
  </si>
  <si>
    <t>50-SL-1Mshalou-002</t>
  </si>
  <si>
    <t>Flying Banana 1 Minute Sand Glass Sand Clock Timers Time Saver Game Timer Toy Gift for Kids Random</t>
  </si>
  <si>
    <t>X002UEW7D3</t>
  </si>
  <si>
    <t>B08ZRZ3L8X</t>
  </si>
  <si>
    <t>FBA-YuLian-0001</t>
  </si>
  <si>
    <t>ROHSCE No Hooks Waffle Weave Waterproof Shower Curtain with Snap in Removable Liner for Bathroom-Hotel Grade,Mesh Top Window, Machine Washable-72x72inch</t>
  </si>
  <si>
    <t>X004UBGY97</t>
  </si>
  <si>
    <t>ROHSCE Montessori Ball Drop Toy for Toddlers 1-3, 2-in-1 Basketball Shooting Launcher with Spiral Ball Ramp Tower, Cause &amp; Effect Preschool Learning, Birthday for Boys Girls</t>
  </si>
  <si>
    <t>X00429U4KR</t>
  </si>
  <si>
    <t>B0CCDN9422</t>
  </si>
  <si>
    <t>HeiYaokongYueyeche-009</t>
  </si>
  <si>
    <t>ROHSCE RC Tank Car with Drift,Hand Gesture Control Dual Mode Stunt Truck with Light, Spray and Music, 2.4Ghz Free Deformation Remote Control Fighting Bullets Vehicle for Kids</t>
  </si>
  <si>
    <t>X003Z5JGD5</t>
  </si>
  <si>
    <t>B0CJ6P3P9F</t>
  </si>
  <si>
    <t>Balls Rattle 020</t>
  </si>
  <si>
    <t>ROHSCE Montessori Toys - Sensory Balls for Toddlers, Multiple Textures Colorful Toddler Sensory Toys for Babies 1-3 Hand Catching Baby Balls, Baby Rattle 3-6 Months Old Baby Toys for 6-12 Months</t>
  </si>
  <si>
    <t>X004YYH11Z</t>
  </si>
  <si>
    <t>ROHSCE Push and Go Baby Friction Powered Toy Cars for Toddlers 1-3, Construction Trucks for Babies 6-12 Months, Airplane Toy Cars with Light and Music, One Year Old Boy Birthday Gift</t>
  </si>
  <si>
    <t>X0042ZEH5T</t>
  </si>
  <si>
    <t>50US-ShouZhuaQiu6-H6</t>
  </si>
  <si>
    <t>ROHSCE Infant Sensory Ball Set -Bright Colorful Sensory Toys for Babies Explore Texture with Delightful Massage Soft Balls,Baby Ball Toy for Babies 6-12 Months 6 PCS</t>
  </si>
  <si>
    <t>X0054Z97MT</t>
  </si>
  <si>
    <t>B0H38L7DSY</t>
  </si>
  <si>
    <t>50US-yuer004</t>
  </si>
  <si>
    <t>X003Z5TLLR</t>
  </si>
  <si>
    <t>Balls Rattle 002</t>
  </si>
  <si>
    <t>ROHSCE Sensory Balls - Montessori Toys, Multiple Textures Toddler Sensory Toys for Babies 1-3, Hand Catching Baby Balls, Blue Rattle 3-6 Months</t>
  </si>
  <si>
    <t>X004QMH4V7</t>
  </si>
  <si>
    <t>ROHSCE 3D Animal Puzzles for Kids Ages 3-8 Boys &amp; Girls, DIY Art Craft Educational Learning Toys, Safe Foam Model Building Kits, Fun STEM Project Activity, Birthday Gift for 3 4 5 6 Year Old</t>
  </si>
  <si>
    <t>X002M30JJ1</t>
  </si>
  <si>
    <t>B08FB848R2</t>
  </si>
  <si>
    <t>XE-2441-RYK3</t>
  </si>
  <si>
    <t>Eco Friendly TPE Yoga Accessories Mat with Alignment System, Carrying Strap, Extra Thick 1/4" Workout Big Grappling Mats Textured Non Slip Surface, Yoga Blanket Avoid Sore Knees for Pilates Fitness and Floor Gymnastics Exercises.</t>
  </si>
  <si>
    <t>X002MDJ33T</t>
  </si>
  <si>
    <t>B08G7YMHDD</t>
  </si>
  <si>
    <t>DongWuGuoqiZuanZs-02</t>
  </si>
  <si>
    <t>4 Sets 5d Diamond Art Kits for Adults.Diamond Painting Kits for Kids，Full Drill Rhinestone American Flag with Animals Diamond Art for Home Decor.15.8x12inches</t>
  </si>
  <si>
    <t>X004U6ZOVL</t>
  </si>
  <si>
    <t>ROHSCE Kids Color Dough Food Play Set, Hamburger Maker &amp; Breakfast Pretend Kitchen Tools Kit, Modeling Clay Arts and Crafts DIY Playset for Toddlers Ages 3+ Boys Girls Birthday</t>
  </si>
  <si>
    <t>X004DXI2DN</t>
  </si>
  <si>
    <t>50-DaHaoMangLuBan-DXY</t>
  </si>
  <si>
    <t>X0044EO7Y9</t>
  </si>
  <si>
    <t>B0CT57RMJT</t>
  </si>
  <si>
    <t>NewBabyBall 0006</t>
  </si>
  <si>
    <t>ROHSCE Baby Sensory Balls, Soft Spiky No-Hole Bath Toys for Toddlers 1-3</t>
  </si>
  <si>
    <t>X002R9B55R</t>
  </si>
  <si>
    <t>B08RC1XJ3X</t>
  </si>
  <si>
    <t>GuaTan+GuaBan</t>
  </si>
  <si>
    <t>Video Game Tapestry and Keep Out Gamer at Play Metal Sign, Mordern Purple Gaming Wall Tapestry Retro Funny Gamer Sign for Boys Bedroom College Dorm Gamer Room Wall Decor Hanging 80 x 60 Inches</t>
  </si>
  <si>
    <t>X00552PO9B</t>
  </si>
  <si>
    <t>B0H38RFRSL</t>
  </si>
  <si>
    <t>50US-yuer002</t>
  </si>
  <si>
    <t>X0046MH29L</t>
  </si>
  <si>
    <t>B0C8CMPHJG</t>
  </si>
  <si>
    <t>50-penshuihuojian-HJG</t>
  </si>
  <si>
    <t>ROHSCE Launch Water Rocket Kids Water Toys for The Backyard Sprinkler Toy Outdoor Kids' Toys Summer Rocket Garden Sprinkler for 3 4 5 6 7 8 Year Old (Crocodile)</t>
  </si>
  <si>
    <t>X004ETS1X7</t>
  </si>
  <si>
    <t>B0CRDNDTMV</t>
  </si>
  <si>
    <t>50-shengdanwawa-TMV</t>
  </si>
  <si>
    <t>ROHSCE Claw Machine for Kids, Mini Vending Arcade Capsule Game With Prizes for Ages 8-13 Girls | Candy Machine With LED Lights &amp; Adjustable Sound, Party Christmas Toys Gifts</t>
  </si>
  <si>
    <t>X003WHHF1L</t>
  </si>
  <si>
    <t>B0CCDL7D4M</t>
  </si>
  <si>
    <t>HeiYaokongYueyeche-007</t>
  </si>
  <si>
    <t>ROHSCE RC Tank Car with Drift, Remote and Hand Gesture Control Dual Mode Stunt Truck with Light,2.4Ghz Free Deformation Remote Control Fighting Bullets Vehicle for Kids and Adults</t>
  </si>
  <si>
    <t>X004JN8QP1</t>
  </si>
  <si>
    <t>B0C5RJRVZV</t>
  </si>
  <si>
    <t>50-ShuangerXiongClaw</t>
  </si>
  <si>
    <t>ROHSCE Mini Claw Machine for Kids | Arcade Game Toy Claw Machine Electric Candy Bear Vending Machine Toy with LED Lights &amp; Adjustable Sound, Christmas Birthday Gifts for Girls Ages 4+</t>
  </si>
  <si>
    <t>X003RGVT3R</t>
  </si>
  <si>
    <t>B0BYVG8SW6</t>
  </si>
  <si>
    <t>YaoKongQi Teether04</t>
  </si>
  <si>
    <t>ROHSCE Silicone Baby Teether Toys, Remote Control Shape Teething Toys for Babies 6-12 Months Soft Molar Teether Infant Baby Chew Toys Sensory Remote Teether BPA-Free Gifts, Pink</t>
  </si>
  <si>
    <t>B07FRF1KBK</t>
  </si>
  <si>
    <t>FBA-ShouZhuaQiu-10pcs-From149</t>
  </si>
  <si>
    <t>ROHSCE Super Durable 10 Pack Sensory Balls for baby kids,Massage Soft Textured Set</t>
  </si>
  <si>
    <t>X004QYCION</t>
  </si>
  <si>
    <t>B0FG7CR2JF</t>
  </si>
  <si>
    <t>XiaoXiongMangLuBan-0007</t>
  </si>
  <si>
    <t>ROHSCE Montessori Busy Board for Toddlers 1-3, Baby Educational Activity Board with Lights &amp; Music, Sensory Toys for Fine Motor Skills, Travel Toys for Airplane Cars, Gift for Boys Girls</t>
  </si>
  <si>
    <t>X004ETTL6D</t>
  </si>
  <si>
    <t>B0DDHBTLWL</t>
  </si>
  <si>
    <t>50-YuGang-LWL</t>
  </si>
  <si>
    <t>Small Fish Tank, Portable Betta Fish Tank for Kidmp,Battery,Small Aquarium KIT - Perfect for Home Decor and Pet Care,Educational Science Gifts for Kids</t>
  </si>
  <si>
    <t>X004F78G29</t>
  </si>
  <si>
    <t>B0CJ6Q3PV7</t>
  </si>
  <si>
    <t>Balls Rattle 005</t>
  </si>
  <si>
    <t>ROHSCE Montessori Toys Sensory Balls for Babies, Colorful Textured Sensory Toys for Babies 1-3, Hand Catching Baby Balls, Wheat Straw Baby Rattle Baby Toys Newborn Gifts for 6-12 Months</t>
  </si>
  <si>
    <t>X00544CRNV</t>
  </si>
  <si>
    <t>B0H1HCD81C</t>
  </si>
  <si>
    <t>BLhuojian-taikong</t>
  </si>
  <si>
    <t>ROHSCE High-Flying Electric Rocket Toy for Kids, Launch Up to 250FT with Parachute and LED Lights, Fun Outdoor Backyard Game</t>
  </si>
  <si>
    <t>X002MCGH2Z</t>
  </si>
  <si>
    <t>B08G851B9J</t>
  </si>
  <si>
    <t>TaiYangZuanZs-09</t>
  </si>
  <si>
    <t>3 Pack 5d Diamond Art Kits for Adults.Diamond Painting Kits for Kids，Full Drill Rhinestone Moon Diamond Art for Home Decor. 12 * 12 inches</t>
  </si>
  <si>
    <t>X004TSGOXH</t>
  </si>
  <si>
    <t>B0FG72N63D</t>
  </si>
  <si>
    <t>50US-KaTongShouZhuaQiu6P</t>
  </si>
  <si>
    <t>ROHSCE 6-Pack Baby Sensory Balls, Textured &amp; Animal Face Toddler Balls, BPA-Free Soft Teething Toys, Montessori Developmental Toys for Babies 6-12 Months, for Infant</t>
  </si>
  <si>
    <t>X004LU8AAD</t>
  </si>
  <si>
    <t>B0DTNZP416</t>
  </si>
  <si>
    <t>50US-MaiGanShuZi-009</t>
  </si>
  <si>
    <t>ROHSCE Baby Sensory Ball Set,Soft Textured Squeeze Balls Montessori Toys,Senses Toys for Touch Hand Ball,Sensory Balls for Toddlers 1-3</t>
  </si>
  <si>
    <t>X004YTEX25</t>
  </si>
  <si>
    <t>X0049NGG6R</t>
  </si>
  <si>
    <t>B0GFM9S94W</t>
  </si>
  <si>
    <t>50bufeiji-07</t>
  </si>
  <si>
    <t>ROHSCE Soft Felt Building Kit for Toddlers DIY Stackable Learning Toy 37 Piece Creative STEM Construction Airplane Train Animal Builds Easter Basket Gift</t>
  </si>
  <si>
    <t>X004OUOCV1</t>
  </si>
  <si>
    <t>B0CVZVND5J</t>
  </si>
  <si>
    <t>SouZiMuDaXie001</t>
  </si>
  <si>
    <t>ROHSCE Domino Train Toy, 80 PCS Kids Games Automatic Dominos Set, STEM Montessori Toys for 3 Year Old, Colorful Lights &amp; Music Creative Gifts for Boys Girls Autistic Age 3 4 5 6+</t>
  </si>
  <si>
    <t>X003TPWRTV</t>
  </si>
  <si>
    <t>B0C5CBPHJS</t>
  </si>
  <si>
    <t>New4JianTaoQiu-04</t>
  </si>
  <si>
    <t>ROHSCE Baby Balls, 4 Pack Textured Multi Ball Set for Babies 3 Months+</t>
  </si>
  <si>
    <t>X003HYW8LV</t>
  </si>
  <si>
    <t>SoftBuildingBlock-117</t>
  </si>
  <si>
    <t>ROHSCE Soft Building Blocks for Toddlers, Large Building Blocks Stacking Blocks for Babies 6 Months and Up Stem Toddler Gifts, Teething Toys, 40 PCS</t>
  </si>
  <si>
    <t>X004QO3P63</t>
  </si>
  <si>
    <t>B0DYMMZPFK</t>
  </si>
  <si>
    <t>50-3DpuzzleLu02</t>
  </si>
  <si>
    <t>ROHSCE 3D Puzzles for Kids Ages 3-8, 5 Pack Animal EVA Foam DIY Craft Toy for Boys &amp; Girls, Educational STEM Building Model Kit, Birthday Gift for 3 4 5 6 Year Olds (No Glue Needed)</t>
  </si>
  <si>
    <t>X004V6ZOZB</t>
  </si>
  <si>
    <t>B0CN1CBDWB</t>
  </si>
  <si>
    <t>NewHuoJian-Space</t>
  </si>
  <si>
    <t>Rocket Launcher, 170 Feet of Flight Altitude, Model Rocket Kits with Launch Set, Ultra-high Flying Rocket, Rocket Toy, Kids Outdoor Toys, Gift for Kids Ages 8-12 Children's Day Gift</t>
  </si>
  <si>
    <t>X0036315S5</t>
  </si>
  <si>
    <t>B09SWM87BG</t>
  </si>
  <si>
    <t>Paper Liner-12</t>
  </si>
  <si>
    <t>50pcs Air Fryer Disposable Paper Liner, Oil Proof Air Fryer Parchment Paper Liners for Air Fryer Basket Non-stick Disposable Air Fryer Liners Round Parchment Paper for Air Fryer, 6.3 inch</t>
  </si>
  <si>
    <t>gl_kitchen</t>
  </si>
  <si>
    <t>X004AHPAZ5</t>
  </si>
  <si>
    <t>amzn.gr.FBA-Mini_Sewing_Machin-pCtnGg-VG</t>
  </si>
  <si>
    <t>X004MN9AFX</t>
  </si>
  <si>
    <t>ROHSCE Bath Toys for Toddlers 1-3, 8 Pcs No Hole Wheat Straw Rubber Ducks, Christmas Stocking Stuffers Gifts for Boys &amp; Girls 6-12 Months, Floating Baby Bath Toys for Sensory Learning &amp; Education</t>
  </si>
  <si>
    <t>X002MD9BCR</t>
  </si>
  <si>
    <t>FBA-BEIYONG-FengRenJi</t>
  </si>
  <si>
    <t>X004JMWEDH</t>
  </si>
  <si>
    <t>B0CCJLDRM4</t>
  </si>
  <si>
    <t>HuLanFengRenJI202</t>
  </si>
  <si>
    <t>Flying Banana Mini Sewing Machine for Beginners, Portable Electric Sewing Kit with Foot Pedal, Extension Table, LED Light, Dual Power, Accessories Included, Ideal for DIY, Home, Travel &amp; Gifts</t>
  </si>
  <si>
    <t>X002M2YEJD</t>
  </si>
  <si>
    <t>FBA-Mini Sewing Machine White020</t>
  </si>
  <si>
    <t>X004YXMBDJ</t>
  </si>
  <si>
    <t>ROHSCE Push and Go Dump Truck Toy Cars, Friction Powered Construction Truck with Lights and Music, Baby Toddler Toy Car for 12-18 Months, First Birthday Gift for Boys and Girls</t>
  </si>
  <si>
    <t>X004UE6R3R</t>
  </si>
  <si>
    <t>B0FG712TD5</t>
  </si>
  <si>
    <t>FangCheBusyBoard01</t>
  </si>
  <si>
    <t>ROHSCE Busy Board for Toddlers 1-3, Montessori Travel Activity Toys with Music, Portable Toddler Activity Board to Develop Fine Motor Skills, Educational Toys for 1 Year Old Boys Girls</t>
  </si>
  <si>
    <t>X003RGLZ3B</t>
  </si>
  <si>
    <t>B0BZCTGD1S</t>
  </si>
  <si>
    <t>YaoKongQi Teether27</t>
  </si>
  <si>
    <t>ROHSCE Silicone Baby Teether Toys, Mobile Phone Shape Teething Toys for Babies 6-12 Months Soft Molar Teether Infant Baby Chew Toys Sensory Cell Phone Teether BPA-Free Gifts, Green</t>
  </si>
  <si>
    <t>X004TW6WET</t>
  </si>
  <si>
    <t>ROHSCE Crawling Duck Baby Toy with Music &amp; Lights, Waddling Follow Duck Tummy Time Toy for Infants 6–12 Months, Developmental Learning Gift for 1 Year Old Toddlers Boys Girls</t>
  </si>
  <si>
    <t>X0044FMRSB</t>
  </si>
  <si>
    <t>B0CTQG25QM</t>
  </si>
  <si>
    <t>MaiGanRattle 0002</t>
  </si>
  <si>
    <t>ROHSCE Sensory Rattle Balls, Textured Teething Sensory Toy for Babies 6-12M</t>
  </si>
  <si>
    <t>X00335558R</t>
  </si>
  <si>
    <t>50-FW-whitepuzzle-001</t>
  </si>
  <si>
    <t>X003CQ2X1T</t>
  </si>
  <si>
    <t>RubberBall-6</t>
  </si>
  <si>
    <t>ROHSCE Baby Sensory Balls, Soft Rubber Balls for Toddlers 1-3, Montessori Sensory Bath Toys 6 to 12 Months, Kids Soccer Ball, Sport &amp; Outdoors Baby Ball, 6 Rubber Soft Toys for Kids</t>
  </si>
  <si>
    <t>X003IXQXAN</t>
  </si>
  <si>
    <t>B0BMXH19Q2</t>
  </si>
  <si>
    <t>diediele-06</t>
  </si>
  <si>
    <t>6PCS Montessori Baby Stacking Nesting Rings Toy Stacking Rings Letters Numbers Fruits Symbols Comprehensive Early Educational Toy</t>
  </si>
  <si>
    <t>X002QBFSWR</t>
  </si>
  <si>
    <t>FengRenJi-FBA-P82</t>
  </si>
  <si>
    <t>X002UQJYDH</t>
  </si>
  <si>
    <t>B091DL6GQ5</t>
  </si>
  <si>
    <t>YingErYaoLing-0001</t>
  </si>
  <si>
    <t>Baby Toys 3-6 Months Sensory Rattle Balls Textured, Hand Catching Balls Rattle Sensory Easy-Grasp Toy Toys for Babies Infant Toy Sensory Developmental Newborn Baby Toys 6 to 12 Months</t>
  </si>
  <si>
    <t>X004OTEWHL</t>
  </si>
  <si>
    <t>X0046NUPU3</t>
  </si>
  <si>
    <t>B0C6T3RDP4</t>
  </si>
  <si>
    <t>50-baisepenshuihuojian-DP4</t>
  </si>
  <si>
    <t>ROHSCE Water Rocket Sprinkler for Kids, Outdoor Sprinkler Rocket Launcher Toy for Backyard, Summer Water Toys for Kids Ages 3-12, Fun Water Powered Rocket Toy (White-2)</t>
  </si>
  <si>
    <t>X0044E5Z09</t>
  </si>
  <si>
    <t>B0CT5R73WS</t>
  </si>
  <si>
    <t>NewBabyBall 0010</t>
  </si>
  <si>
    <t>ROHSCE Soft Spiky Sensory Ball, 4PCS Massage Sensory Balls for Toddlers 1-3</t>
  </si>
  <si>
    <t>X004DXBCGR</t>
  </si>
  <si>
    <t>B0CW9NVMSZ</t>
  </si>
  <si>
    <t>50-GuiJiao-MSZ</t>
  </si>
  <si>
    <t>ROHSCE Silicone Blocks Soft Building Blocks, Montessori Educational Toy Soft Baby Blocks for Teething Gifts, Large Sensory Stacking Toys for Preschool Learning Creative Play, 20PCS</t>
  </si>
  <si>
    <t>X003HYINCJ</t>
  </si>
  <si>
    <t>SoftBuildingBlock-115</t>
  </si>
  <si>
    <t>X003HY2WN5</t>
  </si>
  <si>
    <t>B0BLHWVCHD</t>
  </si>
  <si>
    <t>23pcs-05</t>
  </si>
  <si>
    <t>ROHSCE Baby Building Blocks, 3 in 1 Montessori Toys for Babies 6-12 Months, 23 PCS Baby Blocks &amp; Stacking Rings &amp; Sensory Balls for Toddlers Learning Toys Gifts for Babies 6-12-18 Months</t>
  </si>
  <si>
    <t>X0051KTMTF</t>
  </si>
  <si>
    <t>B0GJWXPW57</t>
  </si>
  <si>
    <t>50US-RuanDanTankFaSheTou-01</t>
  </si>
  <si>
    <t>ROHSCE Green Foam Dart Launcher Attachment for RC Toy Vehicle, Soft Foam Dart Shooting Module Replacement Part for Remote Control Stunt Car, Kids RC Car Toy Accessory</t>
  </si>
  <si>
    <t>X0051RXUQT</t>
  </si>
  <si>
    <t>B0GJYVWJQB</t>
  </si>
  <si>
    <t>50US-TankTiHuanJiShen-04</t>
  </si>
  <si>
    <t>ROHSCE Blue RC Tank Accessories Replacement Body Shell, Plastic Hull Cover for Remote Control Tank Model, Repair Spare Part Upgrade Kit for RC Hobby Tracked Vehicle</t>
  </si>
  <si>
    <t>X0047HZFDP</t>
  </si>
  <si>
    <t>50DaHaoClawMachine-DGX</t>
  </si>
  <si>
    <t>ROHSCE Mini Claw Machine for Kids | Girl Toys for Ages 8-13 Arcade Game Toy Claw Machine Electric Candy Vending Machine Toy with LED Lights &amp; Adjustable Sound, Birthday Gifts for Girls Ages 4+, Pink</t>
  </si>
  <si>
    <t>X0033498I1</t>
  </si>
  <si>
    <t>B09MB2TKN1</t>
  </si>
  <si>
    <t>50-Bell-001</t>
  </si>
  <si>
    <t>Call Bell Service Bell for Desk, Desk Bell 3.35 Inch Diameter with Metal Anti-Rust Construction, for Hotels, Schools, Dinner, Hotel, Reception Areas, Hospitals</t>
  </si>
  <si>
    <t>gl_office_product</t>
  </si>
  <si>
    <t>X004YIC4HR</t>
  </si>
  <si>
    <t>B0DSZXX3H2</t>
  </si>
  <si>
    <t>50US-TankLanLun</t>
  </si>
  <si>
    <t>ROHSCE Replacement Wheels Set of 4 for RC Stunt Car, Toy Vehicle Wheel Kit Spare Parts, Durable RC Car Replacement Tires for Kids Remote Control Car Repair Accessories</t>
  </si>
  <si>
    <t>X003IY1OW9</t>
  </si>
  <si>
    <t>B0BMXG3BV7</t>
  </si>
  <si>
    <t>diediele-02</t>
  </si>
  <si>
    <t>ROHSCE Baby Stacking Cup Toy Embossed Soft Glue Stacking Educational Early Creative Toys for Gift</t>
  </si>
  <si>
    <t>X00472NPS7</t>
  </si>
  <si>
    <t>B0CDGKTNS9</t>
  </si>
  <si>
    <t>50-BuildingBlocksNS9</t>
  </si>
  <si>
    <t>ROHSCE Baby Soft Blocks Building Block Toys, Blocks for Babies 6 Months and Up STEM Educational Toddler Gifts, Soft Rubber Baby Blocks 12-18 Months Big Building Blocks Sensory Toys, 70PCS</t>
  </si>
  <si>
    <t>X004SQMVCD</t>
  </si>
  <si>
    <t>B0FGCJ2332</t>
  </si>
  <si>
    <t>XiaocheMaoRongChe002</t>
  </si>
  <si>
    <t>ROHSCE Plush RC Car for Toddlers, 2.4GHz Soft-Body Remote Control Car with Music, Soft Washable Cover, Gentle Indoor Wheels, Christmas &amp; Birthday Gift for Toddlers Baby Girls Ages 18 Months+</t>
  </si>
  <si>
    <t>X005559MZF</t>
  </si>
  <si>
    <t>B0GXP8YF7R</t>
  </si>
  <si>
    <t>50US-yinyueguPINK-001</t>
  </si>
  <si>
    <t>ROHSCE Interactive Baby Drum Toy – Fun Dual Drum Playset with Lights and Sound, Enhances Sensory Development, Fine Motor Skills, and Early Learning for Infants and Toddlers</t>
  </si>
  <si>
    <t>X0055B3TUD</t>
  </si>
  <si>
    <t>B0GWLYYX48</t>
  </si>
  <si>
    <t>WovenBall-001</t>
  </si>
  <si>
    <t>ROHSCE Baby Grasping Sensory Balls Set – 6 Soft Textured Hand Grip Balls for Infants &amp; Toddlers, Promotes Tactile Exploration, Fine Motor Skills Development, Early Learning for Babies 0-12 Months</t>
  </si>
  <si>
    <t>X002ORE8DD</t>
  </si>
  <si>
    <t>B085MW37KX</t>
  </si>
  <si>
    <t>FBA-Gen10ball-01</t>
  </si>
  <si>
    <t>ROHSCE 10 Pack Sensory Balls for Babies &amp; Kids, 2025, Baby Toy Ball 6-12 Months, Toddler &amp; Infant Small Massage Soft Textured Multi Ball Set, Sensory Toys for Boys &amp; Girls</t>
  </si>
  <si>
    <t>X002ZG1IQN</t>
  </si>
  <si>
    <t>B09BTMZYYD</t>
  </si>
  <si>
    <t>FBA-FengRenJi-WuTai-002</t>
  </si>
  <si>
    <t>Flying Banana Mini Sewing Machine with Extension Table - Best Christmas Gifts 2025 for Boys &amp; Girls 8 +, Beginners Sewing Kit with Lamp &amp; Thread Cutter, Fabric Case White</t>
  </si>
  <si>
    <t>X00363Y4ZB</t>
  </si>
  <si>
    <t>B09SWMZDL8</t>
  </si>
  <si>
    <t>Paper Liner-07</t>
  </si>
  <si>
    <t>Disposable Air Fryer Liners Round, Non-stick Air Fryer Disposable Paper Liner Food Grade Air Fryer Parchment Paper Liners Oil Proof Air Fryer Liner, 100pcs - 6.3 inch</t>
  </si>
  <si>
    <t>X002MER9XT</t>
  </si>
  <si>
    <t>ShouZhuaQiu6-0004</t>
  </si>
  <si>
    <t>ROHSCE Baby Textured Multi Sensory Toys Massage Ball Gift Set BPA Free for Toddlers 1-3 Soft Balls Montessori Infant Baby Toys 6 to 12 Months 6 Pack</t>
  </si>
  <si>
    <t>X003HYINCT</t>
  </si>
  <si>
    <t>B0BLHV2FRD</t>
  </si>
  <si>
    <t>23pcs-06</t>
  </si>
  <si>
    <t>ROHSCE 23 Pcs Soft Montessori Toys for Babies, Developmental Learning Education Baby Sensory Toys 6-12 Months</t>
  </si>
  <si>
    <t>X002M30GSF</t>
  </si>
  <si>
    <t>B08FDT629C</t>
  </si>
  <si>
    <t>ZX-FBA-JiaJieMao12</t>
  </si>
  <si>
    <t>Yayalovehomee Magnetic Eyelashes with Eyeliner 10-Pair Magnetic Lashes and Liner Kit - Gorgeous Natural Look Includes Tweezer</t>
  </si>
  <si>
    <t>X004MN6WQX</t>
  </si>
  <si>
    <t>B0DTP6QT3Z</t>
  </si>
  <si>
    <t>50US-MaiGanYaZi-003</t>
  </si>
  <si>
    <t>ROHSCE Baby Bath Toys 6-12 Months, No Hole Fully Sealed Wheat Straw Bathtub Boats for Toddlers 1-3, Floating Water Playset for Boys &amp; Girls, for Kids, Sensory Montessori Play Set</t>
  </si>
  <si>
    <t>X004MN6WR7</t>
  </si>
  <si>
    <t>B0DTP8CJ82</t>
  </si>
  <si>
    <t>50US-MaiGanYaZi-015</t>
  </si>
  <si>
    <t>ROHSCE 6PCS Sensory Balls for Baby, Soft Textured Balls for Infants &amp; Toddlers 6-12 Months, Colorful Infant Ball Toys for Tummy Time &amp; Learning, Montessori Gift for Baby Boys &amp; Girls</t>
  </si>
  <si>
    <t>X0046NR6TV</t>
  </si>
  <si>
    <t>B0CDLVX1T3</t>
  </si>
  <si>
    <t>50-caihongsedashuiqiang-1T3</t>
  </si>
  <si>
    <t>ROHSCE Electric Water Guns for Kids Age8-12, Squirt Guns Up to 32 FT Long Range, Automatic Water Absorption, Water Blaster Toy with Modular Battery, Summer Beach Pool Backyard Party Outdoor Toys</t>
  </si>
  <si>
    <t>X0054Z2G9Z</t>
  </si>
  <si>
    <t>B0H38L6N1T</t>
  </si>
  <si>
    <t>50US-yuer005</t>
  </si>
  <si>
    <t>X003BAZZO3</t>
  </si>
  <si>
    <t>B0B6GB47SK</t>
  </si>
  <si>
    <t>RuanJiMu9</t>
  </si>
  <si>
    <t>ROHSCE Building Blocks for Toddlers 1-3, Newborn Toys 0 3 Months Brain Development Educational Stacking Blocks with 3D Embossed Patterns</t>
  </si>
  <si>
    <t>X00494XRRR</t>
  </si>
  <si>
    <t>B0CJ4N6W3K</t>
  </si>
  <si>
    <t>50popuptoy-0001</t>
  </si>
  <si>
    <t>ROHSCE Pop-Up Animals Cause and Effect Toy with Buttons and Switches, Montessori Sensory Learning Toy for Babies 12-18 Months, Educational Gift for Boys and Girls</t>
  </si>
  <si>
    <t>X0046NJ3GF</t>
  </si>
  <si>
    <t>B0C58VTKM8</t>
  </si>
  <si>
    <t>50-baisejiyiji-KM8</t>
  </si>
  <si>
    <t>ROHSCE Electronic Memory Game Toy, 4 Modes Handheld Game Toys for Kids Ages 3+ Years Old Boys Girls, Light up Music and Color Educational Toy Mini Electronic Brain Game, Ideal Gift for Parent-Child</t>
  </si>
  <si>
    <t>X004AR5LP9</t>
  </si>
  <si>
    <t>amzn.gr.FBA-Mini_Sewing_Machin-vgK0Za-LN</t>
  </si>
  <si>
    <t>X0046NJ0N1</t>
  </si>
  <si>
    <t>B0CWH32QZD</t>
  </si>
  <si>
    <t>50-danyinyuegu-QZD</t>
  </si>
  <si>
    <t>ROHSCE Baby Toys 6 to 12 Months - Musical Rotating Light Up Infant Toys, Early Learning Toys Baby Crawling Drum Toy, Tummy Time Educational Sensory Baby Girl Gifts for Toddlers 1 2 3 Years Old</t>
  </si>
  <si>
    <t>X0051KHYFT</t>
  </si>
  <si>
    <t>B0GJXBX8JS</t>
  </si>
  <si>
    <t>50US-TankTiHuanJiShen-01</t>
  </si>
  <si>
    <t>ROHSCE RC Tank Replacement Body, RC Tank Accessories Plastic Hull Shell Cover for Remote Control Tank Toy, Repair Upgrade Spare Parts for Hobby Model Vehicles</t>
  </si>
  <si>
    <t>X004T19IHN</t>
  </si>
  <si>
    <t>ROHSCE Construction Vehicle Toys for Toddlers 1-3, Cement Mixer Toy with Light and Music, Push and Go Friction Powered Cars for Babies 6-12 Months, Birthday Gifts for Boys and Girls 1+ Year Old</t>
  </si>
  <si>
    <t>X004ETXC95</t>
  </si>
  <si>
    <t>B0CW92T86K</t>
  </si>
  <si>
    <t>50-SiliconeBlock24PCS</t>
  </si>
  <si>
    <t>ROHSCE Silicone Blocks for Toddlers 1-3, Montessori Educational Toy Soft Baby Blocks, Large Sensory Stacking Toys for Preschool Learning Creative Play, 24PCS</t>
  </si>
  <si>
    <t>X004SGXBBN</t>
  </si>
  <si>
    <t>B0FG6QT1BT</t>
  </si>
  <si>
    <t>50NEWShouzhuaqiu6P-A</t>
  </si>
  <si>
    <t>ROHSCE Multicolored Soft Balls for Babies – Textured Montessori Toys for Infant Development</t>
  </si>
  <si>
    <t>X004YIH97R</t>
  </si>
  <si>
    <t>B0DJGQHWH4</t>
  </si>
  <si>
    <t>50US-TankShuiDanLanTou</t>
  </si>
  <si>
    <t>ROHSCE RC Tank Launcher Module Replacement for Remote Control Stunt Car, Shooting Launcher Head Attachment for Battle Tank Toy Vehicle, Kids RC Toy Accessory Spare Part</t>
  </si>
  <si>
    <t>X003RGVT41</t>
  </si>
  <si>
    <t>B0BZCSQY8M</t>
  </si>
  <si>
    <t>YaoKongQi Teether28</t>
  </si>
  <si>
    <t>ROHSCE Silicone Baby Teether Toys, Remote Game Control Teething Toys for Babies 6-12 Months Soft Molar Teether Infant Baby Chew Toys Sensory Game Controllers Teether BPA-Free Gifts, Dark Blue</t>
  </si>
  <si>
    <t>X004MMBXEP</t>
  </si>
  <si>
    <t>ROHSCE Sensory Balls Baby Teething Toys 6-12 Months, Soft Spiky Textured Multi Ball Set for Boys &amp; Girls 1-3, BPA Free Montessori Tactile Development, 3 Pcs</t>
  </si>
  <si>
    <t>X0053FMHXV</t>
  </si>
  <si>
    <t>B0GYNT23NQ</t>
  </si>
  <si>
    <t>50US-LadybugBL-07</t>
  </si>
  <si>
    <t>Interactive Blue Rattle Toy for Babies – LED Lights and Music – Fun Colorful Rings and Sounds for Infants 3-24 Months – Motor Skill Development Toy</t>
  </si>
  <si>
    <t>X004MKUN8J</t>
  </si>
  <si>
    <t>B0F18ZBKHN</t>
  </si>
  <si>
    <t>50US-YingErYongQuan-004</t>
  </si>
  <si>
    <t>Baby Floats for Pool with Canopy Removable Sun Protection Canopy,Waterproof Skin-Friendly Infant Swim Float,Baby Toy</t>
  </si>
  <si>
    <t>X004YXMYD1</t>
  </si>
  <si>
    <t>X003EOD36N</t>
  </si>
  <si>
    <t>B0BGBX8T2T</t>
  </si>
  <si>
    <t>BubbleGun-Pink-1</t>
  </si>
  <si>
    <t>ROHSCE Automatic Bubble Machine for Kids, Kids Bubble Makers Bubble Machine Gun with Light, Automatic Gatling Bubble Gun for Adult &amp; Kids, Rechargeable Bubble Machine Bubble Blower for Party, Pink</t>
  </si>
  <si>
    <t>X004OTEZCX</t>
  </si>
  <si>
    <t>X004T1CD3J</t>
  </si>
  <si>
    <t>ROHSCE Baby Friction Powered Toy Cars with Lights and Music, Construction Excavator Trucks for Toddlers 1-3, Toy Vehicles for 1 2 Year Old Boys Girls, Infant Birthday</t>
  </si>
  <si>
    <t>X003DY251X</t>
  </si>
  <si>
    <t>B0BDG5NRCM</t>
  </si>
  <si>
    <t>HuoJianduiqiewanju-01</t>
  </si>
  <si>
    <t>ROHSCE Rocket Stacking Toy Early Learning Stacking Tower Educational Learning Stacking Toys Baby Stacking &amp; Nesting Toys Baby Sensory Teethers Toys for 6 Month Old Boys Girls</t>
  </si>
  <si>
    <t>X003L9ONAV</t>
  </si>
  <si>
    <t>B0BRQ62T5C</t>
  </si>
  <si>
    <t>FenHongFengRenJi</t>
  </si>
  <si>
    <t>Flying Banana Mini Sewing Machine for Beginners, Girls Sewing Machine Ages 8-12 Kids, Lightweight Small Electric Maquina De Coser with Extension Table, LED Light, Pink</t>
  </si>
  <si>
    <t>X004MKYNVH</t>
  </si>
  <si>
    <t>B0F18Z5GBS</t>
  </si>
  <si>
    <t>50US-YingErYongQuan-001</t>
  </si>
  <si>
    <t>ROHSCE Baby Pool Float with Canopy,Non-Inflatable Infant Swim Float,Soft Skin-Friendly Fabric Material Pool Floats for Toddlers,Swimming Pool Toys for Boys and Girls</t>
  </si>
  <si>
    <t>X003HYW8LB</t>
  </si>
  <si>
    <t>B0BLHZ44SZ</t>
  </si>
  <si>
    <t>SoftBuildingBlock-113</t>
  </si>
  <si>
    <t>ROHSCE Soft Building Block Sets for Kids Aged 3 to 6 Years Old Top STEM Building Blocks for Preschool Large Construction Block Toys for Toddler to Improve Imagination Creativity Hands-on Ability</t>
  </si>
  <si>
    <t>X004T1E9PJ</t>
  </si>
  <si>
    <t>ROHSCE Push and Go Car Toys for Toddlers 1-3, Musical Construction Trucks Friction Powered Mixer Truck Inertia Cars for 1 2 3 Year Old Boys Girls, Early Education Toy, Birthday</t>
  </si>
  <si>
    <t>Amazon.Found.B07SVYD7RV</t>
  </si>
  <si>
    <t>X004XNOK57</t>
  </si>
  <si>
    <t>B0FG78PPG1</t>
  </si>
  <si>
    <t>50US-ShouZhuaQiu6P-004</t>
  </si>
  <si>
    <t>ROHSCE Baby Sensory Balls for 6-12 Months, 6PCS Textured Infant Toys, Soft Montessori Grasp Ball Set for Baby Development, Fine Motor Skills, Colorful Early Learning Gift</t>
  </si>
  <si>
    <t>X003WG1FEP</t>
  </si>
  <si>
    <t>FRD_23JianTao</t>
  </si>
  <si>
    <t>X003HYW8MP</t>
  </si>
  <si>
    <t>B0BLHVTRM9</t>
  </si>
  <si>
    <t>23pcs-04</t>
  </si>
  <si>
    <t>ROHSCE Montessori Toys for Babies 6-12 Months, 3 in 1 Stacking Building Blocks Rings &amp; Sensory Balls, 23 PCS Soft Baby Stacking Toys Infant Teething Gifts Development Baby Stacking Toys</t>
  </si>
  <si>
    <t>X0051KLSBZ</t>
  </si>
  <si>
    <t>B0GJYS9WGS</t>
  </si>
  <si>
    <t>50US-4PCSTankLunZi-001</t>
  </si>
  <si>
    <t>ROHSCE Set of 4 RC Stunt Car Replacement Wheels, Durable Toy Vehicle Tire Kit, Compatible Spare Tires for Kids Remote Control Car Repair, Easy Install RC Car Wheel Accessories Parts</t>
  </si>
  <si>
    <t>X002M77PIF</t>
  </si>
  <si>
    <t>B08FWMWP9L</t>
  </si>
  <si>
    <t>FBAChunCaiGuanHeiSe</t>
  </si>
  <si>
    <t>ROHSCE 10 PCS 5ml Square Lip Gloss Tubes with Wand Empty,Refillable Gradient Black Lip Gloss Containers with clear lip syringe label sticker（black）</t>
  </si>
  <si>
    <t>gl_luggage</t>
  </si>
  <si>
    <t>X004LTPRG9</t>
  </si>
  <si>
    <t>B0DTPF1ZG7</t>
  </si>
  <si>
    <t>50US-MaiGanYaZi-007</t>
  </si>
  <si>
    <t>Duck Ball for Baby Boy and Girl,Montessori Baby Toys 6 to 12 Months,ensory Balls for Toddlers 1-3 with Easy Catching Rattle Baby Toys</t>
  </si>
  <si>
    <t>X004OTAO6J</t>
  </si>
  <si>
    <t>B0F8VP7LNC</t>
  </si>
  <si>
    <t>XiPanzhuanzhuanle001</t>
  </si>
  <si>
    <t>Suction Cup Rotating Sensory Bath Toys, Baby Sensory Travel Table Toy for Toddlers, Boys, Girls, 3 Pieces</t>
  </si>
  <si>
    <t>X002MFDWEN</t>
  </si>
  <si>
    <t>B0838NV866</t>
  </si>
  <si>
    <t>ShouZhuaQiu6JianTao-0004</t>
  </si>
  <si>
    <t>ROHSCE Sensory Ball for Babies 6 to 12 Months, Baby Balls for Toddlers 1-3 Massage Stress Relief, Textured Multi Sensory Balls Gift Sets, Montessori Sensory Toys 6 Spikey Squeeze Ball for Infant Kids</t>
  </si>
  <si>
    <t>X003WOYWY7</t>
  </si>
  <si>
    <t>B0CCDNZ6PR</t>
  </si>
  <si>
    <t>HeiYaokongYueyeche-008</t>
  </si>
  <si>
    <t>ROHSCE RC Tank Car Shooting Water Bullets Remote Control Tank that Shoots Gesture Stunt RC Car 360° Battle Auto Toys with Light Music, Gift for Boy Girl 8 9 10 11 12 Years Old</t>
  </si>
  <si>
    <t>X004YXNQNN</t>
  </si>
  <si>
    <t>ROHSCE Baby Boy Construction Toys for 6-12 Months, Toddler Learning Toy Cars, Push and Go Friction Powered Fire Trucks with Light and Music, First Birthday Gifts for Boys</t>
  </si>
  <si>
    <t>X004MSWZMD</t>
  </si>
  <si>
    <t>B0F3CT471Z</t>
  </si>
  <si>
    <t>50US-GuiJiaoTong-002</t>
  </si>
  <si>
    <t>ROHSCE Silicone Beach Toys for Toddlers, Collapsible Sand Bucket &amp; Shovel Set, for Kids 1-3 3-5, Travel Essentials with 6 Animal Shapes for Boys &amp; Girls</t>
  </si>
  <si>
    <t>X0051RXUQJ</t>
  </si>
  <si>
    <t>B0GJYWZ7HZ</t>
  </si>
  <si>
    <t>50US-TankShuiDanFaSheTou-02</t>
  </si>
  <si>
    <t>ROHSCE Green RC Tank Launcher Module Replacement, Soft Foam Dart Launcher Head Attachment, Remote Control Toy Vehicle Replacement Part, Kids RC Tank Accessory Spare Part</t>
  </si>
  <si>
    <t>X0051CTWK7</t>
  </si>
  <si>
    <t>B0GSPYKG7S</t>
  </si>
  <si>
    <t>50US-BallsBlocks26PCS-02</t>
  </si>
  <si>
    <t>ROHSCE Baby Sensory Toys for Babies 6-12 Months, 26PCS Textured Sensory Balls &amp; Soft Silicone Building Blocks, Montessori Toy Set, BPA-Free Infant Toys, Birthday Gift</t>
  </si>
  <si>
    <t>X0046NFLP7</t>
  </si>
  <si>
    <t>B0CDLY4RCM</t>
  </si>
  <si>
    <t>50-baisedalanseshuiqiang-RCM</t>
  </si>
  <si>
    <t>ROHSCE Electric Water Gun, Most Powerful Automatic Water Gun, Long Range Classic Big Electronic Watergun, Electric Squirt Gun Water Blaster Toy for Kids, Summer Outdoor Pool Party Holiday Deals</t>
  </si>
  <si>
    <t>X004MSTT09</t>
  </si>
  <si>
    <t>B0F3CW7D6M</t>
  </si>
  <si>
    <t>50US-GuiJiaoTong-001</t>
  </si>
  <si>
    <t>ROHSCE Baby Beach Toys for Toddlers 1-3, Collapsible Silicone Beach Bucket Shovel Set with 6 Sand Molds, Toddler Sand Toys for Kids, Boys, Girls, Travel (Blue)</t>
  </si>
  <si>
    <t>X004UGC711</t>
  </si>
  <si>
    <t>B0DJGQW7BP</t>
  </si>
  <si>
    <t>50US-LvRuanDanTank</t>
  </si>
  <si>
    <t>RC Tank Car That Shoots, Gesture Sensing All-Terrain Drift Truck, 2.4GHz Remote Control Tank with Soft Bullet Launcher, Lights &amp; Music, Outdoor Stunt RC cars for kids Ages 8-12, Gifts for Birthday</t>
  </si>
  <si>
    <t>X0042RH69V</t>
  </si>
  <si>
    <t>B0BDDFFSG5</t>
  </si>
  <si>
    <t>shouzhuaqiuchuxuguan-02</t>
  </si>
  <si>
    <t>ROHSCE Baby Sensory Balls, 4PCS Teething Toys with Piggy Bank for 6M+</t>
  </si>
  <si>
    <t>X003TQ3XR5</t>
  </si>
  <si>
    <t>B0C5BXVK9W</t>
  </si>
  <si>
    <t>New4JianTaoQiu-03</t>
  </si>
  <si>
    <t>ROHSCE Sensory Balls for Baby Ball for Toddlers 1-3,Textured Multi Ball Set Soft Balls Montessori Toys for Babies 3 Months+, Bright Color Infant Toys (4 Pack),Perfect for Easter Basket Stuffers Gifts</t>
  </si>
  <si>
    <t>X0041L0RZD</t>
  </si>
  <si>
    <t>NewHeiHuoJian 0006</t>
  </si>
  <si>
    <t>ROHSCE Rocket Launcher for Kids, Electric Flying Rocket Toy Launches Up to 250FT with Parachute Landing &amp; LED Light, Rechargeable Outdoor STEM Toy for Backyard Play for Boys &amp; Girls</t>
  </si>
  <si>
    <t>X004MJM34H</t>
  </si>
  <si>
    <t>B0CJ4MPLVD</t>
  </si>
  <si>
    <t>50US-AnAnLe-JiGouZhuYang001</t>
  </si>
  <si>
    <t>ROHSCE Baby Pop Up Toy, Music Sensory Montessori Toys for 1 Year Old</t>
  </si>
  <si>
    <t>X003RGBNZV</t>
  </si>
  <si>
    <t>B0BYVGCVQ2</t>
  </si>
  <si>
    <t>YaoKongQi Teether01</t>
  </si>
  <si>
    <t>ROHSCE Silicone Baby Teether Toys, Remote Control Shape Teething Toys for Babies 6-12 Months Soft Molar Teether Infant Baby Chew Toys Sensory Remote Teether BPA-Free Gifts, White</t>
  </si>
  <si>
    <t>X004UDZRFR</t>
  </si>
  <si>
    <t>B0FG6ZM31K</t>
  </si>
  <si>
    <t>50US-HanBaoJi-001</t>
  </si>
  <si>
    <t>Burger Dough Sets for Kids, Art Crafts Dough Tools Toys Kit Hamburger, Fries, Kitchen Creations Food Play Toys for Boys Girls Birthday Gift</t>
  </si>
  <si>
    <t>X0051RXUR3</t>
  </si>
  <si>
    <t>B0GJYKN9SJ</t>
  </si>
  <si>
    <t>50US-4PCSTankLunZi-004</t>
  </si>
  <si>
    <t>ROHSCE Green RC Stunt Car Wheel Replacement Set of 4, Durable Spare Tire Kit for Kids Remote Control Toy Vehicle, Easy-Install Repair Parts for RC Car Accessories</t>
  </si>
  <si>
    <t>X003IX2UGT</t>
  </si>
  <si>
    <t>B0BMXFYDQV</t>
  </si>
  <si>
    <t>diediele-04</t>
  </si>
  <si>
    <t>ROHSCE Baby Stacking Rings - Soft Building Blocks Toys for Toddler - Montessori Sensory Educational Developmental Learning Toy for 6 9 12 18 Month Girls Boys</t>
  </si>
  <si>
    <t>X002M30K7R</t>
  </si>
  <si>
    <t>B08FBB4Z36</t>
  </si>
  <si>
    <t>ZX-FBA-20PCS yujiaTAO</t>
  </si>
  <si>
    <t>20 PCS Portable Resistance Bands With Handles Set, Workout Bands Resistance For Women/Man, Elastic Mobility Powerlifting Bands For Strength Training, Physical Therapy Yoga Pilates excercise.</t>
  </si>
  <si>
    <t>X004LU2NVZ</t>
  </si>
  <si>
    <t>B0DTYQBRX1</t>
  </si>
  <si>
    <t>50US-GenSuiYa-107</t>
  </si>
  <si>
    <t>ROHSCE Tummy Time Toys,Musical Toys for Toddlers,Newborn Development Light Up Music Crawling Walking Toys,Birthday Gifts for Babies 18 Months +</t>
  </si>
  <si>
    <t>X004YYMHYB</t>
  </si>
  <si>
    <t>X0046NMAZL</t>
  </si>
  <si>
    <t>B0CWH2F9MM</t>
  </si>
  <si>
    <t>50-shuangyinyuegu-9MM</t>
  </si>
  <si>
    <t>ROHSCE Baby Toys for 6-18 Months, Musical Drum, Light Up, Tummy Time, Baby Gifts</t>
  </si>
  <si>
    <t>X0044ENM9Z</t>
  </si>
  <si>
    <t>B0CT5R73WR</t>
  </si>
  <si>
    <t>NewBabyBall 0014</t>
  </si>
  <si>
    <t>ROHSCE Sensory Balls for Babies - 6 Pack, Ball for Toddlers 1-3, Soft &amp; Textured Montessori Baby Toys 6 to 12 Months, Wheat Straw Toddler Balls for Infant Development</t>
  </si>
  <si>
    <t>X003HYQYMF</t>
  </si>
  <si>
    <t>B0BLHXZF78</t>
  </si>
  <si>
    <t>SoftBuildingBlock-118</t>
  </si>
  <si>
    <t>ROHSCE Soft Building Block Sets for Baby Educational Top STEM Building Blocks for Kids Preschool Large Construction Block Toys for Toddler to Improve Imagination Creativity Hands-on Ability</t>
  </si>
  <si>
    <t>X003EOABNV</t>
  </si>
  <si>
    <t>B0BGBXTNXW</t>
  </si>
  <si>
    <t>BubbleGun-Pink-2</t>
  </si>
  <si>
    <t>X004EGRNUH</t>
  </si>
  <si>
    <t>B0DHL1HN7W</t>
  </si>
  <si>
    <t>RotaingDrum0001</t>
  </si>
  <si>
    <t>ROHSCE Baby Girl Toys 12 Months, Musical Rotating Light Up Infant Toys Tummy Time for Infant 12-18 Months, Crawling Learning Toys Birthday Gifts for Baby 1 2 3 Years Old</t>
  </si>
  <si>
    <t>X0046MLMOR</t>
  </si>
  <si>
    <t>B0CDLZN2M4</t>
  </si>
  <si>
    <t>50-dahongseshuiqiang-2M4</t>
  </si>
  <si>
    <t>ROHSCE Electric Water Gun, Most Powerful Automatic Water Gun, Long Range Classic Big Electronic Watergun, Summer Outdoor Beach and Pool Party Toy, Electric Squirt Gun Water Blaster Toy for Kids Adults</t>
  </si>
  <si>
    <t>X00378Y289</t>
  </si>
  <si>
    <t>B09W29VBN6</t>
  </si>
  <si>
    <t>4yaojiao1</t>
  </si>
  <si>
    <t>Silicone Teethers for Babies, Freezer Teethers for Babies, Silicone Baby Teething Toys, Infant Teething Relief Baby Chew Toys, Sensory Toys for Babies, Frozen Teething Toys for Babies - 4 Pack</t>
  </si>
  <si>
    <t>X004LO61N7</t>
  </si>
  <si>
    <t>newshuidantanke-010</t>
  </si>
  <si>
    <t>X002O7YHLL</t>
  </si>
  <si>
    <t>fba-6JianTaoShouZhuaQiu-BeiZi</t>
  </si>
  <si>
    <t>X002NPUP2T</t>
  </si>
  <si>
    <t>6JianShouZhuaQiu-0004</t>
  </si>
  <si>
    <t>X003BE1ETT</t>
  </si>
  <si>
    <t>B0B6Q18HMM</t>
  </si>
  <si>
    <t>SJQ-1</t>
  </si>
  <si>
    <t>ROHSCE Montessori Toys for 6-12 Month Olds - 3 in 1 Soft Blocks, Baby Sensory Balls &amp; Stacking Rings - Developmental Learning Toys</t>
  </si>
  <si>
    <t>X0044FL9RV</t>
  </si>
  <si>
    <t>B0CTQDF5Q9</t>
  </si>
  <si>
    <t>MaiGanRattle 0009</t>
  </si>
  <si>
    <t>ROHSCE Baby Rattle, Soft Teething Montessori Sensory Toy for 3-6M</t>
  </si>
  <si>
    <t>X004F7KC3Z</t>
  </si>
  <si>
    <t>B0CJ6NHRQ2</t>
  </si>
  <si>
    <t>Balls Rattle 011</t>
  </si>
  <si>
    <t>ROHSCE Sensory Toys for Babies, Montessori Textured Baby Balls and Wheat Straw Rattle, Baby Toys for 6-12 Months, Ideal Newborn Gifts for Boys and Girls, Toddler Toys for 1-3</t>
  </si>
  <si>
    <t>X002MDC86D</t>
  </si>
  <si>
    <t>B08G88K7Y7</t>
  </si>
  <si>
    <t>WanShengJieZuanZs-08</t>
  </si>
  <si>
    <t>4 Pack DIY 5D Diamond Painting Kits Full Drill Rhinestone Painting Diamond Pictures for Wall Decoration,Halloween Cat &amp; Dog Style</t>
  </si>
  <si>
    <t>X0054S7B51</t>
  </si>
  <si>
    <t>B0H2XG5JMZ</t>
  </si>
  <si>
    <t>MaoRongXiaoChe004</t>
  </si>
  <si>
    <t>ROHSCE Plush Remote Control Car for Toddlers, My First RC School Bus Toy with Soft Body, 2.4G Easy Control, Washable Plush Cover, Birthday Gift for Boys Girls</t>
  </si>
  <si>
    <t>X003HYQYMP</t>
  </si>
  <si>
    <t>B0BLKC4R77</t>
  </si>
  <si>
    <t>YaokongYueyeche-003</t>
  </si>
  <si>
    <t>RC Tank That Shoots BBS, Water Bullet Shooting RC Stunt Car for Kids, 2.4GHz Remote Control Truck with Light Spray, 360° Rotation &amp; Drifting, Birthday Gift for Boys, 30+ Min Playtime</t>
  </si>
  <si>
    <t>X0055526OJ</t>
  </si>
  <si>
    <t>B0GGRCD81K</t>
  </si>
  <si>
    <t>FSgiraffe-02</t>
  </si>
  <si>
    <t>ROHSCE Preschool Giraffe Sound Toy – Musical Push &amp; Pull Sliding Car with Shape Buttons, Animal Sounds &amp; Flashing Lights – Early Education Toy for 3-6 Year Old Kids</t>
  </si>
  <si>
    <t>X004V6ZL09</t>
  </si>
  <si>
    <t>B0CN19FJBQ</t>
  </si>
  <si>
    <t>NEWHuojian-rocket</t>
  </si>
  <si>
    <t>ROHSCE Rocket Launcher, 170 Feet of Flight Altitude, Model Rocket Kits with Launch Set Gift for Kids Ages 8-12 Children's Day Gift</t>
  </si>
  <si>
    <t>X0046NUUN5</t>
  </si>
  <si>
    <t>B0C8CKQHWC</t>
  </si>
  <si>
    <t>50-qierpenshuihuojian-HWC</t>
  </si>
  <si>
    <t>ROHSCE Outdoor Sprinkler for Kids Water Rocket Sprinkler for Boys Girls - Outside Yard Water Toy Kids Splash, Summer Fun Sprinklers Rocket for Toddler Ages 3+ Gift Ideas (Penguin)</t>
  </si>
  <si>
    <t>X004XOW9N1</t>
  </si>
  <si>
    <t>B0F29BGKS2</t>
  </si>
  <si>
    <t>3-TaoYi-0007</t>
  </si>
  <si>
    <t>ROHSCE Pottery Wheel for Kids - Magical Unicorn Art Kit, Pink Fantasy Crafts Gift for Girls Ages 5-12, Complete Pottery Set with Painting Tools</t>
  </si>
  <si>
    <t>X003XX54OT</t>
  </si>
  <si>
    <t>B0CCJL21G7</t>
  </si>
  <si>
    <t>NewFengRenJi-Blue</t>
  </si>
  <si>
    <t>Small Portable Sewing Machine for Kids,Dual Speed Portable Sewing Machine for Beginners with Light, Sewing Kit for Household Use</t>
  </si>
  <si>
    <t>X00334A4YD</t>
  </si>
  <si>
    <t>B09M9YJ64V</t>
  </si>
  <si>
    <t>50-FCB-bluepuzzle-002</t>
  </si>
  <si>
    <t>X004DXCBJJ</t>
  </si>
  <si>
    <t>50-xiaoche-8SC</t>
  </si>
  <si>
    <t>X003RGBNZB</t>
  </si>
  <si>
    <t>B0BZCW1W4S</t>
  </si>
  <si>
    <t>YaoKongQi Teether29</t>
  </si>
  <si>
    <t>ROHSCE Silicone Baby Teether Toys, Remote Game Control Teething Toys for Babies 6-12 Months Soft Molar Teether Infant Baby Chew Toys Sensory Game Controllers Teether BPA-Free Gifts, Pink</t>
  </si>
  <si>
    <t>X004JN8L0L</t>
  </si>
  <si>
    <t>B0CYLVJ261</t>
  </si>
  <si>
    <t>50-DaMaoXianJi48</t>
  </si>
  <si>
    <t>ROHSCE Sentro Knitting Machine 48 Needles with Row Counter, Smart Weaving Loom Round, Board Rotating Double, Crochet Loom Knitting Machine for Adults and Kids, Kit for Hat, Scarves, Gloves, Socks.</t>
  </si>
  <si>
    <t>X003FVLA79</t>
  </si>
  <si>
    <t>GuaTan002</t>
  </si>
  <si>
    <t>X0046NU4UJ</t>
  </si>
  <si>
    <t>B0CQ86MX8N</t>
  </si>
  <si>
    <t>50-ruantijimu-X8N</t>
  </si>
  <si>
    <t>ROHSCE Soft Building Blocks for Toddlers, Stacking Blocks for Babies 6 Months and Up STEM Toddler Gifts, Large Construction Block Set Rubber Blocks Bag with 42 Pieces and Storage,Gift for Easter</t>
  </si>
  <si>
    <t>X002LQI2LV</t>
  </si>
  <si>
    <t>B085MZRBWF</t>
  </si>
  <si>
    <t>ShouZhuaQiu10-0001</t>
  </si>
  <si>
    <t>ROHSCE 10PCS Sensory Balls for Toddlers 1-3, Baby Toys 6-12 Months, Soft Textured Balls, Safe Teething Toys for Boys &amp; Girls, Montessori Gifts, 2025</t>
  </si>
  <si>
    <t>X0054Z96TX</t>
  </si>
  <si>
    <t>B0H38C5WZ8</t>
  </si>
  <si>
    <t>50US-yuer001</t>
  </si>
  <si>
    <t>X0055550UV</t>
  </si>
  <si>
    <t>B0GX2QL3QD</t>
  </si>
  <si>
    <t>50US-trainmangluban-01</t>
  </si>
  <si>
    <t>ROHSCE Multifunctional Busy Train Toy for Toddlers – 6-in-1 Activity Cube with Lights, Music &amp; Educational Features – Perfect Early Learning Toy for 12M+ Boys and Girls, Ideal for Home &amp; Travel Play</t>
  </si>
  <si>
    <t>X0051KLQXF</t>
  </si>
  <si>
    <t>B0GJZ77DMK</t>
  </si>
  <si>
    <t>50US-TankShuiDanFaSheTou-01</t>
  </si>
  <si>
    <t>ROHSCE RC Tank Launcher Module Replacement for Remote Control Toy Vehicle, Foam Dart Launcher Head Attachment for Kids RC Tank, Soft Dart Accessory Spare Part, Green</t>
  </si>
  <si>
    <t>X003EOK3MF</t>
  </si>
  <si>
    <t>B0BGBY6CW4</t>
  </si>
  <si>
    <t>BubbleGun-Black-2</t>
  </si>
  <si>
    <t>Automatic Bubble Machine for Kids, Kids Bubble Makers Bubble Machine Gun with Light, Automatic Gatling Bubble Gun Blaster for Adult &amp; Kids, Rechargeable Bubble Machine for Party, Large Bubble Blower</t>
  </si>
  <si>
    <t>X004MMP4GN</t>
  </si>
  <si>
    <t>B0CT59952T</t>
  </si>
  <si>
    <t>NewBabyBall 0015</t>
  </si>
  <si>
    <t>ROHSCE Baby Balls for Toddlers 1-3, Bath Toys for Babies 6-12 Months, Infant Soft Sensory Balls Set, Montessori Bathroom Shower Teether Gift for Boys Girls 6 Pack</t>
  </si>
  <si>
    <t>X0047I5ITP</t>
  </si>
  <si>
    <t>50LvSeGuidaoche-S7V</t>
  </si>
  <si>
    <t>ROHSCE STEM Board Games Smart Logical Road Builder Brain Teasers Puzzle, Montessori Preschool Travel Toy Board Car Games for Kids Ages 4-8</t>
  </si>
  <si>
    <t>X004MMP7GF</t>
  </si>
  <si>
    <t>B0C7G75R2Q</t>
  </si>
  <si>
    <t>50US-BathBabyBall001</t>
  </si>
  <si>
    <t>Sensory Balls for Toddlers 1-3, Baby Bath Toys 6-12 Months, 6PCS No Hole Textured Soft Balls, Safe Teething Toys for Boys &amp; Girls, Montessori Gifts, 2025</t>
  </si>
  <si>
    <t>X004FNGDYV</t>
  </si>
  <si>
    <t>B0CW97PJZS</t>
  </si>
  <si>
    <t>GuiJiaoDieLe-Blue</t>
  </si>
  <si>
    <t>ROHSCE Silicone Stacking Toys for Babies, Soft Rainbow Stacker, Montessori Nesting Blocks Soft Building Toys Colorful Sensory Toys for Creative Play, for Toddlers, 7CPS</t>
  </si>
  <si>
    <t>X004TW6OYH</t>
  </si>
  <si>
    <t>ROHSCE Dancing Walking Duck Baby Toy with Music &amp; Lights, Crawling Tummy Time Toys for Babies 6–12 Months, Interactive Waddling Duck Developmental Toy, Birthday Gifts for Toddlers 1–3 Boys Girls</t>
  </si>
  <si>
    <t>X0046NQB5L</t>
  </si>
  <si>
    <t>B0CW14MNVM</t>
  </si>
  <si>
    <t>50-dominohuoche-NVM</t>
  </si>
  <si>
    <t>Domino Train Toy Kids Games 80Pcs Automatic Dominoes Building Set STEM Montessori Stacking Toys for 4+ Year Old Boys Girls Autistic, Toy Gifts for Birthday</t>
  </si>
  <si>
    <t>X0046NU2JR</t>
  </si>
  <si>
    <t>B0CQ7TDQCD</t>
  </si>
  <si>
    <t>50-ruantijimu-QCD</t>
  </si>
  <si>
    <t>ROHSCE Soft Building Blocks, 42PCS Stacking Toys for Toddlers 1-3</t>
  </si>
  <si>
    <t>X004MN5Z8J</t>
  </si>
  <si>
    <t>B0DTP41DRY</t>
  </si>
  <si>
    <t>50US-MaiGanYaZi-016</t>
  </si>
  <si>
    <t>ROHSCE Bath Toys for Toddlers 1-3, Soft &amp; Textured Montessori Baby Toys 6-12 Months, Floating Boat &amp; Spraying Duck Bathtub Set, Sensory Water Play for Boys &amp; Girls</t>
  </si>
  <si>
    <t>X002QAM821</t>
  </si>
  <si>
    <t>B07FR7N4M3</t>
  </si>
  <si>
    <t>FBA-ShouZhuaQiu-RealM3</t>
  </si>
  <si>
    <t>ROHSCE Baby Sensory Balls, Soft Textured Multi Ball Set 6 Pack, Colorful &amp; Bright Infant Sensory Toys for 6-12 Months, Montessori Grasping Balls for Toddlers 1-3, 1st Birthday Gift</t>
  </si>
  <si>
    <t>X004RECZ4P</t>
  </si>
  <si>
    <t>B0DTPF5DMJ</t>
  </si>
  <si>
    <t>xuancaiqiulingset02</t>
  </si>
  <si>
    <t>Baby Toys 6-12 Months, Sensory Textured Balls for Toddlers 1-3 Soft, Colorful Infant Rattle Teething Toys 3-6 Months Easy Grasp, Montessori Gift Sets 7-Pieces for Newborn Boys &amp; Girls</t>
  </si>
  <si>
    <t>X0046NRVNH</t>
  </si>
  <si>
    <t>B0C6T1N7MS</t>
  </si>
  <si>
    <t>50-hongsepenshuihuojian-7MS</t>
  </si>
  <si>
    <t>Rocket Launcher for Kids 2025, Outdoor Electric Water Rocket with Parachute, Sprinkler Toy for Boys &amp; Girls Ages 6-12, Water Powered Summer Backyard Toy (Red-2)</t>
  </si>
  <si>
    <t>X002MBDDPZ</t>
  </si>
  <si>
    <t>B08G1NTVZW</t>
  </si>
  <si>
    <t>FBA-BEIYONG-YOGA MAT</t>
  </si>
  <si>
    <t>Eco Friendly TPE Yoga Mat with Alignment System, Carrying Strap, Extra Thick 1/4" Workout Mats Textured Non Slip Surface Avoid Sore Knees for Pilates Fitness and Floor Exercises.</t>
  </si>
  <si>
    <t>X002P36FWX</t>
  </si>
  <si>
    <t>B08HZ8BMYH</t>
  </si>
  <si>
    <t>FBA-jiyiqi</t>
  </si>
  <si>
    <t>ROHSCE Memory Match - Kid Wooden Stick Chess Game.A Good Color Wooden Memory Matchstick Chess Game, Educational Intelligent Logic Game,Cognitive Ability Toy for 3-7 Years Old Children.</t>
  </si>
  <si>
    <t>X002U4Q0X1</t>
  </si>
  <si>
    <t>B08Z3RTZ2G</t>
  </si>
  <si>
    <t>FBA-BaiSeYuLian-0001</t>
  </si>
  <si>
    <t>ROHSCE Hookless Shower Curtain with Snap-in Liner, Waffle Weave Fabric, Hotel Grade, Clear Window, 72x74 Inch - White</t>
  </si>
  <si>
    <t>X0046NU7UL</t>
  </si>
  <si>
    <t>50-lvseduominuohuoche-D5J</t>
  </si>
  <si>
    <t>X003HYINC9</t>
  </si>
  <si>
    <t>B0BLHZHS71</t>
  </si>
  <si>
    <t>SoftBuildingBlock-111</t>
  </si>
  <si>
    <t>ROHSCE Top STEM Soft Building Blocks Sets for Kids Aged 36 Months to 6 Years Old Preschool Children Large Construction Block Toys for Toddler to Improve Imagination Creativity Hands-on Ability</t>
  </si>
  <si>
    <t>X004MRCBBJ</t>
  </si>
  <si>
    <t>B0DFYFJC7R</t>
  </si>
  <si>
    <t>HeiHongShuiDanTank-C7R</t>
  </si>
  <si>
    <t>ROHSCE RC Tank that Shooting BBS - Remote Control 4WD Battle Stunt Car, Fires Soft BBS, 360° Spins, LEDs &amp; Music, Indoor &amp; Outdoor Backyard Play, Great Gift Toy for Boys &amp; Girls</t>
  </si>
  <si>
    <t>X002M2YL7X</t>
  </si>
  <si>
    <t>B08FMR7JQT</t>
  </si>
  <si>
    <t>ZX-FBA-XinYongPing 9</t>
  </si>
  <si>
    <t>9 Inch Realistic Dildo Dual Density Liquid Silicone Cock with Strong Suction Cup,Oixgirl Lifelike Penis Sex Toy Flexible Female G Spot Masturbation Toy with Curved Shaft and Balls</t>
  </si>
  <si>
    <t>gl_drugstore</t>
  </si>
  <si>
    <t>X004TW6WA3</t>
  </si>
  <si>
    <t>ROHSCE Baby Musical Walking Duck Toy, Follow-Me Waddling Duck for Tummy Time &amp; Crawling Training, Light Up Infant Toys 6–12 Months, for 1 Year Old Boys Girls</t>
  </si>
  <si>
    <t>X0046NY12B</t>
  </si>
  <si>
    <t>B0CDGK61J5</t>
  </si>
  <si>
    <t>50-46ruanjimu-1J5</t>
  </si>
  <si>
    <t>ROHSCE Baby Soft Blocks Building Block Toys, Blocks for Babies 6 Months and Up STEM Educational Toddler Gifts, Baby Soft Rubber Blocks Big Building Blocks Sensory Toys, 46PCS</t>
  </si>
  <si>
    <t>X003HYW8M5</t>
  </si>
  <si>
    <t>YaokongYueyeche-005</t>
  </si>
  <si>
    <t>X002MB3LYN</t>
  </si>
  <si>
    <t>B08G1P4DZT</t>
  </si>
  <si>
    <t>FBA-BEIYONG-laLiDai</t>
  </si>
  <si>
    <t>X004TW6W0N</t>
  </si>
  <si>
    <t>ROHSCE Waddling Duck Toy for Babies, Follow-Me Musical Dancing Mama Duck Family, Light Up Tummy Time Toys for Infants 6–12 Months, Walking Ducks for Tummy Time &amp; Crawling, Baby Developmental Gift</t>
  </si>
  <si>
    <t>X004A8Q37D</t>
  </si>
  <si>
    <t>amzn.gr.RubberBall-6-zOx5978C7JHC8RjA-LN</t>
  </si>
  <si>
    <t>50等级</t>
  </si>
  <si>
    <t>SS</t>
  </si>
  <si>
    <t>149US-PinkNiuDanJi</t>
  </si>
  <si>
    <t>X004U9OXE7</t>
  </si>
  <si>
    <t>B07SVYD7RV
B07SX1K48R</t>
  </si>
  <si>
    <t>X004UB6DNT</t>
  </si>
  <si>
    <t>ZiMuYouXi-0002</t>
  </si>
  <si>
    <t>X004UBDOYZ</t>
  </si>
  <si>
    <t>B0FMK6V5N6</t>
  </si>
  <si>
    <t>149US-Chibang-devil</t>
  </si>
  <si>
    <t>X004UT0YYP</t>
  </si>
  <si>
    <t>B0F23T2MLJ</t>
  </si>
  <si>
    <t>B0BLHXCYWM
B0DPSZLZNL</t>
  </si>
  <si>
    <t>149-KeHuanWanJvQiang-001</t>
  </si>
  <si>
    <t>X004TJJJ8X</t>
  </si>
  <si>
    <t>B0FHPVDGBQ</t>
  </si>
  <si>
    <t>P</t>
  </si>
  <si>
    <t>B0BLHZLLK6
B0DPSZLZNL</t>
  </si>
  <si>
    <t>149US-22TuZiMaoXianJi-NEW</t>
  </si>
  <si>
    <t>X004ZG26M1</t>
  </si>
  <si>
    <t>B0GGR3FL2X</t>
  </si>
  <si>
    <t>149-xiaohaohudie-6J7</t>
  </si>
  <si>
    <t>X004C26F2F</t>
  </si>
  <si>
    <t>B0CT8VF6J7</t>
  </si>
  <si>
    <t>149-ChiLunPinTu-GX6</t>
  </si>
  <si>
    <t>X004FBT7HD</t>
  </si>
  <si>
    <t>B0CT5HKGX6</t>
  </si>
  <si>
    <r>
      <rPr>
        <sz val="11"/>
        <color rgb="FF000000"/>
        <rFont val="宋体"/>
        <charset val="134"/>
      </rPr>
      <t>B0CWH2F9MM</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B0DC3H9K53</t>
    </r>
  </si>
  <si>
    <t>149-shishangnvhai-1GJ</t>
  </si>
  <si>
    <t>X004EGTBBV</t>
  </si>
  <si>
    <t>B0DCNWK1GJ</t>
  </si>
  <si>
    <t>149-niwajiang-0002</t>
  </si>
  <si>
    <t>X004EG8HB1</t>
  </si>
  <si>
    <t>B0FP52CS55</t>
  </si>
  <si>
    <t>149US-PinkCaiHongWuClaw</t>
  </si>
  <si>
    <t>X004U9P0AN</t>
  </si>
  <si>
    <t>X004UEQAMP</t>
  </si>
  <si>
    <t>149US-XiaoHaoTuZiMaoXianJi</t>
  </si>
  <si>
    <t>X004ZG6JRJ</t>
  </si>
  <si>
    <t>B0GGQDW816</t>
  </si>
  <si>
    <r>
      <rPr>
        <sz val="11"/>
        <color rgb="FF000000"/>
        <rFont val="宋体"/>
        <charset val="134"/>
      </rPr>
      <t>B0BDFBXDHP</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B0BDF8ZFC2</t>
    </r>
  </si>
  <si>
    <t>149-Reminxiangji-Pink</t>
  </si>
  <si>
    <t>X004SQHCWH</t>
  </si>
  <si>
    <t>B0FHHDCYFL</t>
  </si>
  <si>
    <t>149HuaRongDaoYellow2</t>
  </si>
  <si>
    <t>X004S25IZT</t>
  </si>
  <si>
    <t>B0F7H2HJ9K</t>
  </si>
  <si>
    <r>
      <rPr>
        <sz val="11"/>
        <color rgb="FF000000"/>
        <rFont val="宋体"/>
        <charset val="134"/>
      </rPr>
      <t>B08G4MQP82</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B0BW3SH2KR</t>
    </r>
  </si>
  <si>
    <t>HeJinLuoSiJiMu-0002</t>
  </si>
  <si>
    <t>X004UBFH8L</t>
  </si>
  <si>
    <t>B0FK4FYRZJ</t>
  </si>
  <si>
    <t>149-BlueNiuDanWaWaJi</t>
  </si>
  <si>
    <t>X004RPX36D</t>
  </si>
  <si>
    <t>B0CRDNDFLC</t>
  </si>
  <si>
    <r>
      <rPr>
        <sz val="11"/>
        <color rgb="FF000000"/>
        <rFont val="宋体"/>
        <charset val="134"/>
      </rPr>
      <t>B0BDFBYHNQ</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B0BDF8ZFC2</t>
    </r>
  </si>
  <si>
    <t>149US-HongHeJiMu</t>
  </si>
  <si>
    <t>X004YTQB0H</t>
  </si>
  <si>
    <r>
      <rPr>
        <sz val="11"/>
        <color rgb="FF000000"/>
        <rFont val="宋体"/>
        <charset val="134"/>
      </rPr>
      <t>B0CDGK13SD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B0DPSZLZNL</t>
    </r>
  </si>
  <si>
    <t>149-YiCheHuaRongDao-1</t>
  </si>
  <si>
    <t>X004S1P3E1</t>
  </si>
  <si>
    <t>B0F7GZ1D8D</t>
  </si>
  <si>
    <t>X004UBLE3D</t>
  </si>
  <si>
    <t>HeJinLuoSiJiMu-0008</t>
  </si>
  <si>
    <t>X004UBFFD3</t>
  </si>
  <si>
    <t>B0FK4GKPTM</t>
  </si>
  <si>
    <r>
      <rPr>
        <sz val="11"/>
        <color rgb="FF000000"/>
        <rFont val="宋体"/>
        <charset val="134"/>
      </rPr>
      <t>B0BGKRJGPZ</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B0CRV273M2</t>
    </r>
  </si>
  <si>
    <t>149US-DongWuChiLun</t>
  </si>
  <si>
    <t>X004MJ8UFN</t>
  </si>
  <si>
    <t>B0C65SQ3DV</t>
  </si>
  <si>
    <r>
      <rPr>
        <sz val="11"/>
        <color rgb="FF000000"/>
        <rFont val="宋体"/>
        <charset val="134"/>
      </rPr>
      <t>B0CDGKTNS9</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B0DPSZLZNL</t>
    </r>
  </si>
  <si>
    <t>149-qiuqianniwaA10</t>
  </si>
  <si>
    <t>X004SJLWUR</t>
  </si>
  <si>
    <t>B0F1Y548MZ</t>
  </si>
  <si>
    <t>rideontrain 0007</t>
  </si>
  <si>
    <t>X004DUX6HN</t>
  </si>
  <si>
    <t>B0DBZBTLVN</t>
  </si>
  <si>
    <r>
      <rPr>
        <sz val="11"/>
        <color rgb="FF000000"/>
        <rFont val="宋体"/>
        <charset val="134"/>
      </rPr>
      <t>B0CDGK61J5</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B0DPSZLZNL</t>
    </r>
  </si>
  <si>
    <t>149US-TuZiMaoXianJi22</t>
  </si>
  <si>
    <t>X004VT0CPF</t>
  </si>
  <si>
    <t>B0CYLSL2MX</t>
  </si>
  <si>
    <r>
      <rPr>
        <sz val="11"/>
        <color rgb="FF000000"/>
        <rFont val="宋体"/>
        <charset val="134"/>
      </rPr>
      <t>B0CCDN9422</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B0CJFCSM1F</t>
    </r>
  </si>
  <si>
    <t>X004P3Z5LX</t>
  </si>
  <si>
    <t>149-XiShuizhuo-Blue</t>
  </si>
  <si>
    <t>X004P3IH13</t>
  </si>
  <si>
    <t>B0F7FBDB45</t>
  </si>
  <si>
    <t>149-Reminxiangji-Blue</t>
  </si>
  <si>
    <t>X004SQEYNH</t>
  </si>
  <si>
    <t>B0FHHJXQ5S</t>
  </si>
  <si>
    <r>
      <rPr>
        <sz val="11"/>
        <color rgb="FF000000"/>
        <rFont val="宋体"/>
        <charset val="134"/>
      </rPr>
      <t>B0CDGKZK2K</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B0DPSZLZNL</t>
    </r>
  </si>
  <si>
    <t>149-XiaoMaoXianJiGHY</t>
  </si>
  <si>
    <t>X004JP5I1T</t>
  </si>
  <si>
    <t>B0CYLWKGHY</t>
  </si>
  <si>
    <t>149-ZiMuCiXiPinTu</t>
  </si>
  <si>
    <t>X004W3GUK1</t>
  </si>
  <si>
    <t>B0DCNTP1H2</t>
  </si>
  <si>
    <r>
      <rPr>
        <sz val="11"/>
        <color rgb="FF000000"/>
        <rFont val="宋体"/>
        <charset val="134"/>
      </rPr>
      <t>B0BLHZG8SC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B0C6Y1SM14</t>
    </r>
  </si>
  <si>
    <t>ZiSeHuDieQun-1B</t>
  </si>
  <si>
    <t>X004OUF72J</t>
  </si>
  <si>
    <t>B0F23NNP4T</t>
  </si>
  <si>
    <t>X004P3UUXV</t>
  </si>
  <si>
    <t>149US-TaiKongChiLun</t>
  </si>
  <si>
    <t>X004MJ8MPB</t>
  </si>
  <si>
    <t>B0CT4YRY12</t>
  </si>
  <si>
    <t>149BlueHuaZhuangBao-1</t>
  </si>
  <si>
    <t>X004S5PNOH</t>
  </si>
  <si>
    <t>B0FDKRP2YL</t>
  </si>
  <si>
    <t>149US-QiEMaoXianJi</t>
  </si>
  <si>
    <t>X004YLQ1KP</t>
  </si>
  <si>
    <t>B0FP53G22D</t>
  </si>
  <si>
    <t>149-DaHaoWings-GM1</t>
  </si>
  <si>
    <t>X004CW5O09</t>
  </si>
  <si>
    <t>B0CT8SCGM1</t>
  </si>
  <si>
    <t>149-C-QiuQianWu</t>
  </si>
  <si>
    <t>X004J3H9ZT</t>
  </si>
  <si>
    <t>B0FPC7T521</t>
  </si>
  <si>
    <t>ss</t>
  </si>
  <si>
    <t>149US-KongLongChiLUN</t>
  </si>
  <si>
    <t>X004MJD9JP</t>
  </si>
  <si>
    <t>B0CT5FS8YV</t>
  </si>
  <si>
    <r>
      <rPr>
        <sz val="11"/>
        <color rgb="FF000000"/>
        <rFont val="宋体"/>
        <charset val="134"/>
      </rPr>
      <t>B0CJ5B2DXY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B0CGTXZQWW</t>
    </r>
  </si>
  <si>
    <t>X004SJLFX1</t>
  </si>
  <si>
    <t>149-ZhuangYuanNiWa-MMA02</t>
  </si>
  <si>
    <t>X004SQL93P</t>
  </si>
  <si>
    <t>B0F1Y6TTSD</t>
  </si>
  <si>
    <t>149-BlueLuDengPaoPaoJi</t>
  </si>
  <si>
    <t>X004P3UFUJ</t>
  </si>
  <si>
    <t>B0D9M4GCQW</t>
  </si>
  <si>
    <t>149-QiShiNiwajiang</t>
  </si>
  <si>
    <t>X004OF4L85</t>
  </si>
  <si>
    <t>B0F1Y4DF87</t>
  </si>
  <si>
    <t>HeJinLuoSiJiMu-0007</t>
  </si>
  <si>
    <t>X004UBJ2GT</t>
  </si>
  <si>
    <t>B0FK4GLJ7R</t>
  </si>
  <si>
    <r>
      <rPr>
        <sz val="11"/>
        <color rgb="FF000000"/>
        <rFont val="宋体"/>
        <charset val="134"/>
      </rPr>
      <t>B07SX1T3JQ</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B0BQHP5PWH</t>
    </r>
  </si>
  <si>
    <t>149-BiaoqingCixipintu</t>
  </si>
  <si>
    <t>X004PY9M07</t>
  </si>
  <si>
    <t>B0DCNT2LNJ</t>
  </si>
  <si>
    <r>
      <rPr>
        <sz val="11"/>
        <color rgb="FF000000"/>
        <rFont val="宋体"/>
        <charset val="134"/>
      </rPr>
      <t>B0CWH32QZD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B0DC3H9K53</t>
    </r>
  </si>
  <si>
    <t>149US-ShouBiPaoPaoJi</t>
  </si>
  <si>
    <t>X004P3R61F</t>
  </si>
  <si>
    <t>B0CBWPNDQ6</t>
  </si>
  <si>
    <t>149-ZiSeHudiequn4B</t>
  </si>
  <si>
    <t>X004PABQXR</t>
  </si>
  <si>
    <t>B0F23RML5V</t>
  </si>
  <si>
    <t>149-TaoYiJi-Pink</t>
  </si>
  <si>
    <t>X004Q1ODFD</t>
  </si>
  <si>
    <t>149BlueHuaZhuangBao-2</t>
  </si>
  <si>
    <t>X004S5TCC1</t>
  </si>
  <si>
    <t>B0FDKPRJQ4</t>
  </si>
  <si>
    <r>
      <rPr>
        <sz val="11"/>
        <color rgb="FF000000"/>
        <rFont val="宋体"/>
        <charset val="134"/>
      </rPr>
      <t>B0CQ86MX8N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B0F1FJ9NH2</t>
    </r>
  </si>
  <si>
    <t>HeJinLuoSiJiMu-0001</t>
  </si>
  <si>
    <t>X004UBJ0CZ</t>
  </si>
  <si>
    <t>B0FK4GLSNM</t>
  </si>
  <si>
    <r>
      <rPr>
        <sz val="11"/>
        <color rgb="FF000000"/>
        <rFont val="宋体"/>
        <charset val="134"/>
      </rPr>
      <t>B0CTQG25QM</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B0D3129FS8</t>
    </r>
  </si>
  <si>
    <t>149-Greentaoyiji</t>
  </si>
  <si>
    <t>X004Q9FOHL</t>
  </si>
  <si>
    <t>B0F299WYTQ</t>
  </si>
  <si>
    <t>149-MaoXianJi-261</t>
  </si>
  <si>
    <t>X004E6XMWP</t>
  </si>
  <si>
    <r>
      <rPr>
        <sz val="11"/>
        <color rgb="FF000000"/>
        <rFont val="宋体"/>
        <charset val="134"/>
      </rPr>
      <t>B0CDGNFQMH</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B0DPSZLZNL</t>
    </r>
  </si>
  <si>
    <r>
      <rPr>
        <sz val="11"/>
        <color rgb="FF000000"/>
        <rFont val="宋体"/>
        <charset val="134"/>
      </rPr>
      <t>B0CVZVND5J</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B0D3LQPMM2</t>
    </r>
  </si>
  <si>
    <r>
      <rPr>
        <sz val="11"/>
        <color rgb="FF000000"/>
        <rFont val="宋体"/>
        <charset val="134"/>
      </rPr>
      <t>B0BRQ62T5C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B0BW3SH2KR</t>
    </r>
  </si>
  <si>
    <r>
      <rPr>
        <sz val="11"/>
        <color rgb="FF000000"/>
        <rFont val="宋体"/>
        <charset val="134"/>
      </rPr>
      <t>B0CT5R73WS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B0DR5MLBCT</t>
    </r>
  </si>
  <si>
    <r>
      <rPr>
        <sz val="11"/>
        <color rgb="FF000000"/>
        <rFont val="宋体"/>
        <charset val="134"/>
      </rPr>
      <t>B0CCDNZ6PR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B0CJFCSM1F</t>
    </r>
  </si>
  <si>
    <r>
      <rPr>
        <sz val="11"/>
        <color rgb="FF000000"/>
        <rFont val="宋体"/>
        <charset val="134"/>
      </rPr>
      <t>B0CN19YZZ3</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B0CRV273M2</t>
    </r>
  </si>
  <si>
    <t>claw machine</t>
  </si>
  <si>
    <t>claw machine for kid</t>
  </si>
  <si>
    <r>
      <rPr>
        <sz val="11"/>
        <color rgb="FF000000"/>
        <rFont val="宋体"/>
        <charset val="134"/>
      </rPr>
      <t>B091DL6GQ5</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B0C32HHPFM</t>
    </r>
  </si>
  <si>
    <t>B0D3KMVZKK</t>
  </si>
  <si>
    <r>
      <rPr>
        <sz val="11"/>
        <color rgb="FF000000"/>
        <rFont val="宋体"/>
        <charset val="134"/>
      </rPr>
      <t>B08KT79KJG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B0BW47WJ2K</t>
    </r>
  </si>
  <si>
    <r>
      <rPr>
        <sz val="11"/>
        <color rgb="FF000000"/>
        <rFont val="宋体"/>
        <charset val="134"/>
      </rPr>
      <t>B08Z3RTZ2G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B0D9LTZKLW</t>
    </r>
  </si>
  <si>
    <r>
      <rPr>
        <sz val="11"/>
        <color rgb="FF000000"/>
        <rFont val="宋体"/>
        <charset val="134"/>
      </rPr>
      <t>B0C5WJNC7H</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B0CGTXZQWW</t>
    </r>
  </si>
  <si>
    <t>B0C5WJNC7H</t>
  </si>
  <si>
    <r>
      <rPr>
        <sz val="11"/>
        <color rgb="FF000000"/>
        <rFont val="宋体"/>
        <charset val="134"/>
      </rPr>
      <t>B09BTMZYYD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B0BW3SH2KR</t>
    </r>
  </si>
  <si>
    <t>麦秆料无孔戏水数字鸭子</t>
  </si>
  <si>
    <t>麦秆料软胶手抓球</t>
  </si>
  <si>
    <t>麦秆料无孔帆船</t>
  </si>
  <si>
    <t>浴室彩色手抓球</t>
  </si>
  <si>
    <t>麦秆料无孔手抓球小鸭子</t>
  </si>
  <si>
    <t>麦秆料软胶城堡球叠叠乐</t>
  </si>
  <si>
    <t>无孔浴室手抓球</t>
  </si>
  <si>
    <t>浴室手抓球（莫兰迪色）</t>
  </si>
  <si>
    <t>炫彩摇铃+手抓球球铃组合链接一</t>
  </si>
  <si>
    <t>炫彩摇铃+手抓球球铃组合链接二</t>
  </si>
  <si>
    <t>NO.G502黄绿色卡车款谷雨小车链接一</t>
  </si>
  <si>
    <t>NO.G502黄绿色卡车款谷雨小车链接二</t>
  </si>
  <si>
    <t>NO.G503黄绿色挖掘机款谷雨小车链接一</t>
  </si>
  <si>
    <t>NO.G503黄绿色挖掘机款谷雨小车链接二</t>
  </si>
  <si>
    <t>跟随鸭(白色）链接一</t>
  </si>
  <si>
    <t>跟随鸭(白色）链接二</t>
  </si>
  <si>
    <t>跟随鸭（黄绿紫）链接一</t>
  </si>
  <si>
    <t>跟随鸭（黄绿紫）链接二</t>
  </si>
  <si>
    <t>婴儿弹射投篮机</t>
  </si>
  <si>
    <t>汉堡机链接一</t>
  </si>
  <si>
    <t>汉堡机链接二</t>
  </si>
  <si>
    <t>硅胶积木20件套5色</t>
  </si>
  <si>
    <t>硅胶积木6色24件</t>
  </si>
  <si>
    <t>硅胶叠叠乐外蓝色7片</t>
  </si>
  <si>
    <t>硅胶叠叠乐外粉色7片</t>
  </si>
  <si>
    <t>新款麦秆六件套手抓球</t>
  </si>
  <si>
    <t>麦秆运动球形状沐浴六件套</t>
  </si>
  <si>
    <t>毛刺手抓球-几何菱形</t>
  </si>
  <si>
    <t>软刺手抓球-金字塔形</t>
  </si>
  <si>
    <t>软刺球六件装礼盒款</t>
  </si>
  <si>
    <t>黄色麦秆摇铃</t>
  </si>
  <si>
    <t>蓝色麦秆摇铃</t>
  </si>
  <si>
    <t>麦秆毛刺六件套网袋装</t>
  </si>
  <si>
    <t>18件套麦秆堆叠组合</t>
  </si>
  <si>
    <t>50asin等级</t>
  </si>
  <si>
    <t>149等级</t>
  </si>
  <si>
    <t>48等级</t>
  </si>
  <si>
    <t>B07SX1K48R</t>
  </si>
  <si>
    <t>B0DPSZLZNL</t>
  </si>
  <si>
    <t>B0DC3H9K53</t>
  </si>
  <si>
    <t>B0BDF8ZFC2</t>
  </si>
  <si>
    <t>B0BW3SH2KR</t>
  </si>
  <si>
    <t>B0CRV273M2</t>
  </si>
  <si>
    <t>B0CJFCSM1F</t>
  </si>
  <si>
    <t>s</t>
  </si>
  <si>
    <t>B0C6Y1SM14</t>
  </si>
  <si>
    <t>B0CGTXZQWW</t>
  </si>
  <si>
    <t>B0BQHP5PWH</t>
  </si>
  <si>
    <t>B0F1FJ9NH2</t>
  </si>
  <si>
    <t>B0D3129FS8</t>
  </si>
  <si>
    <t>B0D3LQPMM2</t>
  </si>
  <si>
    <t>B0DR5MLBCT</t>
  </si>
  <si>
    <t>B0C32HHPFM</t>
  </si>
  <si>
    <t>B0BW47WJ2K</t>
  </si>
  <si>
    <t>B0D9LTZKLW</t>
  </si>
  <si>
    <t>149-FengRenJi-P82</t>
  </si>
  <si>
    <t>Magnetic Building Sticks Blocks for Toddlers 1-3 - Montessori Sensory Toys for 3 4 5 6 Year Old Boys &amp; Girls, STEM Educational Construction Kit, Soft Flexible Magnets Gift Set for Kids Learning Games</t>
  </si>
  <si>
    <t>ROHSCE Electronic Word Category Game, Durable Plastic Design, for Boys &amp; Girls 6-12 Years Old, Fast-Paced Educational Vocabulary Toy for Family Party Night</t>
  </si>
  <si>
    <t>X004E7C2LB</t>
  </si>
  <si>
    <t>B0DD7HYVYM</t>
  </si>
  <si>
    <t>149-qiqiuche-VYM</t>
  </si>
  <si>
    <t>ROHSCE Balloon Car Toy Pump Set, Balloon Race Car Kit for Kids Aged 3+, STEM Educational Balloon-Powered Cars for Boys Girls, Cool Toys for Autistic Kids with Rockets &amp; Astronaut Figures</t>
  </si>
  <si>
    <t>X004EG838N</t>
  </si>
  <si>
    <t>149-MaiGanLiuJian-3WR</t>
  </si>
  <si>
    <t>X004LVC1HF</t>
  </si>
  <si>
    <t>B0CD7RN2Q7</t>
  </si>
  <si>
    <t>149NewWhite-2Q7</t>
  </si>
  <si>
    <t>ROHSCE Water Rocket Sprinkler for Kids, Outdoor Sprinkler Rocket Launcher Toy for Backyard, Summer Water Toys for Kids Ages 3-12, Fun Water Powered Rocket Toy (White-3)</t>
  </si>
  <si>
    <t>X004YLNS65</t>
  </si>
  <si>
    <t>B0DFFQV98K</t>
  </si>
  <si>
    <t>149US-ShuangRenLanQiuJia</t>
  </si>
  <si>
    <t>ROHSCE 2-Player Basketball Arcade Game for Kids Ages 3-12, Indoor Outdoor Adjustable Dual Basketball Hoop with 6 Balls, Easy Assembly, Sport Toys Party Gifts for Boys &amp; Girls Active Play</t>
  </si>
  <si>
    <t>X004M3GIXF</t>
  </si>
  <si>
    <t>149-CaiMeiHongQiang1T3</t>
  </si>
  <si>
    <t>X00536XSEH</t>
  </si>
  <si>
    <t>B0GY4BZNQL</t>
  </si>
  <si>
    <t>radio-007</t>
  </si>
  <si>
    <t>DIY Electronics Project Kit for Ages 10-14 - Wooden Radio Science Toy STEM Education Gift Physics Circuit Learning Assembly</t>
  </si>
  <si>
    <t>X004Q4ZCLT</t>
  </si>
  <si>
    <t>B0CGCKBSGT</t>
  </si>
  <si>
    <t>149US-HuaSaMuYuPaoPaoJi</t>
  </si>
  <si>
    <t>Crab Bath Bubble Maker for Kids Bathtub Time. Blows Bubbles and Plays 24 Children’s Songs – Baby, Toddler Kids Bath Toys Makes Great Gifts for Toddlers – Sing-Along Bubble Machine Bath Toy</t>
  </si>
  <si>
    <t>ROHSCE Electric Devil Wings for Girls, Moving Light Up Bat Wings with LED Lights &amp; Music, Adjustable Straps, Lightweight Costume Accessories for Kids 4-12, Halloween Birthday Christmas Party Gift</t>
  </si>
  <si>
    <t>Apparel</t>
  </si>
  <si>
    <t>gl_apparel</t>
  </si>
  <si>
    <t>X004LV64XR</t>
  </si>
  <si>
    <t>149-OYellowSprinkler2PH</t>
  </si>
  <si>
    <t>X004JN99X9</t>
  </si>
  <si>
    <t>149-BaiYuLian-Z2G</t>
  </si>
  <si>
    <t>ROHSCE Flying Disc Launcher Toy for Kids Boys Girls 3-7 Year Old - Outdoor Rocket Shooter Game, Interactive Cat Dog Chase Toys, Indoor Activity Gifts for Toddlers Age 4-6 4-8 5-7</t>
  </si>
  <si>
    <t>X004EGUA3T</t>
  </si>
  <si>
    <t>B0D9XWDJ8F</t>
  </si>
  <si>
    <t>149-GunQiuTuYa-J8F</t>
  </si>
  <si>
    <t>ROHSCE Marble Run for Kids, Vertical Magnetic Marble Maze Track with Doodle Board &amp; Residue-Free Nano-Adhesive, STEM Explorers Brain Teaser Toy for Boys Girls Ages 3-12, Creative Thinking Games Gifts</t>
  </si>
  <si>
    <t>ROHSCE Sentro 22-Needle Circular Knitting Machine with Built-in Row Counter, Hand Crank Knitting Loom Machine for Beginners and Adults, DIY Hats, Scarves, Socks, and Crafts</t>
  </si>
  <si>
    <t>ROHSCE Electric Fairy Butterfly Wings Moving with LED Lights and Music, Light Up Butterfly Wings - Princess Fairy Costume Christmas Party Dress Up Gift for Girls 3 4 5 6 7 8 Year Old</t>
  </si>
  <si>
    <t>X0053189TB</t>
  </si>
  <si>
    <t>B0GXTW8QC7</t>
  </si>
  <si>
    <t>MatsPuzzlePads-007</t>
  </si>
  <si>
    <t>Baby Play Mat Foam Tiles Interlocking Floor Mats for Crawling, Soft Thick EVA Puzzle Mat for Toddler Play Area, Waterproof Non-Toxic Foam Flooring for Nursery, Kids Room, Indoor Use</t>
  </si>
  <si>
    <t>X004JMW3F1</t>
  </si>
  <si>
    <t>B0GFD9LS13</t>
  </si>
  <si>
    <t>149-MoTianGunZhu107pcs</t>
  </si>
  <si>
    <t>Motorized Marble Run Set, 107 Piece Magnetic Tile Building Toy with Ferris Wheel and Elevator, Music and Lights Marble Maze STEM Game for Kids Ages 4 to 12, Educational Gift</t>
  </si>
  <si>
    <t>X004PYADZ5</t>
  </si>
  <si>
    <t>B0CZRT9PQ8</t>
  </si>
  <si>
    <t>149-LvHeGunZhu</t>
  </si>
  <si>
    <t>Glow in The Dark Marble Run 325Pcs Set with Motorized Elevator, Marble Maze STEM Toy with 113 Marbles, Construction Building Blocks for Kids Ages 3+, Best Easter &amp; Birthday Gifts for Boys Girls</t>
  </si>
  <si>
    <t>X004QU266R</t>
  </si>
  <si>
    <t>149-softblocks100PCS</t>
  </si>
  <si>
    <t>X004Q9DR6V</t>
  </si>
  <si>
    <t>B0F2FG4SR1</t>
  </si>
  <si>
    <t>149-BangQiuZhiShengJi</t>
  </si>
  <si>
    <t>2 in 1 Water Sprinklers T Ball Set for Kids &amp; Toddlers, Outdoor Baseball and Spray Play Toy, Backyard Summer Yard Games, Connects to Garden Hose, Fun Water Toys for Lawn, Pool or Party Activities</t>
  </si>
  <si>
    <t>X004S21DX5</t>
  </si>
  <si>
    <t>149-YiCheHuaRongDao-2</t>
  </si>
  <si>
    <t>Intelligent Car Maze Puzzle 1500 Challenges Brick Game Automatic Parking Logic Thinking Brain Game Toy for Kids Boys Girls Teens Gift</t>
  </si>
  <si>
    <t>X004FNA441</t>
  </si>
  <si>
    <t>149-shuidantank-R77</t>
  </si>
  <si>
    <t>X004PXU0U9</t>
  </si>
  <si>
    <t>B0CL4H4HCF</t>
  </si>
  <si>
    <t>149-LanHuDiepaopaoji</t>
  </si>
  <si>
    <t>bubble machine for kids,Automatic Bubble Machine with RGB LED Lights Music,Bubble Maker with 240ml Bubble Solution for Boys Girls,Electric Bubble Machine Making Toys for Outdoor Party Birthday Wedding</t>
  </si>
  <si>
    <t>ROHSCE Gear Toys Interlocking Building Blocks, 150 Piece Educational Engineering Building Toys Set, Creative Construction STEM Kits for Boys Girls, Waffle Blocks for Kids Ages 3+</t>
  </si>
  <si>
    <t>X004EGIAEF</t>
  </si>
  <si>
    <t>149-MaiGan18Jian-X92</t>
  </si>
  <si>
    <t>X004Q3LDC7</t>
  </si>
  <si>
    <t>B0DBYKPD1C</t>
  </si>
  <si>
    <t>149US-XinKeQiMangLuBan</t>
  </si>
  <si>
    <t>Multifunctional Baby Walker, 3 in 1 Sit-to-Stand Push Toy with Musical Learning Panel, Early Developmental Walker for Infants 6-18 Months (Yellow)</t>
  </si>
  <si>
    <t>X0051W38J3</t>
  </si>
  <si>
    <t>B0GL21W9HL</t>
  </si>
  <si>
    <t>149US-YaoKongQianTing-002</t>
  </si>
  <si>
    <t>Flying Banana Mini RC Submarine Toy with LED Lights, Underwater Remote Control Submarine for Pool &amp; Bathtub Play, USB Rechargeable, Gift for Boys &amp; Girls Ages 6-12</t>
  </si>
  <si>
    <t>Magnetic Paper Dolls for Girls ages 4-7 - 71 PC Fashion Girl Magnetic Dress Up Dolls Kits &amp; Preschool Toddler Learning Activities, Travel-Friendly STEM Toy, Fun Fridge Magnets for Toddlers 3-12</t>
  </si>
  <si>
    <t>X0054KR0GT</t>
  </si>
  <si>
    <t>149US-BlueCaiHongClaw</t>
  </si>
  <si>
    <t>X004EGIV21</t>
  </si>
  <si>
    <t>149-MaiGanZuQiu-D1T</t>
  </si>
  <si>
    <t>ROHSCE Brick and Mortar Construction Set, DIY Building Blocks for Kids Ages 6+, STEM Construction Kit, Versatile Creative Play, Great Birthday Gift</t>
  </si>
  <si>
    <t>Claw Machine for Kids, Mini Vending Machine Toy for Girls, Arcade Game Toy for Ages 8-13, Electronic Claw Game with Lights &amp; Sound, Perfect for Parties &amp; Birthday Gifts for Ages 4+</t>
  </si>
  <si>
    <t>X004KPM8EX</t>
  </si>
  <si>
    <t>149-HeiseyulianGGZ</t>
  </si>
  <si>
    <t>X004ML1M47</t>
  </si>
  <si>
    <t>B0DYXXZ9YT</t>
  </si>
  <si>
    <t>149US-BaZYU</t>
  </si>
  <si>
    <t>Water Sprinkler Baseball Toy for Kids Outdoor Play – 2-in-1 Splash Game with Bat &amp; Balls, Backyard Summer Water Toys for Toddlers and Children, Fun Lawn Activities for Boys Girls Ages 3-12</t>
  </si>
  <si>
    <t>X004U91N8L</t>
  </si>
  <si>
    <t>B0F28JGBPS</t>
  </si>
  <si>
    <t>149US-PinkXueQiuQiang</t>
  </si>
  <si>
    <t>ROHSCE Snowball Launcher Gun Toys for Kids, Outdoor Winter Snow Toys Set, 24 Pcs Snow Maker Toy with Launcher, Unisex Children's Sand-Toys Gift Ages 3+</t>
  </si>
  <si>
    <t>X004PAEK9J</t>
  </si>
  <si>
    <t>B0GFDVDWGP</t>
  </si>
  <si>
    <t>GuiDaoGunZhu-FBA-us149</t>
  </si>
  <si>
    <t>325PCS Glow in The Dark Marble Run with Motorized Elevator, STEM Building Blocks Toy Includes 113 Marbles, for Kids Ages 3+, Easter Birthday Gift for Boys and Girls</t>
  </si>
  <si>
    <t>X004YLNWWF</t>
  </si>
  <si>
    <t>149US-LanSeGuiDaoChe</t>
  </si>
  <si>
    <t>X004LW6NPF</t>
  </si>
  <si>
    <t>B0C6T5HSPX</t>
  </si>
  <si>
    <t>149-OYellowRocket-HoseSPX</t>
  </si>
  <si>
    <t>ROHSCE Water Rocket Sprinkler for Kids, Outdoor Sprinkler Rocket Launcher Toy for Backyard, Summer Water Toys for Kids Ages 3-12, Fun Water Powered Rocket Toy (Yellow-2)</t>
  </si>
  <si>
    <t>X004UERPF1</t>
  </si>
  <si>
    <t>B0FPC5R1ZY</t>
  </si>
  <si>
    <t>149US-LvHeGuiDaoGunZhu</t>
  </si>
  <si>
    <t>Glow-in-The-Dark Marble Run 325Pcs Set with Motorized Elevator, STEM Marble Maze Toy with 113 Marbles, Construction Building Blocks for Kids Ages 6+, Perfect Easter &amp; Birthday Gift for Boys and Girls</t>
  </si>
  <si>
    <t>X004P3GXFZ</t>
  </si>
  <si>
    <t>149US-LvSeDoMiNuo</t>
  </si>
  <si>
    <t>ROHSCE Sentro 22 Needle Knitting Machine with Built-in Row Counter, Hand Crank Knitting Loom Machine for Beginners, Hat and Scarf Making, DIY Crafts for Kids and Adults</t>
  </si>
  <si>
    <t>X004U9SP0Z</t>
  </si>
  <si>
    <t>B0CRDLS3LR</t>
  </si>
  <si>
    <t>149US-MeiHongDuJiaoShouClaw</t>
  </si>
  <si>
    <t>ROHSCE Interactive Claw Toy Arcade Machine with Prizes, Kids Vending Machine with Lights, Music, Plush Toys &amp; Capsules, Mini Claw Machine USB Rechargeable, Birthday Gift for Girls Ages 6-12</t>
  </si>
  <si>
    <t>X0051THII3</t>
  </si>
  <si>
    <t>B0GL7ZCK1C</t>
  </si>
  <si>
    <t>149US-YaoKongQianTing-003</t>
  </si>
  <si>
    <t>Flying Banana Mini Submarine Pool Toy with LED Lights, Underwater Swimming Toy for Pool and Bathtub Play, USB Rechargeable, for Kids Ages 8-12</t>
  </si>
  <si>
    <t>ROHSCE Instant Camera for Kids, Digital Print Camera 48MP 1080P, Color &amp; B&amp;W Printing, 2.4" Display, USB-C Rechargeable, 32GB Card, Christmas &amp; Birthday Gifts for 3-12 Year Old Girls Boys (Pink)</t>
  </si>
  <si>
    <t>gl_camera</t>
  </si>
  <si>
    <t>X004U97IG7</t>
  </si>
  <si>
    <t>B0F28K5ZNP</t>
  </si>
  <si>
    <t>149US-BlueXueQiuQiang002</t>
  </si>
  <si>
    <t>ROHSCE Reusable Water Toys Launcher Set – 28 Soft Water Balls for Kids Backyard &amp; Yard Games – Outdoor Summer Toys for Toddlers Ages 4-8, 8-12, Splash Fun, Toddler Summer Activities</t>
  </si>
  <si>
    <t>X00530YW9D</t>
  </si>
  <si>
    <t>B0GXTMFDSG</t>
  </si>
  <si>
    <t>149-duijiangji008</t>
  </si>
  <si>
    <t>Kids Video Walkie Talkies, Toy Walkie Talkies with Screen Display, Real-Time Video &amp; Voice Intercom for Boys Girls Ages 3-12, Indoor Outdoor Play Travel Xmas Birthday Gift Set</t>
  </si>
  <si>
    <t>X004C2CMAJ</t>
  </si>
  <si>
    <t>149-shuangqiangshejijiqiren-7NZ</t>
  </si>
  <si>
    <t>ROHSCE Shooting Game Toy for Boys 4-6 &amp; Up - Movable Shooting Targets for Kids, Sound and Spray Effect Dinosaur Toys for Kids 3-5-7 with 2 Guns and 24 Foam Balls, Shooting Toy Gift for Boys and Girls</t>
  </si>
  <si>
    <t>X004Q1PWXZ</t>
  </si>
  <si>
    <t>B0F299SJCM</t>
  </si>
  <si>
    <t>149-taoyiji-Green</t>
  </si>
  <si>
    <t>ROHSCE Electric Pottery Wheel Kit, Ceramic Pottery and Painting Crafts Set for Kids 3+</t>
  </si>
  <si>
    <t>Smart Car Huarong Road Puzzle Game 1500 Levels Brain Teaser Desktop Brick Game Maze Escape Blocks Logic Challenge Kids Toys Gift for Boys/Girls/Teens</t>
  </si>
  <si>
    <t>X0052GA6EN</t>
  </si>
  <si>
    <t>B0F2MKWCCT</t>
  </si>
  <si>
    <t>149US-WoNiuBangQiu</t>
  </si>
  <si>
    <t>Snail T-Ball Water Sprinkler – Summer Backyard &amp; Lawn Toys, Great for Kids Ages 3-8, Birthday Party &amp; Pool Play</t>
  </si>
  <si>
    <t>ROHSCE 496 Pcs Metal Building Toys for Boys &amp; Girls 8-12 Years Old, Off-Road Vehicle Model Truck Kits, STEM Engineering Construction Set, Monster Car Educational Gift for Kids Ages 8 9 10+</t>
  </si>
  <si>
    <t>X004T19SXH</t>
  </si>
  <si>
    <t>B0FG7DXS9Y</t>
  </si>
  <si>
    <t>149-3DLiTiDuiJiangJiPingTu-003</t>
  </si>
  <si>
    <t>STEM Toys for Kids Ages 5-12, DIY Walkie Talkie Building Kit for Outdoor Play, Science Kits for Kids 8-10 8-12, Educational Engineering Toys for Home, School Projects, and Camp Activities</t>
  </si>
  <si>
    <t>ROHSCE Kids Claw Machine, Arcade Game Toy for Ages 8-13, Candy Vending Toys for Girls and Boys, Electronic Claw Game Machine for Party with Lights Sound, Birthday Gifts for 6 7 9 10 12 Years Old</t>
  </si>
  <si>
    <t>149-HeiYuLianGGZ</t>
  </si>
  <si>
    <t>X0051PS65L</t>
  </si>
  <si>
    <t>B0GQZ5S8NC</t>
  </si>
  <si>
    <t>149US-YaoKongQianTing-006</t>
  </si>
  <si>
    <t>Flying Banana Mini RC Submarine with LED Lights, Remote Control Underwater Pool and Bathtub Watercraft, Rechargeable Gift for Ages 6-12</t>
  </si>
  <si>
    <t>Wooden Cubes, IQ Puzzle, Building Cube Express Toy Faces, Magic Face Building Block Wooden Puzzle Montessori Toy</t>
  </si>
  <si>
    <t>X004PZTQON</t>
  </si>
  <si>
    <t>B0CCTHB771</t>
  </si>
  <si>
    <t>149-FeiDiePenShui-B</t>
  </si>
  <si>
    <t>ROHSCE Water Rocket Sprinkler for Kids, Outdoor Sprinkler Rocket Launcher Toy for Backyard, Summer Water Toys for Kids Ages 3-12, Fun Water Powered Rocket Toy (UFO)</t>
  </si>
  <si>
    <t>ROHSCE Interactive Word Game for Family, Board Games with 24-Letter Board &amp; Timer 2025 &amp; Toys for 1-6 Year Olds Boys &amp; Girls, Dual Category Modes for Adults Kids Party Nights</t>
  </si>
  <si>
    <t>X004C5HM1Z</t>
  </si>
  <si>
    <t>B0D9M5SKC9</t>
  </si>
  <si>
    <t>149-UFO-KC9</t>
  </si>
  <si>
    <t>Bubble Machine for Kids - Automatic Bubble Maker with LED Light &amp; Music, Rotating 360° UFO Toys, Safe Bubble Blower for Pets Dogs Cats, Cool Outdoor Toy for 1-3 3-8 Year Old Boys Girls Birthday Gifts</t>
  </si>
  <si>
    <t>X00556DYSP</t>
  </si>
  <si>
    <t>B0H2VVGDFC</t>
  </si>
  <si>
    <t>149US-PenShuiHuoJian-07</t>
  </si>
  <si>
    <t>Summer Water Rocket Toy for Kids, Outdoor Sprinkler Rocket Launcher, Backyard Water Powered Toy for Boys and Girls</t>
  </si>
  <si>
    <t>X004NYU2XZ</t>
  </si>
  <si>
    <t>B0CYPXQLGL</t>
  </si>
  <si>
    <t>149-BaoJianCiJiMu</t>
  </si>
  <si>
    <t>ROHSCE Magnetic Blocks 160PCS - Sword Theme Construction Cubes, STEM Preschool kit, Safe ABS no-Odor, CPC ASTM Certified, Travel-Ready Ages 3–12, Perfect for Birthday</t>
  </si>
  <si>
    <t>X004C289JH</t>
  </si>
  <si>
    <t>B0FP58Q9WV</t>
  </si>
  <si>
    <t>149-dawoya-YXS</t>
  </si>
  <si>
    <t>ROHSCE Kids Shooting Game | Dinosaur Moving Target with Sound &amp; Mist | 2 Blasters + 24 Foam Balls | Fun Gift for Boys 4–6 &amp; Up and Girls 3–7</t>
  </si>
  <si>
    <t>X004FQY52F</t>
  </si>
  <si>
    <t>B0CYPY1SBN</t>
  </si>
  <si>
    <t>149-108magneticblock-SBN</t>
  </si>
  <si>
    <t>ROHSCE Magnetic Blocks Toys for Kids - 108PCS Magnetic Blocks for Kids, STEM Preschool Stacking Construction Toys Educational Sensory Toy for Children Development and Creativity</t>
  </si>
  <si>
    <t>ROHSCE STEM Metal Airplane Building Kits for Kids Ages 8-16, 285 Pieces DIY Mechanical Engineering Construction Toys, Large Model Aircraft Project for Boys &amp; Girls, Educational Science Plane Gift</t>
  </si>
  <si>
    <t>X004LW6SN7</t>
  </si>
  <si>
    <t>149-ORedRocket-7MS</t>
  </si>
  <si>
    <t>X004UBFD0N</t>
  </si>
  <si>
    <t>B0FR4KKXG7</t>
  </si>
  <si>
    <t>149-DuJiaoShouMang-001</t>
  </si>
  <si>
    <t>Unicorn Advent Calendar 2025 for Girls, 24-Day Christmas Countdown Surprise Box with Jewelry &amp; Hair Accessories, Sunglasses, Coin Purse &amp; Keychain, Stocking Stuffer Gifts for Kids Ages 4-10</t>
  </si>
  <si>
    <t>X00536YKFN</t>
  </si>
  <si>
    <t>B0GY4BS1MX</t>
  </si>
  <si>
    <t>radio-008</t>
  </si>
  <si>
    <t>Physics Experiment FM Radio Kit - STEM Science Building Toy for Students Ages 7-13 Educational Wooden Craft Electronics Gift</t>
  </si>
  <si>
    <t>X004PALXM1</t>
  </si>
  <si>
    <t>B0CRDLV5P8</t>
  </si>
  <si>
    <t>149-ZiSeNiuDanJi</t>
  </si>
  <si>
    <t>ROHSCE 2 in 1 Big Claw Machine for Kids with Toys Inside, Arcade Games Vending Machine, Mini Claw Game Arcade Toy, Home Party Easter Birthday Gifts for Girl &amp; Boys Age 3+</t>
  </si>
  <si>
    <t>X004UB2NLF</t>
  </si>
  <si>
    <t>B0CRDLNXBS</t>
  </si>
  <si>
    <t>149US-Shengdanclaw-zuzhuang</t>
  </si>
  <si>
    <t>ROHSCE Claw Machine for Kids, Mini Vending Machines Arcade Claw Game Prizes Toy, Indoor Electronic Cool Fun Toys for Girls Birthday Gifts for 6 7 9 10 12 Years Old</t>
  </si>
  <si>
    <t>X004LWWRAP</t>
  </si>
  <si>
    <t>B0CD7TVJ66</t>
  </si>
  <si>
    <t>149US-HongSePenShuiDaiGuan-J66</t>
  </si>
  <si>
    <t>ROHSCE Water Rocket Sprinkler for Kids, Outdoor Sprinkler Rocket Launcher Toy for Backyard, Summer Water Toys for Kids Ages 3-12, Fun Water Powered Rocket Toy (Red-5)</t>
  </si>
  <si>
    <t>X004TU5VJN</t>
  </si>
  <si>
    <t>B0FDKPSJ23</t>
  </si>
  <si>
    <t>ShouTiBaoHuaZhuangHe-0004</t>
  </si>
  <si>
    <t>ROHSCE Kids Makeup Kit for Girl 15 Pcs - Real Washable Cosmetic Toy Set, Non-Toxic Play Makeup Set for Toddlers, Princess Birthday Gift for 3 4 5 6 7 8 9 10 12 Year Old Girls</t>
  </si>
  <si>
    <t>X005313X8D</t>
  </si>
  <si>
    <t>B0GXTFCVWG</t>
  </si>
  <si>
    <t>149-duijiangji007</t>
  </si>
  <si>
    <t>Video Walkie Talkies for Kids Boys Girls, Kids Toy Walkie Talkies with Screen Display, Real-Time Video &amp; Voice Intercom, Ages 3-12, Indoor Outdoor Play Travel Set</t>
  </si>
  <si>
    <t>ROHSCE Motorized Gear Building Blocks Toys, Electric Farm Animal Spinning Set Ages 3-6, STEM Learning Construction Kit, Fine Motor Cause-Effect Gift for Boys Girls</t>
  </si>
  <si>
    <t>ROHSCE Construction Toy Set — Mini Bricks for Model Building</t>
  </si>
  <si>
    <t>Ride On Toys for Toddlers 1-3 Boys Girls, 4-in-1 Push Pull Sit and Ride Train, Walking Car Toy for 1 Year Old Learning to Walk, Sit-to-Stand Walker for Baby Kids Ages 1 2 3 4 Outdoor Indoor Toy</t>
  </si>
  <si>
    <t>X004N8C789</t>
  </si>
  <si>
    <t>B0F4JS21NB</t>
  </si>
  <si>
    <t>149US-HelicopterBlue</t>
  </si>
  <si>
    <t>Sprinkler for Kids Outdoor Water Toys, Helicopter Kids Sprinkler Toys, Water Powered for Yard, Lawn &amp; Garden – Water Play for Summer Outside Fun for Girls Boys Ages 3-12, Ideal Birthday</t>
  </si>
  <si>
    <t>X00531178L</t>
  </si>
  <si>
    <t>B0GXTWG6C8</t>
  </si>
  <si>
    <t>MatsPuzzlePads-003</t>
  </si>
  <si>
    <t>Kids Foam Floor Tiles Puzzle Mat, Soft EVA Interlocking Play Mat, Safe Non-Toxic Baby Crawling Surface, Thick Protective Flooring for Nursery, Playroom, Exercise &amp; Indoor Activities</t>
  </si>
  <si>
    <t>X004LVWDVJ</t>
  </si>
  <si>
    <t>B0C8CLTGHR</t>
  </si>
  <si>
    <t>149-ORedRocket-HoseGHR</t>
  </si>
  <si>
    <t>ROHSCE Water Powered Rocket Sprinkler for Kids, Outdoor Yard Sprinkler 360° Rotating Rocket Water Toys,Garden Hose Attachment Splashing Fun for 3 4 5 6 7 8 Year Old Boys Girls Gift (with Water Pipe)</t>
  </si>
  <si>
    <t>ROHSCE Sentro Knitting Machine 22 Needles with Row Counter, Smart Weaving Loom Round, Board Rotating Double, Crochet Loom Knitting Machine for Adults and Kids, Kit for Hat, Scarves, Gloves, Socks.</t>
  </si>
  <si>
    <t>ROHSCE 7PCS Magnetic Gear Toy Set, Train-Themed Gear Toys for Toddlers 1-3, Educational STEM Gears Toys for Kids, Cute Fridge Magnets for Toddlers, Montessori Learning Toy Gift for Boys Girls</t>
  </si>
  <si>
    <t>X004EGB9XJ</t>
  </si>
  <si>
    <t>149-HuangSeMaiGanYaoLing-5QM</t>
  </si>
  <si>
    <t>X004YLS243</t>
  </si>
  <si>
    <t>B0CRDKZL4M</t>
  </si>
  <si>
    <t>149US-ZuZhuangMengXiongClaw</t>
  </si>
  <si>
    <t>ROHSCE Kids Claw Machine - Toy Vending Machine for Kids with Plush Prizes, Lights &amp; Sound, Electronic Claw Game Machine for Boys &amp; Girls, Arcade Prize Dispenser for Party &amp; Birthday Gifts</t>
  </si>
  <si>
    <t>X004NYIFZH</t>
  </si>
  <si>
    <t>B0CYPYCDNC</t>
  </si>
  <si>
    <t>149-CongLinXiaoXi-CiXingJiMu</t>
  </si>
  <si>
    <t>ROHSCE Magnetic Blocks 96PCS - River Scene Construction Cubes, STEM Preschool kit, Safe ABS no-Odor, CPC ASTM Certified, Travel-Ready Ages 3–12, Perfect for Birthday</t>
  </si>
  <si>
    <t>ROHSCE Water Table for Toddlers 1-3, 4-in-1 Outdoor Sand and Water Play Tables with Pump, Summer Kitchen Sink Toy with Fishing Game, Floating Boat, Sensory Gifts for Kids Ages 3-8</t>
  </si>
  <si>
    <t>ROHSCE Kids Instant Print Camera, 48MP 1080P HD Digital Camera with Color &amp; B&amp;W Printing, 32GB Card &amp; 3 Paper Rolls, Travel Toy for 3-12 Year Old Boys Girls, Christmas Birthday Gifts (Blue)</t>
  </si>
  <si>
    <t>X004UBC4RD</t>
  </si>
  <si>
    <t>B0CRDMTY9L</t>
  </si>
  <si>
    <t>149US-CaiHongTuwawaji</t>
  </si>
  <si>
    <t>ROHSCE Kids Claw Machine with Toys Inside, Vending Machine Lights &amp; Sound, Electronic Mini Claw Game for Boys &amp; Girls, Birthday &amp; Party Gift, Includes 25 Plush Toys, Surprise Eggs &amp; USB Cable</t>
  </si>
  <si>
    <t>X004NYTWKJ</t>
  </si>
  <si>
    <t>B0CYQ1DHR9</t>
  </si>
  <si>
    <t>149-ChunZhangZhiJia-CiXingJiMu</t>
  </si>
  <si>
    <t>ROHSCE Magnetic Blocks 128PCS - Magnetic Tiles Building Blocks Toddler Toys STEM Sensory Outdoor Toys for 3+ Year Old Boys &amp; Girls, Creative Kids Games Kids</t>
  </si>
  <si>
    <t>ROHSCE Knitting Machine, 22 Needles Knitting Loom Machine with Row Counter,</t>
  </si>
  <si>
    <t>X004MKVQIP</t>
  </si>
  <si>
    <t>B0DYP4CSRH</t>
  </si>
  <si>
    <t>149US-GunQiuShuiWanJu</t>
  </si>
  <si>
    <t>ROHSCE Water Sprinkler Toy for Kids Backyard Fun - 3-in-1 Summer Outdoor Water Toys with Rotating Spray &amp; Catch Game, Splash Toys for Toddlers, Boys, Girls, Pets in Garden or Lawn Play</t>
  </si>
  <si>
    <t>X004JMTMB9</t>
  </si>
  <si>
    <t>149-Fengrenji202-MWR</t>
  </si>
  <si>
    <t>X005564579</t>
  </si>
  <si>
    <t>B0H2VSX8NR</t>
  </si>
  <si>
    <t>149US-PenShuiHuoJian-02</t>
  </si>
  <si>
    <t>Kids Water Rocket Sprinkler, Outdoor Backyard Rocket Launcher Toy, Fun Summer Water Toy for Boys and Girls Ages 3-12</t>
  </si>
  <si>
    <t>X004SHE0L7</t>
  </si>
  <si>
    <t>B0DCNSR2SR</t>
  </si>
  <si>
    <t>149US-GongChengShiPingTu</t>
  </si>
  <si>
    <t>Magnetic Puzzles for Kids Ages 4-8 - 71 PC Educational Vehicle Magnetic Book, Dress-Up Game &amp; Preschool Toddler Learning Activities, Travel-Friendly STEM Toy, Fridge Magnets for Toddlers Ages 1-3 3-12</t>
  </si>
  <si>
    <t>X004T1OHQ5</t>
  </si>
  <si>
    <t>B0F7GZKTRV</t>
  </si>
  <si>
    <t>BaiseHuaRongDao002</t>
  </si>
  <si>
    <t>Huarong Road Intelligent Car Puzzle 1500-Level Maze Brick Game Speed Escape Logic Parking Blocks Desktop Toy for Kids Teens Boys Girls Gift</t>
  </si>
  <si>
    <t>X004MK2QED</t>
  </si>
  <si>
    <t>B0DYP5XCXP</t>
  </si>
  <si>
    <t>149US-PengShuiGunQiu</t>
  </si>
  <si>
    <t>ROHSCE Water Rocket Sprinkler for Kids, Outdoor Sprinkler Rocket Launcher Toy for Backyard, Summer Water Toys for Kids Ages 3-12, Fun Water Powered Rocket Toy (3-in-1-ball)</t>
  </si>
  <si>
    <t>Magnetic Puzzles for Kids Ages 4-8 - 76 PC Educational Alphabet &amp; Animal Magnetic Book, Dress-Up Toddler Learning Activities, Travel-Friendly STEM Toy, Fun Jigsaw Fridge Magnets for Toddlers 1-3 3-12</t>
  </si>
  <si>
    <t>X00530ZW4R</t>
  </si>
  <si>
    <t>B0GXTVQ4LS</t>
  </si>
  <si>
    <t>MatsPuzzlePads-006</t>
  </si>
  <si>
    <t>Foam Puzzle Play Mat for Kids, Interlocking EVA Floor Tiles, Soft Non-Toxic Baby Play Mat, Waterproof Thick Cushion for Crawling, Toddler Play Area, Home Gym &amp; Nursery Flooring (Multicolor)</t>
  </si>
  <si>
    <t>ROHSCE Butterfly Wings Costume for Girls, Electric Fairy Princess Dress Up Outfit with Light Up Wings, Toddler &amp; Kids Butterfly Costume for Halloween, Christmas, Birthday, Role Play, School Events</t>
  </si>
  <si>
    <t>X004DV8825</t>
  </si>
  <si>
    <t>B0CYPZCYM9</t>
  </si>
  <si>
    <t>149-chunsejimu</t>
  </si>
  <si>
    <t>ROHSCE Magnetic Blocks 64PCS - Colorful Cube Construction Set, STEM Preschool kit, Safe ABS no-Odor, CPC ASTM Compliant, Travel-Ready, Ages 3–12, Perfect for Birthday</t>
  </si>
  <si>
    <t>X004PM97T5</t>
  </si>
  <si>
    <t>B0CRDLD186</t>
  </si>
  <si>
    <t>149-LanSeYuHangYuanClaw</t>
  </si>
  <si>
    <t>ROHSCE Claw Machine for Kids – Large Toy Claw Machine with Music Lights, Vending Machine Toy for Boys Girls, Includes Toys Inside, USB Rechargeable Candy Claw Game Machine for Kids Ages 4-12</t>
  </si>
  <si>
    <t>ROHSCE Magnetic Gears Toy Set 8 PCS, Gear Toys for Toddlers 1-3 with Music &amp; Light, Educational STEM Learning Fun Fridge Magnets for Kids, Toddler Electric Spinner Toys Gift for Boys Girls</t>
  </si>
  <si>
    <t>X004Q9S29X</t>
  </si>
  <si>
    <t>B0F3HVW8FY</t>
  </si>
  <si>
    <t>149-maorongqiu02-50PCS</t>
  </si>
  <si>
    <t>ROHSCE Reusable Water Balls for Kids, 50 PCS Soft Splash Balls Summer Outdoor Toys, Water Balloon Game for Pool Beach Party, Safe Water Fight Toys Fun Activities Yard Games</t>
  </si>
  <si>
    <t>X004UAWNIT</t>
  </si>
  <si>
    <t>149us-YellowMengXiongwawaji</t>
  </si>
  <si>
    <t>ROHSCE Motorized Spinning Gear Building Toys for Kids, Space Rocket STEM Construction Set, Educational Interlocking Building Blocks Puzzle | Gear Toys for Toddlers Ages 3-8</t>
  </si>
  <si>
    <t>X004QMOG1N</t>
  </si>
  <si>
    <t>B0F28HPT18</t>
  </si>
  <si>
    <t>149US-PinkXueQiuQiang2</t>
  </si>
  <si>
    <t>ROHSCE Reusable Water Balloon Launcher Set for Kids – 28 Quick-Fill Water Balls with Sand Toys – Outdoor Pool &amp; Backyard Game for Boys Girls, Summer Gift for Toddlers &amp; Teens</t>
  </si>
  <si>
    <t>X005313JF5</t>
  </si>
  <si>
    <t>B0GXTM23BC</t>
  </si>
  <si>
    <t>149-duijiangji010</t>
  </si>
  <si>
    <t>Kids Video Walkie Talkies for Ages 3-12, Toy Walkie Talkies with Screen Display, Real-Time Video &amp; Voice Intercom for Boys Girls, Indoor Outdoor Play Travel Birthday Gift Toys</t>
  </si>
  <si>
    <t>X0053105HP</t>
  </si>
  <si>
    <t>B0GXTM4TYM</t>
  </si>
  <si>
    <t>149-duijiangji004</t>
  </si>
  <si>
    <t>Kids Video Walkie Talkies for Boys Girls, Toy Walkie Talkies with Screen Display, Real-Time Video &amp; Voice Intercom, Ages 3-12, Indoor Outdoor Play Travel Birthday</t>
  </si>
  <si>
    <t>ROHSCE 50 Pcs Kids Makeup Kit for Girls, Real Washable Cosmetic Set with Large Mirror &amp; Blue Vanity Case, Non-Toxic Princess Toys Birthday Gifts for 3 4 5 6 7 8 9 10 12 Year Old Gir（Blue）</t>
  </si>
  <si>
    <t>X004UELMEV</t>
  </si>
  <si>
    <t>B0FPC69933</t>
  </si>
  <si>
    <t>149US-BlueYuHangYuanClaw</t>
  </si>
  <si>
    <t>Claw Machine for Kids – Large Toy Claw Machine with Music &amp; Lights, USB Rechargeable Vending Machine Toy, Includes Toys Inside for Boys and Girls Ages 4-12</t>
  </si>
  <si>
    <t>X0052GAALR</t>
  </si>
  <si>
    <t>B0C8CML3MB</t>
  </si>
  <si>
    <t>149US-BaiPenShuiHuoJian-Pipe</t>
  </si>
  <si>
    <t>Rocket Launcher for Kids 2025, Electric Water Rocket with Auto-Recovery System, Outdoor Sprinkler Toy for Boys &amp; Girls Ages 6-12, Backyard Summer Water Toys (White-1)</t>
  </si>
  <si>
    <t>X004DZD1D7</t>
  </si>
  <si>
    <t>B0DB5QRSVP</t>
  </si>
  <si>
    <t>149-JiangLin</t>
  </si>
  <si>
    <t>DIY Christmas Advent Calendar Boxes 2024, 25 Days Christmas Cardboard Number Boxes Christmas Countdown Calendar Refillable Advent Xmas Gift Box for Kids Adults Xmas Home Office</t>
  </si>
  <si>
    <t>X004UBM44B</t>
  </si>
  <si>
    <t>ROHSCE Flexible Magnetic Tubes for Kids – 66 PCS STEM Learning Builder Set, Snap &amp; Shape Creative Structures</t>
  </si>
  <si>
    <t>ROHSCE Knitting Machine, 22 Needles Knitting Loom Machine with Row Counter, DIY Knitting Board Rotating Double Knit Loom Machine Kit for Hat, Scarves, Gloves, Socks</t>
  </si>
  <si>
    <t>X004EGI3MT</t>
  </si>
  <si>
    <t>149-LanSeMaiGanYaoLing=5Q9</t>
  </si>
  <si>
    <t>X004UB4B7T</t>
  </si>
  <si>
    <t>149US-ShengdanClaw-no</t>
  </si>
  <si>
    <t>X004TU504J</t>
  </si>
  <si>
    <t>B0FDKRJHMX</t>
  </si>
  <si>
    <t>ShouTiBaoHuaZhuangHe-0009</t>
  </si>
  <si>
    <t>ROHSCE Kids Makeup Kit for Girls - 15 Pcs Real Washable Cosmetic Set with Vanity Case, Non-Toxic Play Makeup Toys, Princess Birthday for 3 4 5 6 7 8 9 10 12 Year Old Girl Toddlers</t>
  </si>
  <si>
    <t>X004MKT4BL</t>
  </si>
  <si>
    <t>B0DYXRDNJ6</t>
  </si>
  <si>
    <t>149US-PengShuiBaZhaoYu</t>
  </si>
  <si>
    <t>Water Sprinkler Baseball Toy for Kids Outdoor Play Toys – Backyard Summer Splash Game for Boys and Girls, Connects to Garden Hose, Fun Lawn Activity for Yard, Beach, or Birthday Party</t>
  </si>
  <si>
    <t>X004P1KIV7</t>
  </si>
  <si>
    <t>B0F26MVDJQ</t>
  </si>
  <si>
    <t>149US-ChengbaoGangqinJiMu</t>
  </si>
  <si>
    <t>Flower Castle Music Box Building Set for Kids &amp; Adults, 771PCS STEM Toy Blocks with Piano Keyboard, Flower Building Kit fo Boys &amp; Girls Ages 6-12, Birthday Gift, DIY Decor for Bedroom or Desk Display</t>
  </si>
  <si>
    <t>X004TU2LFP</t>
  </si>
  <si>
    <t>B0FDKQC34W</t>
  </si>
  <si>
    <t>ShouTiBaoHuaZhuangHe-0006</t>
  </si>
  <si>
    <t>ROHSCE Kids Makeup Kit for Girls - 15 Pcs Real Washable Cosmetic Set, Non-Toxic Play Toy with Portable Red Vanity Case, Princess Birthday for 3 4 5 6 7 8 9 10 12 Year Old.</t>
  </si>
  <si>
    <t>Flammable</t>
  </si>
  <si>
    <t>X004T19WQ5</t>
  </si>
  <si>
    <t>B0FG7HG6RW</t>
  </si>
  <si>
    <t>149-3DLiTiDuiJiangJiPingTu-001</t>
  </si>
  <si>
    <t>3D Puzzle STEM Toys for Kids Ages 5-12, DIY Walkie Talkie Building Kit for Outdoor Play, Science Kits for Kids 8-10 8-12, Educational Engineering Toys for Home, School Projects, and Camp Activities</t>
  </si>
  <si>
    <t>X005319TCH</t>
  </si>
  <si>
    <t>B0GXTVVB1W</t>
  </si>
  <si>
    <t>MatsPuzzlePads-008</t>
  </si>
  <si>
    <t>Thick Foam Puzzle Play Mat for Babies &amp; Toddlers, Interlocking EVA Floor Tiles, Soft Cushion Anti-Slip Kids Play Mat, Waterproof Non-Toxic Flooring for Playroom Nursery Home Gym</t>
  </si>
  <si>
    <t>X00556BVQ7</t>
  </si>
  <si>
    <t>B0H2VMRC9R</t>
  </si>
  <si>
    <t>149US-PenShuiHuoJian-10</t>
  </si>
  <si>
    <t>Kids Rocket Launcher Sprinkler Toy, Outdoor Water Powered Rocket for Backyard Fun, Summer Water Toy for Ages 3-12</t>
  </si>
  <si>
    <t>X004LWNRYP</t>
  </si>
  <si>
    <t>B0CD7QP12L</t>
  </si>
  <si>
    <t>149US-PenShuiHuoJian-12L</t>
  </si>
  <si>
    <t>ROHSCE Water Rocket Sprinkler for Kids, Outdoor Sprinkler Rocket Launcher Toy for Backyard, Summer Water Toys for Kids Ages 3-12, Fun Water Powered Rocket Toy (Yellow-4)</t>
  </si>
  <si>
    <t>ROHSCE Electric Fairy Butterfly Wings with LED Lights and Music, Light up Moving Wings Fairy Costume Dress up Halloween Christmas Birthday Party Gift for Girls 3 4 5 6 7 8 Year Old</t>
  </si>
  <si>
    <t>X004G02595</t>
  </si>
  <si>
    <t>B0CYQ1DNDZ</t>
  </si>
  <si>
    <t>149-52magnetblock-NDZ</t>
  </si>
  <si>
    <t>ROHSCE Magnetic Blocks 52PCS - Winter Scene Construction Cubes, STEM Preschool kit, Safe ABS no-Odor, CPC ASTM Certified, Travel-Ready for Ages 3–12, Perfect for Birthday</t>
  </si>
  <si>
    <t>X004DZL73X</t>
  </si>
  <si>
    <t>ShengDanMangHe3</t>
  </si>
  <si>
    <t>X004Q8YV5X</t>
  </si>
  <si>
    <t>B0F28JTKJG</t>
  </si>
  <si>
    <t>149-BlueXueQiuQiang</t>
  </si>
  <si>
    <t>Reusable Water Balloon Launcher Set for Kids –28 Soft Refillable Water Balls &amp; Beach Sand Molds – Outdoor Summer Toy for Boys Girls, Pool &amp; Backyard Fun</t>
  </si>
  <si>
    <t>X004FAWSV1</t>
  </si>
  <si>
    <t>149-yugang-LWL</t>
  </si>
  <si>
    <t>X004I1DWZ3</t>
  </si>
  <si>
    <t>B0CGCKRKB3</t>
  </si>
  <si>
    <t>149-PangXiePaoPaoJI-KB3</t>
  </si>
  <si>
    <t>ROHSCE Crab Bath Bubble Machine, Bath Bubble Maker for Baby, Automatic Bubble Maker with 12 Songs, Bathtime Shower Bath Toys for Toddlers 1-3 | Fun Bathtub Toy Gifts</t>
  </si>
  <si>
    <t>X0051E5PAL</t>
  </si>
  <si>
    <t>B0GL2112DB</t>
  </si>
  <si>
    <t>149US-YaoKongQianTing-001</t>
  </si>
  <si>
    <t>Flying Banana RC Submarine Toy with LED Lights, Kids Underwater Swimming Toy for Pool or Bathtub Play, Gift for Boys Girls Ages 6-12</t>
  </si>
  <si>
    <t>X0052GAEAT</t>
  </si>
  <si>
    <t>B0CD7STZHN</t>
  </si>
  <si>
    <t>149US-WhitePenShuiHuoJian</t>
  </si>
  <si>
    <t>ROHSCE Water Rocket Sprinkler for Kids, Outdoor Sprinkler Rocket Launcher Toy for Backyard, Summer Water Toys for Kids Ages 3-12, Fun Water Powered Rocket Toy (White-5)</t>
  </si>
  <si>
    <t>X004S1UUKN</t>
  </si>
  <si>
    <t>B0GFDVTWW7</t>
  </si>
  <si>
    <t>149US-HuangGunWaWaji</t>
  </si>
  <si>
    <t>ROHSCE Kids Claw Machine Arcade Toy for Girls Ages 8 to 13 Mini Prize Grabber Candy Dispenser with LED Lights Adjustable Volume USB Powered or Battery Operated Birthday Gift for Kids</t>
  </si>
  <si>
    <t>X0053189R3</t>
  </si>
  <si>
    <t>B0GXV2S7QF</t>
  </si>
  <si>
    <t>MatsPuzzlePads-004</t>
  </si>
  <si>
    <t>Interlocking Foam Play Mat for Babies &amp; Toddlers, Thick EVA Puzzle Floor Tiles, Soft Protective Crawling Mat, Waterproof Easy-Clean Nursery Flooring for Playroom, Gym, Home Use</t>
  </si>
  <si>
    <t>X004YLEAC1</t>
  </si>
  <si>
    <t>B0CRDMMSSC</t>
  </si>
  <si>
    <t>149US-XiaoXiongTouClaw</t>
  </si>
  <si>
    <t>ROHSCE Mini Claw Machine for Kids, Arcade Game Toy for Ages 8-13, Candy Vending Toys for Girls and Boys, Electronic Claw Game Machine for Party with Lights Sound, Christmas Birthday Gifts for Ages 4+</t>
  </si>
  <si>
    <t>X004JN3WJB</t>
  </si>
  <si>
    <t>149-FenBaiSewing505</t>
  </si>
  <si>
    <t>X004LULMIP</t>
  </si>
  <si>
    <t>B0CDLY4MGK</t>
  </si>
  <si>
    <t>149HeiHuiWaterGunMGK</t>
  </si>
  <si>
    <t>ROHSCE Powerful Electric Water Gun, Automatic &amp; Manual Squirt Gun with LED Light, Rechargeable Battery Powered Water Blaster 28-32 Ft Range, Large Capacity Tank for Outdoor Pool Beach Battle Play</t>
  </si>
  <si>
    <t>X005315E4J</t>
  </si>
  <si>
    <t>B0GXV1PBWC</t>
  </si>
  <si>
    <t>MatsPuzzlePads-009</t>
  </si>
  <si>
    <t>Kids Foam Play Mat Interlocking Puzzle Tiles, Soft EVA Baby Floor Mat for Crawling &amp; Playtime, Waterproof Easy-Clean Toddler Play Area Rug for Nursery Bedroom Indoor Floor Protection</t>
  </si>
  <si>
    <t>ROHSCE House Building Set for Kids 4+, Mini Brick Construction Kit with Mortar, STEM Architecture Blocks, Reusable DIY Projects, Creative Birthday Gift</t>
  </si>
  <si>
    <t>X005313ZYP</t>
  </si>
  <si>
    <t>B0GXTJF1F4</t>
  </si>
  <si>
    <t>149-duijiangji005</t>
  </si>
  <si>
    <t>Video Walkie Talkies for Kids, Toy Walkie Talkies with Screen Display, Real-Time Video &amp; Voice Chat for Boys Girls Ages 3-12, Indoor Outdoor Family Play Travel Birthday Gifts Toy</t>
  </si>
  <si>
    <t>X0051KC6JX</t>
  </si>
  <si>
    <t>B0GLYLHG1R</t>
  </si>
  <si>
    <t>149-QiShiNiwajiang-1</t>
  </si>
  <si>
    <t>ROHSCE Knight Bricklayer Mini Brick &amp; Mortar Construction Set for Kids – DIY Realistic Clay Bricks &amp; Cinder Blocks STEM Toy – Build Walls, Arches &amp; Houses – Reusable &amp; Rebuildable Math Engineering Toy</t>
  </si>
  <si>
    <t>X004DUX77R</t>
  </si>
  <si>
    <t>B0DBV66VS4</t>
  </si>
  <si>
    <t>gearlearning 0005</t>
  </si>
  <si>
    <t>ROHSCE STEM Learning Toys for Kids Age 3-6, Interactive Montessori Busy Board with Flash Cards, Gears, Animals, and Building Blocks, Alphabet Educational Learning Tablet for Toddlers Ages 2 3 4 5 6</t>
  </si>
  <si>
    <t>X004EGMA4L</t>
  </si>
  <si>
    <t>149-MaiGanMuYu-MJT</t>
  </si>
  <si>
    <t>X004LV502D</t>
  </si>
  <si>
    <t>B0CCTF5VYC</t>
  </si>
  <si>
    <t>149-NewRedrocket-VYC</t>
  </si>
  <si>
    <t>ROHSCE Water Rocket Sprinkler for Kids, Outdoor Sprinkler Rocket Launcher Toy for Backyard, Summer Water Toys for Kids Ages 3-12, Fun Water Powered Rocket Toy (Red-3)</t>
  </si>
  <si>
    <t>X004LWBJH7</t>
  </si>
  <si>
    <t>B0CCTCF4L9</t>
  </si>
  <si>
    <t>149US-BaiSePenShuiDaiGuan-4L9</t>
  </si>
  <si>
    <t>ROHSCE Water Rocket Sprinkler for Kids, Outdoor Sprinkler Rocket Launcher Toy for Backyard, Summer Water Toys for Kids Ages 3-12, Fun Water Powered Rocket Toy (White-4)</t>
  </si>
  <si>
    <t>X004Q9EAUX</t>
  </si>
  <si>
    <t>B0F3HV84RW</t>
  </si>
  <si>
    <t>149-xishuiqiu50pcs</t>
  </si>
  <si>
    <t>ROHSCE Reusable Water Balloons, Splash Balls, 2 Inch Soft Cotton Water Balls, Soaker Balls for Kids, Outdoor Beach Game, Summer Pool Toys, Backyard, Beach, Lawn, Party Fun Gifts, 50PCS</t>
  </si>
  <si>
    <t>X004PY4MEN</t>
  </si>
  <si>
    <t>B0CRDLWJYF</t>
  </si>
  <si>
    <t>149-MeiHongwawaji</t>
  </si>
  <si>
    <t>ROHSCE Large Claw Machine for Kids – Pink Dream Vending Machine Toy with Capsule Slide, Plush Toys, Lights &amp; Music, Girls Claw Game Machine with USB &amp; Coins, Birthday Gift for 6 7 9 10 12 Years Old</t>
  </si>
  <si>
    <t>ROHSCE Motorized Gear Building Blocks Toys, Electric Dinosaur Spinning Set Ages 3-6, STEM Construction Kit, Fine Motor Cause-Effect Gift for Boys Girls</t>
  </si>
  <si>
    <t>X004LVA9A1</t>
  </si>
  <si>
    <t>B0CCTDZ1K7</t>
  </si>
  <si>
    <t>149NewQiEr-1K7</t>
  </si>
  <si>
    <t>ROHSCE Kids Water Sprinkler Rocket Launcher – Outdoor Water Toys for Summer Backyard Play, Spinning Splash Penguin Rocket for Boys Girls Ages 3-12, Fun Gift for Garden Lawn Birthday</t>
  </si>
  <si>
    <t>X004M3HDP7</t>
  </si>
  <si>
    <t>B0CFZHPK7N</t>
  </si>
  <si>
    <t>149-CaiLanShuiQiangK7N</t>
  </si>
  <si>
    <t>ROHSCE Electric Water Gun for Kids – High Powered Automatic Squirt Gun, Auto Suction Water Guns 32 FT Long Range Battery Water Blaster for Pool Beach Summer Outdoor Games</t>
  </si>
  <si>
    <t>X004MJDAD5</t>
  </si>
  <si>
    <t>B0CYQ33QJR</t>
  </si>
  <si>
    <t>149US-YanJiangCiXingJiMu</t>
  </si>
  <si>
    <t>ROHSCE Magnetic Blocks 122PCS - Flame Theme Translucent Shapes, STEM Preschool Construction kit, Safe ABS no-Odor, CPC ASTM Compliant, Travel-Ready Ages 3–12, Ideal Birthday</t>
  </si>
  <si>
    <t>ROHSCE Brick and Mortar Construction Set - Perfect Building Blocks for Kids Ages 6 and Up, a DIY Versatile Building Set and STEM Building Toy, Ideal for Birthday</t>
  </si>
  <si>
    <t>X00530X59V</t>
  </si>
  <si>
    <t>B0GXTS6VJQ</t>
  </si>
  <si>
    <t>MatsPuzzlePads-002</t>
  </si>
  <si>
    <t>Baby Play Mat Foam Tiles for Crawling &amp; Toddler Play, Interlocking Puzzle Floor Mats, Thick EVA Cushion, Waterproof Nursery Flooring for Playroom, Living Room, Gym &amp; Kids Activity Area</t>
  </si>
  <si>
    <t>X004LV0MOJ</t>
  </si>
  <si>
    <t>B0CCTD8BL6</t>
  </si>
  <si>
    <t>149NewYellow-HoseBL6</t>
  </si>
  <si>
    <t>ROHSCE Water Rocket Sprinkler for Kids, Outdoor Sprinkler Rocket Launcher Toy for Backyard, Summer Water Toys for Kids Ages 3-12, Fun Water Powered Rocket Toy (Yellow-3)</t>
  </si>
  <si>
    <t>X005317VFT</t>
  </si>
  <si>
    <t>B0GXTQLJ5C</t>
  </si>
  <si>
    <t>MatsPuzzlePads-001</t>
  </si>
  <si>
    <t>Foam Puzzle Play Mat for Kids, Interlocking EVA Floor Tiles, Thick Soft Baby Crawling Mat, Non-Toxic Safe Flooring for Playroom, Nursery, Exercise Area, Easy Clean &amp; Waterproof</t>
  </si>
  <si>
    <t>X004Q307AV</t>
  </si>
  <si>
    <t>B0FCF8BRVH</t>
  </si>
  <si>
    <t>149-ShouYinJiPingTu-003</t>
  </si>
  <si>
    <t>DIY 3D Walkie Talkie Kit – Buildable Wireless Pager Toy for Kids, STEM Science Experiment Craft Set</t>
  </si>
  <si>
    <t>X004LW6N91</t>
  </si>
  <si>
    <t>149-OWHiteRocket-DP4</t>
  </si>
  <si>
    <t>X004TGDW6V</t>
  </si>
  <si>
    <t>B0CYLXKG5V</t>
  </si>
  <si>
    <t>149US-BigZhiMaoXianJi</t>
  </si>
  <si>
    <t>ROHSCE 48 Needles Knitting Machine, Smart Weaving Loom Round Knitting Machines with Row Counter for Kids，DIY Knit Loom Machine Kit for Hat, Gloves, Socks</t>
  </si>
  <si>
    <t>X0050VFDYN</t>
  </si>
  <si>
    <t>B0DCNSHCTN</t>
  </si>
  <si>
    <t>149US-TaiKongCiXiPinTu</t>
  </si>
  <si>
    <t>ROHSCE Space Magnetic Travel Game Montessori STEM Quiet Toys for Toddlers 3-5 with 38 Magnets &amp; 16 Activity Cards - Educational Astronaut Magnetic Puzzles Airplane Toy for Kids Ages 3+</t>
  </si>
  <si>
    <t>X004Z2WEDV</t>
  </si>
  <si>
    <t>B0CCTDYLVB</t>
  </si>
  <si>
    <t>149US-RedPenShuiHuoJian</t>
  </si>
  <si>
    <t>ROHSCE Water Sprinkler for Kids Rocket Toys – Outdoor Summer Water Launcher with 360° Splash, Fun Backyard Sprinklers for Toddlers Boys Girls Age 3–8, Easy Hose Setup Birthday Gift Idea</t>
  </si>
  <si>
    <t>X004LWNR4Z</t>
  </si>
  <si>
    <t>B0DX5PGL8M</t>
  </si>
  <si>
    <t>149US-PenShuiHuoJian-L8M-hose</t>
  </si>
  <si>
    <t>ROHSCE Rocket Sprinkler Toy for Kids, Summer Water Launcher for Backyard Play, Outdoor Lawn Sprinkler Gift for Toddlers and Kids Ages 3 4 5 6 7 8, Easy Setup Water Game with Hose</t>
  </si>
  <si>
    <t>ROHSCE Automatic Bubble Machine with LED Lights &amp; Music, Tall Rechargeable Bubble Maker for Kids, Adjustable Height 47 Inches Outdoor Bubble Stand Machine for Birthday Party, Wedding, Garden, Camping</t>
  </si>
  <si>
    <t>ROHSCE Brick and Mortar Construction Set, DIY House Building Kit for Kids, Realistic Mini Bricks STEM Building Toy, Creative Engineering Toy for Boys and Girls</t>
  </si>
  <si>
    <t>X00500I80F</t>
  </si>
  <si>
    <t>B0F2FJCPVF</t>
  </si>
  <si>
    <t>149US-WoNiuBangQiu02</t>
  </si>
  <si>
    <t>Water Sprinkler Baseball Toy for Kids Outdoor Play, 2 in 1 Snail Sprinkler with Bat and Balls, Backyard Lawn Pool Summer Game for Boys Girls Ages 4-8</t>
  </si>
  <si>
    <t>Knight Bricklayer Brick and Mortar Construction Set, Clay Mini Bricks &amp; Cinder Blocks, DIY Mini House Kit, STEM Building Toy, Kids Brick Mortar Set, Reusable Blocks, Ages 8+, Birthday Gift</t>
  </si>
  <si>
    <t>X004LVM1FR</t>
  </si>
  <si>
    <t>149-OWhiteRocket-Hose3MB</t>
  </si>
  <si>
    <t>ROHSCE Metal Model Airplane Building Toys for Boys &amp; Girls Ages 8-16, 285 Pieces DIY STEM Construction Kits, Educational Engineering Science Plane Set, Vintage Aircraft Vehicle Gift for Kids &amp; Adults</t>
  </si>
  <si>
    <t>ROHSCE Magnetic Puzzles for Kids- Educational Magnetic Book, Crazy Face Dress-Up Game &amp; Preschool Toddler Learning Activities, Travel-Friendly STEM Toy, Fun Fridge Magnets for Toddlers 1-3 3-12</t>
  </si>
  <si>
    <t>X004YLSJ1T</t>
  </si>
  <si>
    <t>149US-GunQiuTuYaPinTu</t>
  </si>
  <si>
    <t>X004TGDQ2V</t>
  </si>
  <si>
    <t>B0FHPPY37L</t>
  </si>
  <si>
    <t>149-KeHuanWanJvQiang-003</t>
  </si>
  <si>
    <t>ROHSCE Flying Disc Launcher Toy for Kids Boys Girls 3 4 5 6 Year Old - Clear Barrel Rocket Shooter Game, Interactive Cat Dog Chase Toys, Indoor Outdoor Activity Gifts for Toddlers Age 4-8 5-7</t>
  </si>
  <si>
    <t>X004E5T4AZ</t>
  </si>
  <si>
    <t>149-WuGuiQiu-DHP</t>
  </si>
  <si>
    <t>X004JMW1Z3</t>
  </si>
  <si>
    <t>B0CLY3HCXX</t>
  </si>
  <si>
    <t>149-YueLiangDengLongCXX</t>
  </si>
  <si>
    <t>ROHSCE 3D String Art Kit for Kids, DIY Light Up String Art Lantern Kit Heart Arts and Crafts, Christmas Birthday Present for Kids 8-10, Gifts for Girls and Boys, Toys for 7 Year+ Old</t>
  </si>
  <si>
    <t>X004UB9KV1</t>
  </si>
  <si>
    <t>B0CRDMC78R</t>
  </si>
  <si>
    <t>149us-GreenKongLongwawaji</t>
  </si>
  <si>
    <t>ROHSCE Kids Claw Machine, Dinosaur Adventure Large Toy Claw Machine with Plush Toys, Light Music, Coins &amp; Capsules, Mini Vending Machine Toy for Boys Girls Ages 4-12, Birthday Gift</t>
  </si>
  <si>
    <t>ROHSCE Bubble Machine Gun, Automatic Bubble Blaster for Toddlers Kids Ages 5 6 7 8 9 10 11 12 Year Old, Great Gifts for Children Adult, Bubble Shooter with Led Lights for Outdoor Party, Bubble Blower</t>
  </si>
  <si>
    <t>X004UEHMMH</t>
  </si>
  <si>
    <t>B0FPC6RXHC</t>
  </si>
  <si>
    <t>149US-107GuiDaoGunZhu</t>
  </si>
  <si>
    <t>Motorized Marble Run Set – 107-Piece Magnetic Tile Building Toy with Ferris Wheel &amp; Elevator, STEM Marble Maze Game for Kids Ages 6-12, Educational Gift with Lights &amp; Music</t>
  </si>
  <si>
    <t>X004UES0UF</t>
  </si>
  <si>
    <t>B0FPC67YXT</t>
  </si>
  <si>
    <t>149-ErTongYuGang</t>
  </si>
  <si>
    <t>Small Fish Tank, Portable Betta Fish Tank for Kids with LED Light, Air Pump and Battery - Compact Aquarium Kit for Home Decor, Pet Care, Educational Science Gifts for Kids</t>
  </si>
  <si>
    <t>X004YTF20R</t>
  </si>
  <si>
    <t>B0CZRT1LMF</t>
  </si>
  <si>
    <t>149US-MoTianLunGunZhu219</t>
  </si>
  <si>
    <t>Glowing Marble Run Construction Set with 15 Glow in The Dark Glass Marbles, STEM Gifts for Boys and Girls, Building Project Toy</t>
  </si>
  <si>
    <t>ROHSCE Princess Light Up Dress with LED Butterfly Wings – Fairy Dress Up Costume Set for Girls Ages 3-10, Moving Butterfly Wings for Kids &amp; Toddlers, Perfect for Birthday, Halloween, Cosplay Events</t>
  </si>
  <si>
    <t>GoToStranded</t>
  </si>
  <si>
    <t>X005318Q1R</t>
  </si>
  <si>
    <t>B0GXV1QVPQ</t>
  </si>
  <si>
    <t>MatsPuzzlePads-005</t>
  </si>
  <si>
    <t>Soft Puzzle Play Mat EVA Foam Tiles for Kids, Thick Interlocking Floor Mat, Safe Baby Crawling Pad, Waterproof Nursery &amp; Playroom Flooring, Durable Cushioned Exercise Mat</t>
  </si>
  <si>
    <t>X004JMW21L</t>
  </si>
  <si>
    <t>149-XinXingDengLongZMP</t>
  </si>
  <si>
    <t>ROHSCE Light Up 3D String Art Kit for Kids, DIY String Art Heart Lantern Kit, Multi-Colored LED Bulbs Arts and Crafts for Girls Ages 8-12, Christmas Brithday Gift for 8, 9, 10, 11, 12 Year Old Girl</t>
  </si>
  <si>
    <t>X0053116NH</t>
  </si>
  <si>
    <t>B0GXV5RL3H</t>
  </si>
  <si>
    <t>MatsPuzzlePads-010</t>
  </si>
  <si>
    <t>Non-Toxic Foam Floor Tiles Puzzle Play Mat for Baby &amp; Toddler, Interlocking EVA Soft Mats, Thick Protective Flooring for Crawling, Playroom Nursery Gym, Easy Clean Waterproof Design</t>
  </si>
  <si>
    <t>ROHSCE Kids Makeup Kit for Girls, 50 Pcs Real Washable Cosmetic Toy Set with Mirror, Princess Play Make Up Toys, Birthday for 3 4 5 6 7 8 9 10 12 Years Old Toddler (Blue)</t>
  </si>
  <si>
    <t>X004NYONV7</t>
  </si>
  <si>
    <t>B0CYPYZBZ8</t>
  </si>
  <si>
    <t>149-RongYanKuangDong-CiXingJiMu</t>
  </si>
  <si>
    <t>ROHSCE Magnetic Blocks Building Toys - Build Set, Magnet for Boys &amp; Girls Ages 5-7, Buildable Game Elements Gifts Toys for 3+ Year Old Boys &amp; Girls</t>
  </si>
  <si>
    <t>ROHSCE Metal Building Toys for Boys &amp; Girls 8-12 Years Old, 496 Pcs Off-Road Vehicle Model Truck Kits, STEM Engineering Construction Set, Monster Car Educational Gift for Kids Ages 8 9 10+</t>
  </si>
  <si>
    <t>X004EGFCEV</t>
  </si>
  <si>
    <t>B0DHG83KWZ</t>
  </si>
  <si>
    <t>149-shendanmanghe-0001</t>
  </si>
  <si>
    <t>X0055G2IRD</t>
  </si>
  <si>
    <t>B0H4G55MB4</t>
  </si>
  <si>
    <t>LvHeGunZhuBeiYong01</t>
  </si>
  <si>
    <t>325 PCS Motorized Marble Run Building Set, Marble Maze Race Track with Electric Spiral Elevator &amp; Glow Marbles, STEM Construction Toy Gift for Boys Girls Ages 6+</t>
  </si>
  <si>
    <t>ROHSCE Pottery Wheel for Kids, Dinosaur Theme Pottery Studio Kit, Arts and Crafts for Boys and Girls Ages 5-12, Creative Holiday Gift with Non-Toxic Clay</t>
  </si>
  <si>
    <t>X004Q3PXTB</t>
  </si>
  <si>
    <t>149US-YiCheHuaRongDao</t>
  </si>
  <si>
    <t>X004E5WCJ5</t>
  </si>
  <si>
    <t>149-QiuLingBlue-P6S</t>
  </si>
  <si>
    <t>X004PCRP03</t>
  </si>
  <si>
    <t>ROHSCE Balloon Car Toy, Balloon Launcher Toy Set with Pump and Rocket Tower, 3 Racing Cars Party Toys for Toddlers, STEM Fun for Kids Ages 3+</t>
  </si>
  <si>
    <t>X004UERRDL</t>
  </si>
  <si>
    <t>B0FPC5DM94</t>
  </si>
  <si>
    <t>149US-GuiDaoGunZhu219</t>
  </si>
  <si>
    <t>Glowing Marble Run Construction Set with 15 Glow-in-The-Dark Glass Marbles, STEM Building Project Toy for Boys and Girls</t>
  </si>
  <si>
    <t>X004T1IU3B</t>
  </si>
  <si>
    <t>B0F7H1RLZ5</t>
  </si>
  <si>
    <t>BaiseHuaRongDao001</t>
  </si>
  <si>
    <t>1500 Levels Intelligent Car Maze Game Huarong Road Escape Puzzle Desktop Brick Game Machine Logic Parking Blocks Kids Toy Gift</t>
  </si>
  <si>
    <t>X004N8J2FF</t>
  </si>
  <si>
    <t>B0F4JW7HYT</t>
  </si>
  <si>
    <t>149US-LanSePengShuiZhiShengJi</t>
  </si>
  <si>
    <t>Helicopter Water Sprinkler for Kids, Spinning Outdoor Lawn Toy for Summer Fun, Backyard, Pool, Garden &amp; Birthday Party Play, Ages 3-12, Easy Setup Water-Powered Sprinkler</t>
  </si>
  <si>
    <t>X002R2FGUT</t>
  </si>
  <si>
    <t>B07Z4R88JP</t>
  </si>
  <si>
    <t>FA GUANG MASK 07</t>
  </si>
  <si>
    <t>JimY Halloween Scary Mask Cosplay Led Costume Mask EL Wire Light up Purge Mask Halloween Festival Party (Led-green)</t>
  </si>
  <si>
    <t>X0044D7Y5J</t>
  </si>
  <si>
    <t>B0CTHHGLLS</t>
  </si>
  <si>
    <t>48ZongMaoJi 0001-LLS</t>
  </si>
  <si>
    <t>ROHSCE 108 PCS Blocks Soft Building Toys, STEM Interlocking Building Blocks, Developmental Toys Gifts for Autism or ADHD, Montessori Preschool Toys for Toddlers Kids 3 4 5 6+ Year Old</t>
  </si>
  <si>
    <t>X002Q0U7AL</t>
  </si>
  <si>
    <t>X8N-TaiYangGuaTan</t>
  </si>
  <si>
    <t>X002R2AVHR</t>
  </si>
  <si>
    <t>YouXiGuaTan-48</t>
  </si>
  <si>
    <t>X0040028FR</t>
  </si>
  <si>
    <t>B0C65QLW3S</t>
  </si>
  <si>
    <t>48-ChiLun</t>
  </si>
  <si>
    <t>ROHSCE Gears Toys for Kids Ages 5+, STEM Educational Construction Toys, Super Building Toy Set for Boys and Girls, Engineering Building Blocks Creative Learning Toy Set</t>
  </si>
  <si>
    <t>X002TZIQQP</t>
  </si>
  <si>
    <t>6JianTaoBeiZiShouZhuaQiu-0001</t>
  </si>
  <si>
    <t>X0040AXGW1</t>
  </si>
  <si>
    <t>48-SheJiJiQiRen</t>
  </si>
  <si>
    <t>X003ZZYXFV</t>
  </si>
  <si>
    <t>KV-VI97-PHXE</t>
  </si>
  <si>
    <t>X002R2GOBJ</t>
  </si>
  <si>
    <t>B07Z4R4KZW</t>
  </si>
  <si>
    <t>bai mask miao bian jingse</t>
  </si>
  <si>
    <t>JimY Halloween Scary Mask Cosplay Led Costume Mask EL Wire Light up Purge Mask Halloween Festival Party (V-white)</t>
  </si>
  <si>
    <t>X002Q0PTJP</t>
  </si>
  <si>
    <t>B08G7YF268</t>
  </si>
  <si>
    <t>F268-NiuZuanShiHua</t>
  </si>
  <si>
    <t>DIY 5D Colorful Cows Diamond Painting by Number Kits, for Adults &amp; Kids, 4 Sets Full Drill Rhinestone Embroidery Cross Stitch Cow Decor Picture, Art Craft For Home Wall Decor 12 X 16 Inches</t>
  </si>
  <si>
    <t>X0041ZKPKL</t>
  </si>
  <si>
    <t>B0C58P6NMY</t>
  </si>
  <si>
    <t>48-BaiSeSuTui</t>
  </si>
  <si>
    <t>ROHSCE Pop Fidget Toys, Electronic Fidget Pop Quick Push Bubbles Light up Games, Stress Relief Sensory Fidget Toys for Kids 8-12 Portable Memory Game Birthday Gifts for Girls Boys (White)</t>
  </si>
  <si>
    <t>X002Q0YGCV</t>
  </si>
  <si>
    <t>B08G7ZRF1S</t>
  </si>
  <si>
    <t>F1S-MeiGui</t>
  </si>
  <si>
    <t>4 Sets 5d Diamond Art Kits for Adults.Diamond Painting Kits for Kids，Full Drill Rhinestone Rose Diamond Art for Home Decor.12 x 12 inches</t>
  </si>
  <si>
    <t>X00335BYN7</t>
  </si>
  <si>
    <t>B09M9ZLPT2</t>
  </si>
  <si>
    <t>HongBaiHe-FaceChange</t>
  </si>
  <si>
    <t>The U-zzle Wooden Expression Puzzle Building Blocks Game, Colorful Magic Puzzle Face Changing Cube Game with Bell Wooden Matching Games for Kids U-zzler Game 2.0 for Adults…</t>
  </si>
  <si>
    <t>X00490YXLF</t>
  </si>
  <si>
    <t>48-PopUpToy-0001</t>
  </si>
  <si>
    <t>X002Q0R0VF</t>
  </si>
  <si>
    <t>B08G8JV9KF</t>
  </si>
  <si>
    <t>9FK-MeiRenYu</t>
  </si>
  <si>
    <t>4 Sets 5d Diamond Art Kits for Adults.Diamond Painting Kits for Kids，Full Drill Rhinestone Mermaid &amp; Love Diamond Art for Home Decor.16 x 12 inches</t>
  </si>
  <si>
    <t>X0046NJQI5</t>
  </si>
  <si>
    <t>B0CDFR4Z4K</t>
  </si>
  <si>
    <t>48-luobosutuiji-Z4K</t>
  </si>
  <si>
    <t>ROHSCE Quick Push Pop Game, Pop Fidgets Kids Toys, Handheld Game for Kids 6-8, Fast Push Game, Bubble Pop Light Up Game, Autism Sensory Toys, Birthday Gifts for 8-12 Year Old Boys, Girls, Teens</t>
  </si>
  <si>
    <t>X004O40FV3</t>
  </si>
  <si>
    <t>48US-CongLinXiaoXi-CiXingJiMu</t>
  </si>
  <si>
    <t>X0040AHBVD</t>
  </si>
  <si>
    <t>48-DaHaoChe</t>
  </si>
  <si>
    <t>X0040YE3OH</t>
  </si>
  <si>
    <t>48-ShouZhuaQiu-X8H</t>
  </si>
  <si>
    <t>X00336WAEX</t>
  </si>
  <si>
    <t>B09ML2VRQP</t>
  </si>
  <si>
    <t>TieHe003</t>
  </si>
  <si>
    <t>The U-zzleWooden Matching Game, Funny Face Changing Cube Magic Puzzle Games Montessori Toys Block Puzzle Building Cubes Game for Kids U-zzler Game for Adults</t>
  </si>
  <si>
    <t>X0040YHYU7</t>
  </si>
  <si>
    <t>48-FengRenJi-Blue</t>
  </si>
  <si>
    <t>X002Q0UAI5</t>
  </si>
  <si>
    <t>P82FengRenJi</t>
  </si>
  <si>
    <t>X0041Z384B</t>
  </si>
  <si>
    <t>B0CDFV8Q7F</t>
  </si>
  <si>
    <t>48-XiaoHaoSuTui-Bear</t>
  </si>
  <si>
    <t>ROHSCE Fast Pop Fidget Toys, Light up Sensory Toys for Kids, Quick Push Game for Autistic Children, Stress Relief Toy</t>
  </si>
  <si>
    <t>X002Q0R17X</t>
  </si>
  <si>
    <t>B08G8KWM9C</t>
  </si>
  <si>
    <t>M9C-BaLiTieTa</t>
  </si>
  <si>
    <t>Flying Banana DIY 5D Paris Eiffel Tower Diamond Painting by Number for Adults &amp; Kids, 4 Pack Full Drill Rhinestone Embroidery Cross Stitch Kits, Art Craft for Home Wall Decor 12 X 16Inch</t>
  </si>
  <si>
    <t>X002Q64NE1</t>
  </si>
  <si>
    <t>IB-N7OR-VJGI</t>
  </si>
  <si>
    <t>X004TE833P</t>
  </si>
  <si>
    <t>Sticker Bracelet Making Kit for Girls, DIY Jewelry Set with 6 Reusable Sticker Rolls (60 Mini Stickers Total), Beads and Collector Book, Travel Craft Toys for Kids Ages 5+, Birthday &amp; Holiday Gift</t>
  </si>
  <si>
    <t>X002QHWYTL</t>
  </si>
  <si>
    <t>JiYiQi-48</t>
  </si>
  <si>
    <t>X002R2I17J</t>
  </si>
  <si>
    <t>B01IG908E4</t>
  </si>
  <si>
    <t>faguangMASK01</t>
  </si>
  <si>
    <t>Red Light Up V for Vendetta Glow EL Wire LED Guy Fawkes Anonymous Mask</t>
  </si>
  <si>
    <t>X002R2APHD</t>
  </si>
  <si>
    <t>B08G8K4DJM</t>
  </si>
  <si>
    <t>HaiTanXiYangZhuanShiHua</t>
  </si>
  <si>
    <t>Diamond Painting Kits for Adults, Full Drill 5D Diamond Painting Embroidery Cross Stitch Arts Craft Picture Kit, Paint with DIY Diamond Wall Décor Pattern-Sunset and sea, 15.8x12 inches</t>
  </si>
  <si>
    <t>X003ZZK5KX</t>
  </si>
  <si>
    <t>V4-JKVI-JD4A</t>
  </si>
  <si>
    <t>X004TE84XT</t>
  </si>
  <si>
    <t>ROHSCE Sticker Bracelet for Kids | Includes 60 Mini Stickers + 2 Surprise Rolls | Wear &amp; Share Over 1000 Fun Designs</t>
  </si>
  <si>
    <t>X004OUM97P</t>
  </si>
  <si>
    <t>ChengbaoGangqinJiMu</t>
  </si>
  <si>
    <t>X004P3ITN9</t>
  </si>
  <si>
    <t>48-SmallBingXiangChiLun</t>
  </si>
  <si>
    <t>X0040AQM4P</t>
  </si>
  <si>
    <t>48-XiaoHaoChe</t>
  </si>
  <si>
    <t>X0040AONFZ</t>
  </si>
  <si>
    <t>48SoftBlocks40pcs</t>
  </si>
  <si>
    <t>X0046K1SGL</t>
  </si>
  <si>
    <t>48-hudiechibang-6J7</t>
  </si>
  <si>
    <t>X0046NMFLP</t>
  </si>
  <si>
    <t>B0CDFV8VZF</t>
  </si>
  <si>
    <t>48-laoshusutuiji-VZF</t>
  </si>
  <si>
    <t>ROHSCE Quick Push Game Console Series - Kids' Push Bubble Fidget Stress Relief Toys, Anti-Stress Toys for Boys and Girls Aged 3+</t>
  </si>
  <si>
    <t>X0040YDVEF</t>
  </si>
  <si>
    <t>48-ShouZhuaQiu-866</t>
  </si>
  <si>
    <t>X002QHWZRR</t>
  </si>
  <si>
    <t>6jianqiu-0003</t>
  </si>
  <si>
    <t>X002R2GOAZ</t>
  </si>
  <si>
    <t>B07Z4SNY91</t>
  </si>
  <si>
    <t>FA GUANG MASK 06</t>
  </si>
  <si>
    <t>JimY Halloween Scary Mask Cosplay Led Costume Mask EL Wire Light up Purge Mask Halloween Festival Party (V-pink)</t>
  </si>
  <si>
    <t>X0048OOW31</t>
  </si>
  <si>
    <t>48-cixingjimu-006</t>
  </si>
  <si>
    <t>X0040YHY75</t>
  </si>
  <si>
    <t>48-FengRenJi-Pink</t>
  </si>
  <si>
    <t>X0040027ZD</t>
  </si>
  <si>
    <t>48-HeiHuoJian</t>
  </si>
  <si>
    <t>X002WFPNTF</t>
  </si>
  <si>
    <t>SZQ-4pcs-48-FBA</t>
  </si>
  <si>
    <t>X004TA9FS1</t>
  </si>
  <si>
    <t>Kids Sticker Bracelet | Wearable &amp; Shareable Toy | Includes 80 Mini Stickers + 2 Mystery Rolls | Over 1000 Designs</t>
  </si>
  <si>
    <t>X0030PQ22N</t>
  </si>
  <si>
    <t>B09FSWH8RQ</t>
  </si>
  <si>
    <t>FBA-BaLiJieJingZs-001</t>
  </si>
  <si>
    <t>DIY 5D Diamond Painting Kits Full Drill Diamond Art Craft Canvas for Adults, Beginners, Home Wall Decoration &amp; Gifts 4 Pack, 12 x 16 inch</t>
  </si>
  <si>
    <t>X004FQZF8D</t>
  </si>
  <si>
    <t>48-cixingjimu-001</t>
  </si>
  <si>
    <t>X004TAB1B5</t>
  </si>
  <si>
    <t>Sticker Bracelet Making Kit for Kids, 35 Sticker Rolls, 350 Reusable Stickers DIY Jewelry Craft with Beads, Charms, and Elastic Cords, Classroom and Party Activity, Christmas Holiday Gift for Girls</t>
  </si>
  <si>
    <t>X0046K4MEV</t>
  </si>
  <si>
    <t>48-pangxiepaopaoji-KB3</t>
  </si>
  <si>
    <t>X002Q0YGVR</t>
  </si>
  <si>
    <t>HDD-DongWuGuoQi</t>
  </si>
  <si>
    <t>X0041ZT6G5</t>
  </si>
  <si>
    <t>B0C5RGSSNK</t>
  </si>
  <si>
    <t>48-XiaoHaoSuTui-Dino</t>
  </si>
  <si>
    <t>ROHSCE Quick Push Game Bubble Pop Fidget Toys, Fast Push Game, Fast Push Bubble Game, Light Up Pop Game Autism Sensory Toys, Travel Games Stress Relief Toy for Kids</t>
  </si>
  <si>
    <t>X0041ZKR27</t>
  </si>
  <si>
    <t>B0CDFR9MPN</t>
  </si>
  <si>
    <t>48-ChengSeSuTui</t>
  </si>
  <si>
    <t>ROHSCE Quick Push Game Bubble Pop Fidget Toys, Fast Push Game, Fast Push Bubble Game, Light Up Pop Game Autism Sensory Toys, Travel Games for Kids, Quick Push Stress Relief Toy</t>
  </si>
  <si>
    <t>X002WA0KS9</t>
  </si>
  <si>
    <t>FBA-10JianTaoShouZhuaQiu-</t>
  </si>
  <si>
    <t>X0049153O5</t>
  </si>
  <si>
    <t>48-busyboard</t>
  </si>
  <si>
    <t>X002R2GOB9</t>
  </si>
  <si>
    <t>B01IG90AZG</t>
  </si>
  <si>
    <t>faguangMSAK02</t>
  </si>
  <si>
    <t>Blue Light Up V for Vendetta Glow EL Wire LED Guy Fawkes Anonymous Mask</t>
  </si>
  <si>
    <t>X0046NIMMV</t>
  </si>
  <si>
    <t>B0CDFT8M2W</t>
  </si>
  <si>
    <t>48-fensesutuiji-M2W</t>
  </si>
  <si>
    <t>ROHSCE Quick Push Game, Light Up Fidget Toys Puzzle Handheld Game Machine, Speed Push Game Console for Kids, Squeeze Stress Sensory Push Bubble Toy, Girls &amp; Boys Birthday Gifts</t>
  </si>
  <si>
    <t>X0040CSF3J</t>
  </si>
  <si>
    <t>48-DaHaoWaWaJi</t>
  </si>
  <si>
    <t>X0046JW24T</t>
  </si>
  <si>
    <t>48-maoxiandenglong-ZMP</t>
  </si>
  <si>
    <t>X004P03S1P</t>
  </si>
  <si>
    <t>ROHSCE STEM Piano Music Building Block Set with Light &amp; Sound, Real Playable Building Toys for Kids Ages 6+, Birthday Gift &amp; Room Décor, DIY Creative Toys for Kids &amp; Adults</t>
  </si>
  <si>
    <t>X0046T3KR7</t>
  </si>
  <si>
    <t>B0CDFTK5DG</t>
  </si>
  <si>
    <t>48-huangseluobosutuiji-5DG</t>
  </si>
  <si>
    <t>ROHSCE Fast Push Game, Pop Fidgets Toys, Fun Stress &amp; Anxiety Relief Quick Push Pop Game, Autism Sensory Toys, Handheld Game Light Bubble Puzzle Toys for Kids Teens Adults</t>
  </si>
  <si>
    <t>X002Q0YM7F</t>
  </si>
  <si>
    <t>WNK-YouXiGuaTan</t>
  </si>
  <si>
    <t>X002QHWZKT</t>
  </si>
  <si>
    <t>6jianqiu-0005</t>
  </si>
  <si>
    <t>X0040ALX1H</t>
  </si>
  <si>
    <t>B0C5RHCW44</t>
  </si>
  <si>
    <t>48-ShenLanSuTui</t>
  </si>
  <si>
    <t>ROHSCE Fast Push Game Pop Fidget Toys, Bubble Push Pop Game, Electronic 4 Modes Quick Push Game, Sensory Handheld Games for Kids 8-12, Birthday Gift Ideas for Toddlers, Kids, Teens, Fidget Game</t>
  </si>
  <si>
    <t>X002R2I16Z</t>
  </si>
  <si>
    <t>B07Z4SSFFB</t>
  </si>
  <si>
    <t>fa guang MSAK 05</t>
  </si>
  <si>
    <t>JimY Halloween Scary Mask Cosplay Led Costume Mask EL Wire Light up Purge Mask Halloween Festival Party (Led-blue)</t>
  </si>
  <si>
    <t>X00486G37H</t>
  </si>
  <si>
    <t>B0CDGKJYXS</t>
  </si>
  <si>
    <t>48-YaZiDaWoYa</t>
  </si>
  <si>
    <t>ROHSCE Kids Shooting Game | Dinosaur Movin2 Blasters + 24 Foam Balls | Fun Gift for Boys 4–6 &amp; Up and Girls 3–7</t>
  </si>
  <si>
    <t>X003PYM6NX</t>
  </si>
  <si>
    <t>B0BW3QD589</t>
  </si>
  <si>
    <t>DengHuoLanShan</t>
  </si>
  <si>
    <t>X004DV2IBH</t>
  </si>
  <si>
    <t>48-cixingjimu-002</t>
  </si>
  <si>
    <t>X0040YIXQB</t>
  </si>
  <si>
    <t>48-ShouZhuaQiu6P-SL</t>
  </si>
  <si>
    <t>X00336NVK5</t>
  </si>
  <si>
    <t>B09ML3G93P</t>
  </si>
  <si>
    <t>TieHei-FACE-FBA</t>
  </si>
  <si>
    <t>ROHSCE Face Change Cube Game Wooden Expressions Matching Block Puzzles Building Game Logical Educational Training Toys for Kids Aged 3 4 5 6 7 8+ Birthday Gift Parent-Child Friend Interaction Toys</t>
  </si>
  <si>
    <t>X004F7JQF5</t>
  </si>
  <si>
    <t>48-fishtank-LWL</t>
  </si>
  <si>
    <t>X002SJW929</t>
  </si>
  <si>
    <t>B0862GS13K</t>
  </si>
  <si>
    <t>Bidet-Sprayer-2</t>
  </si>
  <si>
    <t>Bidet Sprayer ? Superior Splatter-Proof Stainless Steel Diaper Sprayer Cleans The Messiest Cloth Diapers ? Complete Diaper Washer Hand Held Bidet Sprayer for Toilet (Brass)</t>
  </si>
  <si>
    <t>gl_home_improvement</t>
  </si>
  <si>
    <t>X002R2I179</t>
  </si>
  <si>
    <t>B07Z4RBX9T</t>
  </si>
  <si>
    <t>HEIhong-faguangMASK03</t>
  </si>
  <si>
    <t>JimY Halloween Scary Mask Cosplay Led Costume Mask EL Wire Light up Purge Mask Halloween Festival Party (Led-white)</t>
  </si>
  <si>
    <t>X002Q13KVN</t>
  </si>
  <si>
    <t>B08G8GG1K7</t>
  </si>
  <si>
    <t>1K7-MaoGou</t>
  </si>
  <si>
    <t>Flying Banana 4 Pack 5d Full Drill Diamond Art Painting Kits for Adult Kids Cat and Dog Diamond DIY Dotz for Home Wall Decor, 12×16 INCH</t>
  </si>
  <si>
    <t>X004P3WXN1</t>
  </si>
  <si>
    <t>48-LargeTaoBingXiangChiLun</t>
  </si>
  <si>
    <t>X0046JTGTD</t>
  </si>
  <si>
    <t>B0CT8VKGRQ</t>
  </si>
  <si>
    <t>48-hudiechibang-GRQ</t>
  </si>
  <si>
    <t>ROHSCE Electric Fairy Butterfly Wings with LED Lights and Music, Light up Moving Wings for Girls, Wonderful Party Accessory for Girls Boys 4-6, Perfect Fairy Costume for Halloween Christmas Party</t>
  </si>
  <si>
    <t>X0040AO1BV</t>
  </si>
  <si>
    <t>48SoftBlocks20pcs</t>
  </si>
  <si>
    <t>X004000BF1</t>
  </si>
  <si>
    <t>B0C619VQMR</t>
  </si>
  <si>
    <t>FaGuangQiu-QMR</t>
  </si>
  <si>
    <t>ROHSCE Baby Musical Light Up Toys Newborn Baby Toys 6 to 12 Months, Tactile Sensory Balls for Babies Birthday Gifts, 6 Soothing Sounds Portable Noise Machine for Baby Sleep 12-18 Months</t>
  </si>
  <si>
    <t>X002R2CFKN</t>
  </si>
  <si>
    <t>YouXiGuaTan48-2</t>
  </si>
  <si>
    <t>X004E8QD7T</t>
  </si>
  <si>
    <t>48-UFOBubble-KC9</t>
  </si>
  <si>
    <t>X002Q0R44D</t>
  </si>
  <si>
    <t>MWR-FengRenJi</t>
  </si>
  <si>
    <t>X002R93PK5</t>
  </si>
  <si>
    <t>guaTanGuaBan-82</t>
  </si>
  <si>
    <t>X002R2D4P3</t>
  </si>
  <si>
    <t>B01IG90A60</t>
  </si>
  <si>
    <t>lv-faguangMask</t>
  </si>
  <si>
    <t>Green Light Up V for Vendetta Glow EL Wire LED Guy Fawkes Anonymous Mask</t>
  </si>
  <si>
    <t>X004O51TRB</t>
  </si>
  <si>
    <t>48US-RongYanKuangDong-CiXingJiMu</t>
  </si>
  <si>
    <t>X0041ZGOXX</t>
  </si>
  <si>
    <t>B0C8CMTGZ5</t>
  </si>
  <si>
    <t>48-ZhongHaoSuTui-TuZi</t>
  </si>
  <si>
    <t>ROHSCE Fast Push Game | Handheld Game for Kids, Push Bubble Light up Sensory Toys, Quick Push Games Sensory Fidget Toy for Autistic Children | Fun Gifts for Kids 3-12</t>
  </si>
  <si>
    <t>X0040YJ1W1</t>
  </si>
  <si>
    <t>48-ShouZhuaQiu6P-RV</t>
  </si>
  <si>
    <t>X002OAPBEZ</t>
  </si>
  <si>
    <t>B085ZL7JQB</t>
  </si>
  <si>
    <t>FUXIQI-50</t>
  </si>
  <si>
    <t>Home Bidet, Bidet For Toilet, Toilet Sprayer, Toilet Jet Spray, Toilet Water Spray, Self-Cleaning and Retractable Nozzle, Fresh Water Spray Non-Electric Mechanical Bidet Toilet Seat Attachment (White)</t>
  </si>
  <si>
    <t>X004ERGJG5</t>
  </si>
  <si>
    <t>B0CDC9S15V</t>
  </si>
  <si>
    <t>48-Jimuhua-15V</t>
  </si>
  <si>
    <t>ROHSCE Rose Bouquet Building Set 8 Pieces of Never-Fading Flower Building Kit for DIY Table Home Decor, Romantic Anniversary,Thanksgiving,Valentine's Day,Birthday Gifts for Kids,Teens and Adults</t>
  </si>
  <si>
    <t>X004E5Q683</t>
  </si>
  <si>
    <t>48-BigWings-GM1</t>
  </si>
  <si>
    <t>X002QHX7ZL</t>
  </si>
  <si>
    <t>6jianqiu-0002</t>
  </si>
  <si>
    <t>X002R2FGVD</t>
  </si>
  <si>
    <t>B01IG90D0I</t>
  </si>
  <si>
    <t>hong-faguangMASK</t>
  </si>
  <si>
    <t>Pink Light Up V for Vendetta Glow EL Wire LED Guy Fawkes Anonymous Mask</t>
  </si>
  <si>
    <t>X0040CQMIJ</t>
  </si>
  <si>
    <t>B0C5RGT6TY</t>
  </si>
  <si>
    <t>48-XiaoHaoWaWaJi</t>
  </si>
  <si>
    <t>ROHSCE Mini Claw Machine for Kids | Girl Toys for Ages 8-13 Arcade Game Toy Claw Machine Electric Candy Vending Machine Toy with LED Lights &amp; Adjustable Sound, Birthday Gifts for Girls Ages 4+, Red</t>
  </si>
  <si>
    <t>X003INB2FT</t>
  </si>
  <si>
    <t>B0BMQ53BR6</t>
  </si>
  <si>
    <t>3DzuanshipintuMU04</t>
  </si>
  <si>
    <t>The U-zzle Wooden Expression Puzzle Building Blocks Game, Colorful Magic Puzzle Face Changing Cube Game with Bell Wooden Matching Games for Kids U-zzler Game 2.0</t>
  </si>
  <si>
    <t>X004ERNDZ5</t>
  </si>
  <si>
    <t>48-ZuZhuangClaw001</t>
  </si>
  <si>
    <t>X0046K6GT5</t>
  </si>
  <si>
    <t>B0CGV2Z89P</t>
  </si>
  <si>
    <t>48-bingqilinpaopaoji-89P</t>
  </si>
  <si>
    <t>ROHSCE Bath Bubbles for Kids, Foam Pretend Ice Cream Toy Bath Bubble Maker Bath Time Bubble Machine, No Hole Bath Toys Set for Toddlers, Bubble Maker for Bathtub Gift for Boy Girl</t>
  </si>
  <si>
    <t>X004TE3GKP</t>
  </si>
  <si>
    <t>Mini Sticker Bracelet Making Kit, 32 Sticker Rolls (320 Reusable Mini Stickers) with Beads and Charms, DIY Jewelry Crafts for Girls, Travel-Friendly Gift for Kids Ages 5+</t>
  </si>
  <si>
    <t>X002TZSVT7</t>
  </si>
  <si>
    <t>ShouZhuaQiu6JianTao-0001</t>
  </si>
  <si>
    <t>X003INBB91</t>
  </si>
  <si>
    <t>B0BMPJ869Z</t>
  </si>
  <si>
    <t>3DzuanshipintuMU08</t>
  </si>
  <si>
    <t>The U-zzle Puzzle Building Cubes Emoji Matching Game, Wooden Magic Puzzle Games Montessori Toys Blocks Family Board Games for Kids</t>
  </si>
  <si>
    <t>X0046NJPB3</t>
  </si>
  <si>
    <t>B0CDFSGMBS</t>
  </si>
  <si>
    <t>48-sutuiji-MBS</t>
  </si>
  <si>
    <t>ROHSCE Quick Push Pop Game, Light Up Fidget Toys with 4 Modes, Fast Push Bubble Game Handheld Game for Kids 6-8 , Autism Sensory Toys Stress Relief Party Favors Birthday Gift for Kids Teens</t>
  </si>
  <si>
    <t>X0040Y1FZ7</t>
  </si>
  <si>
    <t>48-ShouZhuaQiu-2M</t>
  </si>
  <si>
    <t>X004LFZQ5F</t>
  </si>
  <si>
    <t>B0CTHKHZ1Z</t>
  </si>
  <si>
    <t>48ZongMaoJiMu108p</t>
  </si>
  <si>
    <t>ROHSCE Building Blocks- STEM Interlocking Building Blocks- 50 pc Playset-Developmental Toys for Toddlers &amp; Kids 3 Years +</t>
  </si>
  <si>
    <t>X002R2AWJ9</t>
  </si>
  <si>
    <t>YouXiGuaTan48-3</t>
  </si>
  <si>
    <t>X002R2GORN</t>
  </si>
  <si>
    <t>B07Z4RQM39</t>
  </si>
  <si>
    <t>HeiDiMask-orange</t>
  </si>
  <si>
    <t>JimY Halloween Scary Mask Cosplay Led Costume Mask EL Wire Light up Purge Mask Halloween Festival Party (Led-orange)</t>
  </si>
  <si>
    <t>X0040YF549</t>
  </si>
  <si>
    <t>48-Tank-Ruan</t>
  </si>
  <si>
    <t>X002Q0QXBN</t>
  </si>
  <si>
    <t>B08G8HNSSZ</t>
  </si>
  <si>
    <t>SSZ-NvGuiGuLou</t>
  </si>
  <si>
    <t>Flying Banana 4 Sets 5d Diamond Art Kits for Adults.Diamond Painting Kits for Kids，Full Drill Rhinestone Ruthless Ghost Diamond Art for Home Decor.16x12inches</t>
  </si>
  <si>
    <t>X0046JT2Q5</t>
  </si>
  <si>
    <t>48-maoxiandenglong-CXX</t>
  </si>
  <si>
    <t>X002R2D4OT</t>
  </si>
  <si>
    <t>B07Z517QN6</t>
  </si>
  <si>
    <t>bai mask01</t>
  </si>
  <si>
    <t>JimY Mask for Costume Kids - 2 Pack White Anonymous Face Masks for Halloween V for Vendetta DIY Toy Head Mask</t>
  </si>
  <si>
    <t>X0040YI39D</t>
  </si>
  <si>
    <t>48-Tank-Shui</t>
  </si>
  <si>
    <t>X004OCYC2N</t>
  </si>
  <si>
    <t>B0DDNQD6Z2</t>
  </si>
  <si>
    <t>48CiLiPian-6Z2</t>
  </si>
  <si>
    <t>ROHSCE Flexible Building Blocks Set, Creative Construction Toys for Kids, Educational Fun for 3+ Years Old, Enhances Hand-Eye Coordination and Creativity</t>
  </si>
  <si>
    <t>fc-transfer</t>
  </si>
  <si>
    <t>healthy-inventory-level</t>
  </si>
  <si>
    <t>Exempted from Low-Inventory cost coverage fee?</t>
  </si>
  <si>
    <t>Low-Inventory cost coverage fee applied in current week?</t>
  </si>
  <si>
    <t>X00231U4KD</t>
  </si>
  <si>
    <t>Home Mini Nähmaschine für Anfänger, tragbare elektrische Nähmaschinen, 12 integrierte Stitchmuster, 2 Geschwindigkeitsstufen mit Fußpedal &amp; Nähset für Kinder, Alter 8 – 13</t>
  </si>
  <si>
    <t>EUR</t>
  </si>
  <si>
    <t>cubic meter</t>
  </si>
  <si>
    <t>DE</t>
  </si>
  <si>
    <t>X0027I02NL</t>
  </si>
  <si>
    <t>82DE-YuLian-Black</t>
  </si>
  <si>
    <t>Argigu Duschvorhang, keine Haken erforderlich, Waffelgewebe, mit Einrast-Futter, Hotel-Qualität, Wellness-Stil, Badevorhang, Schwarz</t>
  </si>
  <si>
    <t>X001DG0VZR</t>
  </si>
  <si>
    <t>ShouZhuaQiu-DK9-uk</t>
  </si>
  <si>
    <t>VintageⅢ Baby Sensorik Spielzeug, Infant Sensory - Squeeze Ball Texture Multi Massage Soft Bälle Set,6pcs by</t>
  </si>
  <si>
    <t>X0027BRJC5</t>
  </si>
  <si>
    <t>De-Rattle-0001</t>
  </si>
  <si>
    <t>Baby Rassel Ball, Montessori Beißspielzeug für Babys, Weiches Spielzeug aus Weizenstroh mit Rasseln, Reisespielzeug-Geschenk für Jungen und Mädchen 3-12 Monate</t>
  </si>
  <si>
    <t>X00209G0RJ</t>
  </si>
  <si>
    <t>82FR-SoftBulletTank01</t>
  </si>
  <si>
    <t>RC Panzer, der Gesture Sensing RC Tank, RC Stunt Auto 360 ° ferngesteuert, 2,4 GHz mit weichen Bällen und manueller Steuerung, ferngesteuerte Drift LKW für Jungen &amp; Mädchen 8-12</t>
  </si>
  <si>
    <t>X0027BTXV5</t>
  </si>
  <si>
    <t>DE-BallRattle-Yellow</t>
  </si>
  <si>
    <t>ROHSCE Montessori-Spielzeug: Sensorikbälle für Babys, Colorful Textured Sensory Toys for Babies 1-3, Hand Catching Baby Balls, Wheat Straw Baby Rattle Baby Toys Newborn Gifts for 6-12 Months</t>
  </si>
  <si>
    <t>X002BWGK11</t>
  </si>
  <si>
    <t>newFRJ202-MWR</t>
  </si>
  <si>
    <t>Easy Sewing Machine for Beginner Kid, Electric Portable Sewing Machine Lightweight, Small Household Sewing Handheld Tool with Upgrade with Wewing Kit Extension Table Foot Pedal for Home DIY Project.</t>
  </si>
  <si>
    <t>X001PYL10V</t>
  </si>
  <si>
    <t>expression-toy-TieHe</t>
  </si>
  <si>
    <t>Holzspielzeug zum Ausdrücken, Baustein, magisches Gesicht, Montessori-Spielzeug, 16 Teile Holzpuzzle und 64 Karten</t>
  </si>
  <si>
    <t>X001U1ONUT</t>
  </si>
  <si>
    <t>ROHSCE 6pcs Baby Textured Multi Ball Set Infant Sensory Balls Massage Soft Ball</t>
  </si>
  <si>
    <t>X002LUBQWL</t>
  </si>
  <si>
    <t>82DE-DaoHaoHuDieChiBang</t>
  </si>
  <si>
    <t>ROHSCE Elektrische Feenflügel mit LED-Lichtern für Kinder, Mädchen, Moving LED, elektrisch, Schmetterlingsflügel, wundervolles Partyzubehör für Mädchen, Cosplay, Custom für Halloween &amp; Weihnachten</t>
  </si>
  <si>
    <t>X002LULBL7</t>
  </si>
  <si>
    <t>82DE-ShuangQiangSheJi</t>
  </si>
  <si>
    <t>ROHSCE Movable Dinosaur Shooting Toys for Boys 4-6 &amp; Up - Kids Target Shooting Game, Sound and Spray Effect Dinosaur Toy with 2 Air Guns and 24 Foam Balls, Target Practice Toys Gift for Boys and Girls</t>
  </si>
  <si>
    <t>X001Q6JFPB</t>
  </si>
  <si>
    <t>Mini Elektro Nähmaschine mit Erweiterungstisch, 2-Geschwindigkeiten, 2-Fäden und Fußpedal für Baumwolle Leder DIY (Weiß)</t>
  </si>
  <si>
    <t>X002040HH3</t>
  </si>
  <si>
    <t>82FR-NewHeiHuoJian 02</t>
  </si>
  <si>
    <t>Raketenwerfer Modell Rakete Kits mit Launch Set, ultrahohe fliegende Rakete, Rakete Spielzeug, Kinder Outdoor Spielzeug, Geschenk für Kinder im Alter von 8-12 Kindertagen Geschenk</t>
  </si>
  <si>
    <t>X002LUNDGD</t>
  </si>
  <si>
    <t>82DE-609FenRenJi</t>
  </si>
  <si>
    <t>Mini-Nähmaschine für Anfänger, tragbare elektrische Nähmaschine mit 12 integrierten Stichmustern, 2 Geschwindigkeiten mit Fußpedal und Nähset für Kinder von 8-12 Jahren</t>
  </si>
  <si>
    <t>X0023SEE6B</t>
  </si>
  <si>
    <t>82DE-SiJianTao2M</t>
  </si>
  <si>
    <t>ROHSCE Montessori Toys for Babies 3 Months+, Baby Balls 3 to 12 Month for Babies &amp; Toddlers 3M+, Textured Multi Ball Set Colorful &amp; Soft Sensory Toys Stress Relief Balls for Infant (4 Pack)</t>
  </si>
  <si>
    <t>X001PYKZIP</t>
  </si>
  <si>
    <t>Expression-toy-baihong</t>
  </si>
  <si>
    <t>Holzwürfel IQ Puzzler, Gesichter- und Emoji-Bauwürfel, Lernset für Montessori-Spiele</t>
  </si>
  <si>
    <t>X0023PLNF9</t>
  </si>
  <si>
    <t>82FR-Heart3DStringArt</t>
  </si>
  <si>
    <t>ROHSCE Leuchtendes 3D-Schnurkunst-Kit für Kinder, DIY-Schnurkunst-Herzen-Laternen-Kit, Mehrfarbige LED-Lampen Kunst- und Bastelset für Mädchen im Alter von 8-12 Jahren</t>
  </si>
  <si>
    <t>X001XDG73P</t>
  </si>
  <si>
    <t>82DE-LvGuiDaoChe 01</t>
  </si>
  <si>
    <t>ROHSCE Spielzeug STEM Brettspiele Intelligente Logik-Road Builder Denksport-Puzzle-Spiel, Montessori Vorschul-Reisespielzeug Brettspiel-Auto-Spiele für Kinder im Alter von 4-8</t>
  </si>
  <si>
    <t>X002085IUP</t>
  </si>
  <si>
    <t>82FR-PinkClawMachine01</t>
  </si>
  <si>
    <t>Mini-Zangenmaschine für Kinder | Arcade-Spielzeug für Mädchen von 8 bis 13 Jahren, elektrische Zangenmaschine für Süßigkeiten mit LED-Leuchten und verstellbarem Ton, Geburtstagsgeschenke für Mädchen</t>
  </si>
  <si>
    <t>X0027JXI95</t>
  </si>
  <si>
    <t>82DE-JiaNiQiu</t>
  </si>
  <si>
    <t>Weicher bionischer Angelköder, weicher Kunststoff, Barsch-Angelköder, Süßwasser-Top, Wasser, Salzwasser, Schwimmköder zum Barschangeln, Barschköder – 10 Stück</t>
  </si>
  <si>
    <t>X0027BTXU1</t>
  </si>
  <si>
    <t>DE-BallRattle-Blue</t>
  </si>
  <si>
    <t>Montessori Sensory Toys for Babies, Textured Baby Balls &amp; Wheat Straw Rattle, Developmental Toys for 6-12 Months, Perfect Newborn Gifts for Boys &amp; Girls, Toddler Toys for Ages 1-3</t>
  </si>
  <si>
    <t>X00209ANXL</t>
  </si>
  <si>
    <t>82FR-HeiHuoJian</t>
  </si>
  <si>
    <t>ROHSCE Elektrischer Raketenstarter für Kinder, fliegendes Spielzeug im Freien, Geburtstagsgeschenk für Jungen und Mädchen von 8 bis 12 Jahren, mit automatischer Landung, ohne Gefahr für Fallschirme</t>
  </si>
  <si>
    <t>X002088ZZ5</t>
  </si>
  <si>
    <t>Mini Claw Machine for Kids | Electric Vending Machine Toy Arcade Game Toy with Mini Prizes, Candy Claw Machine Toys Adjustable Sound and Music, Birthday Gifts for Girls</t>
  </si>
  <si>
    <t>X002LUKX3J</t>
  </si>
  <si>
    <t>82DE-ShenLanSuTuiJi</t>
  </si>
  <si>
    <t>ROHSCE Quick Push Game, Bubble Pop Game, Pop Fidget Game Toys Electronic 4 Modes Light Up Pop Game Autism Sensory Toys, Handheld Games for Kids 8-12</t>
  </si>
  <si>
    <t>X002LUJD7V</t>
  </si>
  <si>
    <t>82DE-MeiHongSuTuiJi</t>
  </si>
  <si>
    <t>ROHSCE Fast Push Game Pop Fidget Toys, Bubble Pop Game, Electronic Fidget Pop Quick Push it Light up Games, Sensory Pocket Games for Kids 8-12, Birthday Gifts for Toddlers, Kids, and Teens (PINK)</t>
  </si>
  <si>
    <t>X002LZM891</t>
  </si>
  <si>
    <t>X002LZM4BX</t>
  </si>
  <si>
    <t>ROHSCE Sensorik Spielzeug Baby 6 bis 12 Monate, Montessori Sensorik Greifball, 6er-Set weiche Soft-Gummibälle für Kleinkinder 1–3 Jahre, Newborn Baby-, Geburtstags- und Ostergeschenke</t>
  </si>
  <si>
    <t>X001VSBBAB</t>
  </si>
  <si>
    <t>SoftBuildingBlock-US115</t>
  </si>
  <si>
    <t>ROHSCE Weiche Bausteine für Kleinkinder, Bausteine Baby ab 6 Monaten, Große kreative Stapelblöcke 20 Stück STEM Blöcke, Stapelspielzeug für Kleinkinder, Bunte weiche Blocksets als Geschenk</t>
  </si>
  <si>
    <t>X001NVGAFH</t>
  </si>
  <si>
    <t>FRJ202-UK</t>
  </si>
  <si>
    <t>X001DR543Z</t>
  </si>
  <si>
    <t>ShouZhuaQiu-6Ge-1001-FBA</t>
  </si>
  <si>
    <t>VintageⅢ Sensory Balls for Baby Massage Stress Relief, 6pcs Textured Multi Baby Balls Gift Sets Regenbogen Ball Gummiball aus ABA Kunststoff mit BPA-frei und ungiftig</t>
  </si>
  <si>
    <t>X001DR4YE5</t>
  </si>
  <si>
    <t>MianJu-LED-LvSe-FBA</t>
  </si>
  <si>
    <t>Vintage? V für Vendetta LED Maske Guy Fawkes Anonym Party Maske Halloween Light Up Unisex Maske mit EL Glühdraht (Green Light)</t>
  </si>
  <si>
    <t>X001DR2NUR</t>
  </si>
  <si>
    <t>LaLianJinSuDengTou-GuTong-1001-FBM</t>
  </si>
  <si>
    <t>VintageⅢ Kupfer Lampenfassung Edison Pendelleuchte Hängelampe Halter Lampe Vintage mit Pull Kette für DIY Zubehör Bronze</t>
  </si>
  <si>
    <t>X001TQIZ09</t>
  </si>
  <si>
    <t>X001DRTUU3</t>
  </si>
  <si>
    <t>MianJu-LED-Hong-1002-FBA</t>
  </si>
  <si>
    <t>Vintage? LED Mask Luminous V for Vendetta Mask with Led Light Anonymous Masks Full Face Mask Neon Lights Blinker EL Wire Glowing Flash 3 Modes For Halloween Costume Cosplay Party (Red Light)</t>
  </si>
  <si>
    <t>X001DRRN8T</t>
  </si>
  <si>
    <t>MoFang-HeiHong-1004-FBA</t>
  </si>
  <si>
    <t>Fidget Würfel - der Cube gegen Stress mit hohem Suchtpotential - Top Qualität!</t>
  </si>
  <si>
    <t>X001DRRMKX</t>
  </si>
  <si>
    <t>MoFang-MiCaiLan-1003-FBA</t>
  </si>
  <si>
    <t>Juyi Zappelphilipp-Würfel lindert Stress und Anspannung für Kinder und Erwachsene von DJECO</t>
  </si>
  <si>
    <t>X001DR6Z4R</t>
  </si>
  <si>
    <t>ShouZhuaQiu-4Ge-1001-FBA</t>
  </si>
  <si>
    <t>VintageⅢ 4 Pcs Kinder Vorschul Spielzeug Den Ball Sensorischen Baby Softbälle Spielzeug Ball in 4 Farbe für Kinder und Baby</t>
  </si>
  <si>
    <t>X001DWGAND</t>
  </si>
  <si>
    <t>FBA-JinSeDengTou-Niu</t>
  </si>
  <si>
    <t>Flying Banana Industrial Edison Bulb Holder Light Socket for DIY Pendant Wall Light</t>
  </si>
  <si>
    <t>X001DW94LX</t>
  </si>
  <si>
    <t>FBA-DengTou-LaLian-Yin</t>
  </si>
  <si>
    <t>X0027PHPMF</t>
  </si>
  <si>
    <t>50UK-ChuXuQiuOrange</t>
  </si>
  <si>
    <t>ROHSCE Sensorik-Babybälle, 1 großer strukturierter Ball mit 5 kleinen Sensorik-Bällen – Entwicklungsspielzeug für Babys ab 6 Monaten</t>
  </si>
  <si>
    <t>X001DRU4V7</t>
  </si>
  <si>
    <t>MianJu-YinSe-FBA</t>
  </si>
  <si>
    <t>VintageⅢ Game Master Maske Guy Fawkes Mask, Anonymous Mask V for Vendetta Mask Silver VIP Version Halloween Party Cosplay by</t>
  </si>
  <si>
    <t>X001DRT7BP</t>
  </si>
  <si>
    <t>MoFang-MiCaiLan+MiCaiLv-DaiHe-FBA</t>
  </si>
  <si>
    <t>Anti Stress Würfel [wie Fidget Cube] Fidget DICE 6 Sides Fidget Toys Cube Relieves Stress and Anxiety Cube mit 6 Seiten und Funktionen gegen Stress for Children and Adults (CamouBlue+CamouGreen)</t>
  </si>
  <si>
    <t>X001DR74V5</t>
  </si>
  <si>
    <t>LaLianJinSuDengTou-JinSe-FBA</t>
  </si>
  <si>
    <t>X001DRTYSL</t>
  </si>
  <si>
    <t>MoFang-HeiHong-1005-WuHe-FBA</t>
  </si>
  <si>
    <t>Fidget Cube - Gadget / Toy Against Stress, Restless Hands, Perfect for Nervous Fingers for Distraction, Known from AMSCAN - comparable to The original (Red and Black)</t>
  </si>
  <si>
    <t>X001B4LEUR</t>
  </si>
  <si>
    <t>FBA-7KongJianDanQi</t>
  </si>
  <si>
    <t>Lubanoia Antihaft-Kuchenmacher-Eierring, Originalprodukt</t>
  </si>
  <si>
    <t>X001B4NNHT</t>
  </si>
  <si>
    <t>HeiLvMoFang-0001</t>
  </si>
  <si>
    <t>NA Stresswürfel Zappeln Cube, Würfel vergleichbar wie Fidget Cube mit 6 unterschiedliche Funktionen entlastet Stress und Angst Spielzeug Geschenke für Kinder und Erwachsene [Schwarz-Grün]</t>
  </si>
  <si>
    <t>X0027K0LP3</t>
  </si>
  <si>
    <t>50DE-100SoftBlock</t>
  </si>
  <si>
    <t>ROHSCE 100PCS Baby Blocks Set with Storage Bucket, STEM Educational Building Toys for Toddlers, Soft Rubber Blocks for Preschool, Sensory Stacking Toys to Enhance Creativity</t>
  </si>
  <si>
    <t>X001ETVQ5H</t>
  </si>
  <si>
    <t>MoFang-XingKong-YouHe-0727</t>
  </si>
  <si>
    <t>VintageⅢ Anti Stress Würfel [wie Fidget Cube] Fidget DICE 6 Sides Fidget Toys Cube Relieves Stress and Anxiety Cube mit 6 Seiten und Funktionen gegen Stress for Children and Adults (Galaxy)</t>
  </si>
  <si>
    <t>X001DRTXW3</t>
  </si>
  <si>
    <t>ChangXianTiePiDengTou-Hei-1001-FBA</t>
  </si>
  <si>
    <t>oyxled 1 x Edison Vintage Lampe Licht Sockel Sockel Halter Adapter E27 Schraube Leuchtmittel – geeignet für blanke Leuchtmittel Eigenschaften mit Draht ohne Schalter</t>
  </si>
  <si>
    <t>gl_lawn_and_garden</t>
  </si>
  <si>
    <t>X0029PGV2X</t>
  </si>
  <si>
    <t>50DE-BabyBall-003</t>
  </si>
  <si>
    <t>ROHSCE Multicolored Montessori Toys for Infant Development</t>
  </si>
  <si>
    <t>X001BYBHN1</t>
  </si>
  <si>
    <t>FBA-shenhuihei-MoFang001</t>
  </si>
  <si>
    <t>Fidget Cube mit Hülle Schreibtisch-Spielzeug Klicker Joystick-Tasten zum Stressabbau, bei Angst, zum Konzentrieren ADHD Autismus Erwachsene Kinder Studenten Büro Geschenk, 6＃Navy Blue</t>
  </si>
  <si>
    <t>X0027NPYM5</t>
  </si>
  <si>
    <t>82UK-WheatStrawRattle-Yellow</t>
  </si>
  <si>
    <t>Baby Rassel Ball, Montessori Beiß- und Sensorspielzeug, Sicheres Weizenstroh-Spielzeug mit Rasseln, Geschenk für Babys 3-12 Monate, Jungen und Mädchen, Perfekt für Reisen und Zahnung</t>
  </si>
  <si>
    <t>X001DR3L2B</t>
  </si>
  <si>
    <t>ShouZhuaQiu-6Ge-1003-FBA</t>
  </si>
  <si>
    <t>Sensory Balls for Kids - Textured Multi Ball Set for Babies &amp; Toddlers, 6 Colorful Soft and Squeezy Sensory Toys with Stacking Cups - Stress Relief Toy for Kids &amp; Sensory Balls for Toddlers</t>
  </si>
  <si>
    <t>X0029PATMV</t>
  </si>
  <si>
    <t>50DE-BabyBall-004</t>
  </si>
  <si>
    <t>ROHSCE Baby Toys 6-12 Months, Montessori Toys for Babies,Sensory Bath Balls for Toddlers,Sound&amp;Bath Toys Balls,Suitable for Baby Sensory Exploration Toys</t>
  </si>
  <si>
    <t>X001DR56MT</t>
  </si>
  <si>
    <t>MianJu-LED-BaiSe-FBA</t>
  </si>
  <si>
    <t>Vintage? LED Mask Luminous V for Vendetta Mask with Led Light Anonymous Masks Full Face Mask Neon Lights Blinker EL Wire Glowing Flash 3 Modes for Halloween Costume Cosplay Party (White Light)</t>
  </si>
  <si>
    <t>X001DR3BBR</t>
  </si>
  <si>
    <t>MianJu-BaiSe-1001-FBA</t>
  </si>
  <si>
    <t>VintageⅢ 2018 New V for Vendetta mask with Nostril Eyeliner Halloween mask Anonymous Guy Fawkes Fancy mask (white2)</t>
  </si>
  <si>
    <t>X001B4L3XF</t>
  </si>
  <si>
    <t>FBM-BaiHuangMoFang-0001</t>
  </si>
  <si>
    <t>VintageⅢ Fidget Cube mit Hülle Schreibtisch-Spielzeug Klicker Joystick-Tasten zum Stressabbau, bei Angst, zum Konzentrieren ADHD Autismus Erwachsene Kinder Studenten Büro Geschenk</t>
  </si>
  <si>
    <t>X0027K693V</t>
  </si>
  <si>
    <t>50DE-24SiliconeSoftBlock</t>
  </si>
  <si>
    <t>ROHSCE Silicone Soft Building Blocks, Montessori Educational Baby Toy for Teething Gifts, Large Sensory Stacking Toys for Preschool Learning and Creative Play, 24PCS</t>
  </si>
  <si>
    <t>X0027JZVI1</t>
  </si>
  <si>
    <t>50UK-XiaoZuQiuX8H</t>
  </si>
  <si>
    <t>X001DPN8I5</t>
  </si>
  <si>
    <t>FBA-BaiLan-YouHeZi</t>
  </si>
  <si>
    <t>Juyi Fidget Cube mit Hülle Schreibtisch-Spielzeug Klicker Joystick-Tasten zum Stressabbau, bei Angst, zum Konzentrieren ADHD Autismus Erwachsene Kinder Studenten Büro Geschenk, 8?Blue White</t>
  </si>
  <si>
    <t>X001LG43FD</t>
  </si>
  <si>
    <t>MoFang-Black+BlackRed</t>
  </si>
  <si>
    <t>VintageⅢ Anti Stress Würfel [wie Fidget Cube] Fidget DICE 6 Sides Fidget Toys Cube Relieves Stress and Anxiety Cube mit 6 Seiten und Funktionen gegen Stress for Children and Adults (Black+BlackRed)</t>
  </si>
  <si>
    <t>X0027JXIDV</t>
  </si>
  <si>
    <t>50DE-80HeZhuangSoftBlock</t>
  </si>
  <si>
    <t>Baby Soft Blocks Set, 80PCS Big Building Toys, Soft Rubber Blocks for Babies 6 Months and Up, STEM Educational Toddler Gift, Sensory Stacking Baby Toys</t>
  </si>
  <si>
    <t>X0027WYR1Z</t>
  </si>
  <si>
    <t>ROHSCE “Baby Textured Multi Sensory Massage Ball Set - BPA/Phthalate/Latex-Free for Toddler Soft Balls Infant 6 Month Baby Toys Bal (Multicolor Balls)</t>
  </si>
  <si>
    <t>X001DR3J7D</t>
  </si>
  <si>
    <t>ShouZhuaQiu-6Ge-1002-FBA</t>
  </si>
  <si>
    <t>VintageⅢ 6pcs Baby Infant Sensory Bälle Strukturierte Multi Ball Set Massage Soft Ball</t>
  </si>
  <si>
    <t>fengrenji-FBA-P82-50uk</t>
  </si>
  <si>
    <t>X001DRSNG5</t>
  </si>
  <si>
    <t>MianJu-LED-Hong-1001-FBA</t>
  </si>
  <si>
    <t>Vintage? V für Vendetta LED Maske Guy Fawkes Anonym Party Maske Halloween Light Up Unisex Maske mit EL Glühdraht (Red Light)</t>
  </si>
  <si>
    <t>X001DWBMJP</t>
  </si>
  <si>
    <t>FBA-DengTou-LaLian-Hei</t>
  </si>
  <si>
    <t>X0027O39X5</t>
  </si>
  <si>
    <t>50UK-MaiGanQiu6</t>
  </si>
  <si>
    <t>ROHSCE Sensory Balls for Babies 6 to 12 Months, Ball for Toddlers 1-3, Soft &amp; Textured Montessori Baby Toys, Wheat Straw Toddler Balls for Infant Development 6Pcs</t>
  </si>
  <si>
    <t>X0027OA4RT</t>
  </si>
  <si>
    <t>X001DRTTV3</t>
  </si>
  <si>
    <t>ShouZhuaQiu-10Ge-1001-FBA</t>
  </si>
  <si>
    <t>VintageⅢ 10 Pack Sensory Balls for Babies Kids, 6 to 12 Months Baby Toy Ball Toddlers and Infant Small Massage Soft Textured Multi Ball Set</t>
  </si>
  <si>
    <t>X001TOI3VR</t>
  </si>
  <si>
    <t>YanSeFenLei-DE 02</t>
  </si>
  <si>
    <t>ROHSCE Magnetic Color and Number Maze, ooden Magnetic Board Puzzles Toys Sorting Games for Toddlers, Labyrinth Spiel Color Sorting Magnets - Montessori Fine Motor Skills Toys for Boys Girls</t>
  </si>
  <si>
    <t>X0027JX9N5</t>
  </si>
  <si>
    <t>50DE-XiaoCheJiMu</t>
  </si>
  <si>
    <t>ROHSCE STEM Soft Blocks for Baby Gifts 34 PCS,Baby Blocks 6 to 12 Months Kids Building Blocks Colorful Soft Blocks for Toddlers, Large Creative Stacking Blocks, Toddler Stacking Toy</t>
  </si>
  <si>
    <t>X001SJFB09</t>
  </si>
  <si>
    <t>X001EPJHJX</t>
  </si>
  <si>
    <t>MoFang-Rainbow-0722</t>
  </si>
  <si>
    <t>VintageⅢ Fidget Cube 6 Sided Cube for Stress Relief, Anxiety, Brilliant for Sensory Toys for Adults and Children(Rainbow)</t>
  </si>
  <si>
    <t>X0027OUT6Z</t>
  </si>
  <si>
    <t>X0027K1IMX</t>
  </si>
  <si>
    <t>50UK-QiuLingBlue01</t>
  </si>
  <si>
    <t>ROHSCE Sensorkugeln für Babys - Montessori-Spielzeug, Bunte Sensorikbälle mit verschiedenen Texturen für Kinder von 1-3 Jahren, Greifbälle für Babys, Blaue Babyrassel für 3-6 Monate</t>
  </si>
  <si>
    <t>X001K9B02F</t>
  </si>
  <si>
    <t>miCaiLv-Mofang-Hezi</t>
  </si>
  <si>
    <t>Fidget Cube mit Hülle Schreibtisch-Spielzeug Klicker Joystick-Tasten zum Stressabbau, bei Angst, zum Konzentrieren ADHD Autismus Erwachsene Kinder Studenten Büro Geschenk, tarnfarbe</t>
  </si>
  <si>
    <t>X001DRRRX5</t>
  </si>
  <si>
    <t>ShouZhuaQiu-6Ge-1006-FBA</t>
  </si>
  <si>
    <t>VintageⅢ Set of 6/11 Baby Early Education Toys Soft &amp; Safe Hand Catch Perception Ball Massage Ball Spielzeug für Baby (6 Tlg)</t>
  </si>
  <si>
    <t>X0029LM9X7</t>
  </si>
  <si>
    <t>honghejimu-12</t>
  </si>
  <si>
    <t>X0029PGD8F</t>
  </si>
  <si>
    <t>50DE-BabyBall-001</t>
  </si>
  <si>
    <t>ROHSCE Sensory Balls for Babies,Soft Textured Squeeze Balls Montessori Toys, Bright Colors and Sounds</t>
  </si>
  <si>
    <t>X001DRRM35</t>
  </si>
  <si>
    <t>FengRenJi-Bai-1001-FBA</t>
  </si>
  <si>
    <t>X001DRSLSF</t>
  </si>
  <si>
    <t>ShouZhuaQiu-4Ge-1004-FBA</t>
  </si>
  <si>
    <t>4 Typ 1Set ,sensorische Bälle, für Handmassagen, Sensorische Bälle mit Soundeffekt, Spielzeug für Kleinkinder</t>
  </si>
  <si>
    <t>X0027JX9Y9</t>
  </si>
  <si>
    <t>50DE-70SoftBlock</t>
  </si>
  <si>
    <t>Baby Soft Blocks Set, 70PCS Building Toys for Babies 6 Months and Up, STEM Educational Toddler Gifts, Soft Rubber Blocks for 12-18 Months, Sensory Big Building Blocks</t>
  </si>
  <si>
    <t>X001DR6V9B</t>
  </si>
  <si>
    <t>MoFang-BaiHei-WuHe-FBA</t>
  </si>
  <si>
    <t>Enty Fidget Cube 2017 - New Design (weiß-schwarz)</t>
  </si>
  <si>
    <t>X0027JD55R</t>
  </si>
  <si>
    <t>50DE-MaoCiQiu001</t>
  </si>
  <si>
    <t>ROHSCE Baby Balls for Toddlers 1-3 Massage Stress Relief,Sensory Ball for Babies 6 to 12 Months, Textured Multi Sensory Balls Gift Sets for Toddlers 1-3</t>
  </si>
  <si>
    <t>X001DRS9EL</t>
  </si>
  <si>
    <t>MoFang-HeiHong-DaiHe-1002-FBA</t>
  </si>
  <si>
    <t>VintageⅢ Anti Stress Würfel [wie Fidget Cube] Fidget DICE 6 Sides Fidget Toys Cube Relieves Stress and Anxiety Cube mit 6 Seiten und Funktionen gegen Stress for Children and Adults (Black &amp; Red)</t>
  </si>
  <si>
    <t>X001DWG4JD</t>
  </si>
  <si>
    <t>GuTouDengTou-Niu</t>
  </si>
  <si>
    <t>X0027NO6Z1</t>
  </si>
  <si>
    <t>50UK-MuDaiShuBaoJiMu-Fen</t>
  </si>
  <si>
    <t>ROHSCE Stacking Blocks for Babies 6 Months and Up STEM Toddler,Soft Building Blocks for Toddlers Gifts, Large Construction Block Set Rubber Blocks Bag with 42 Pieces and Storage</t>
  </si>
  <si>
    <t>X001DRTWY7</t>
  </si>
  <si>
    <t>MianJu-LED-LanSe-FBA</t>
  </si>
  <si>
    <t>Vintage? V für Vendetta LED Maske Guy Fawkes Anonym Party Maske Halloween Light Up Unisex Maske mit EL Glühdraht (Blue Light)</t>
  </si>
  <si>
    <t>X0027MUVMJ</t>
  </si>
  <si>
    <t>50UK-100PCSbabyblocks</t>
  </si>
  <si>
    <t>X001DWG6PP</t>
  </si>
  <si>
    <t>FBA-DengTou-FuShangPin-LuoWen-LaLian-Jin</t>
  </si>
  <si>
    <t>Flying Banana Industrial Edison Bulb Holder with Chain Switch Light Socket for DIY Pendant Wall Light</t>
  </si>
  <si>
    <t>X001DWCK5P</t>
  </si>
  <si>
    <t>FBA-DengTou-GanNiu-Black</t>
  </si>
  <si>
    <t>X001B4NXZL</t>
  </si>
  <si>
    <t>FBM-BaiLanMoFang-0001</t>
  </si>
  <si>
    <t>X0027NN3CX</t>
  </si>
  <si>
    <t>82UK-WheatStrawRattle-Blue</t>
  </si>
  <si>
    <t>X001DRT5YT</t>
  </si>
  <si>
    <t>ShouZhuaQiu-4Ge-1003-FBA</t>
  </si>
  <si>
    <t>VintageⅢ 4 sensorische Bälle für Kleinkinder, für Handmassagen, zum Fangen, Spielzeug für Kleinkinder, Sensorische Bälle mit Soundeffekt</t>
  </si>
  <si>
    <t>X001DRU61P</t>
  </si>
  <si>
    <t>MianJu-LED-BaiSe-1001-FBA</t>
  </si>
  <si>
    <t>Vintage? V für Vendetta LED Maske Guy Fawkes Anonym Party Maske Halloween Light Up Unisex Maske mit EL Glühdraht (White Light)</t>
  </si>
  <si>
    <t>X001DRT9XB</t>
  </si>
  <si>
    <t>CaoMaoDengTou-GuJinSe-FBA</t>
  </si>
  <si>
    <t>VintageⅢ Edison Pendelleuchte E27 Lampenfassung Antike Hängelampe Halter Lampe, 3-adriges Kabel für Zuhause in Küche Esszimmer Wohnzimmer Kinderzimmer Bar Restaurant ，Zubehör mit 1.35 Meter (Q3)</t>
  </si>
  <si>
    <t>X001DRTV4X</t>
  </si>
  <si>
    <t>MianJu-JinSe-1001-FBA</t>
  </si>
  <si>
    <t>VintageⅢ Halloween Masken Gold V For Vendetta Mask - Anonymous Masken Guy Fawkes Maske Game Master Maske for Halloween Kostüm Cosplay Party by</t>
  </si>
  <si>
    <t>X001DRT1OX</t>
  </si>
  <si>
    <t>MoFang-Hei-1001-FBA</t>
  </si>
  <si>
    <t>Fidget Cube entlastet Stress und Angst für Kinder und Erwachsene Spielzeug AMSCAN und DJECO (Schwarz)</t>
  </si>
  <si>
    <t>X001DWG6UP</t>
  </si>
  <si>
    <t>FBA-HongTongSeDengTou-Niu</t>
  </si>
  <si>
    <t>X001B4NXZ1</t>
  </si>
  <si>
    <t>FidgetCube-HeiLv-YanJun</t>
  </si>
  <si>
    <t>NA Fidget Stresswürfel von [1 Stück] Cube gegen Stress, unruhige Hände, Perfekt für nervöse Finger zur Ablenkung [Schwarz &amp; Grün]</t>
  </si>
  <si>
    <t>X0029PGGMD</t>
  </si>
  <si>
    <t>50DE-BabyBall-005</t>
  </si>
  <si>
    <t>ROHSCE Baby Soft Textured Ball Set,Sensory Baby Toys,Sensory Balls for Toddlers 1-3,Sensory Toys Soft Multi Ball Set</t>
  </si>
  <si>
    <t>X001DR1AVZ</t>
  </si>
  <si>
    <t>MianJu-BaiSe-1002-FBA</t>
  </si>
  <si>
    <t>VintageⅢ Halloween Kostüm Herren, V for Vendetta Guy Fawkes Mask Anonym Maske Fancy Halloween Carnival Cosplay Costume Party Mask by</t>
  </si>
  <si>
    <t>X001DRSGIZ</t>
  </si>
  <si>
    <t>MoFang-BaiHong-DaiHe-1001-FBA</t>
  </si>
  <si>
    <t>Fidget Cube mit Hülle Schreibtisch-Spielzeug Klicker Joystick-Tasten zum Stressabbau, bei Angst, zum Konzentrieren ADHD Autismus Erwachsene Kinder Studenten Büro Geschenk, 8?Pink White</t>
  </si>
  <si>
    <t>X001DPKZ7H</t>
  </si>
  <si>
    <t>HeiLv-MoFang-WuHe</t>
  </si>
  <si>
    <t>VintageⅢ Fidget Stresswürfel von [1 Stück] Cube gegen Stress, unruhige Hände, Perfekt für nervöse Finger zur Ablenkung [Schwarz &amp; Grün]</t>
  </si>
  <si>
    <t>X0028OLNYL</t>
  </si>
  <si>
    <t>Sensorische Bälle für Kinder, Babyspielzeug, sensorische Bälle, mehrere strukturierte mehrfarbig, Massagebälle mit weichen und strukturierten Bällen für die Entwicklung der taktilen Sinne, 6 Stück</t>
  </si>
  <si>
    <t>X002BWGLAV</t>
  </si>
  <si>
    <t>NEWfengrenji202-uk</t>
  </si>
  <si>
    <t>X0027JSCJL</t>
  </si>
  <si>
    <t>50DE-MuDaiShuBaoJiMu-Fen</t>
  </si>
  <si>
    <t>X0027WV2LX</t>
  </si>
  <si>
    <t>50UK-ShouZhuaQiu6ZSL</t>
  </si>
  <si>
    <t>ROHSCE Textured Ball Set Baby, Sensory Balls Kids, Baby Squeeze Balls, Soft Balls Toddler Set of 6 Packs with BB Sounds for Babies Toddlers Children Boys Girls 6+ Months</t>
  </si>
  <si>
    <t>X001B4KZ3T</t>
  </si>
  <si>
    <t>FBM-BaiFenMoFang-0001</t>
  </si>
  <si>
    <t>X001DRTXHN</t>
  </si>
  <si>
    <t>MoFang-BaiLv-1001-WuHe-FBA</t>
  </si>
  <si>
    <t>VintageⅢ Fidget Cube mit Hülle Schreibtisch-Spielzeug Klicker Joystick-Tasten zum Stressabbau, bei Angst, zum Konzentrieren ADHD Autismus Erwachsene Kinder Studenten Büro Geschenk, 13?Green White</t>
  </si>
  <si>
    <t>X001DRRNLB</t>
  </si>
  <si>
    <t>MianJu-LED-Cheng-1002-FBA</t>
  </si>
  <si>
    <t>Vintage? LED Mask Luminous V for Vendetta Mask with Led Light Anonymous Masks Full Face Mask Neon Lights Blinker EL Wire Glowing Flash 3 Modes For Halloween Costume Cosplay Party (Orange Light)</t>
  </si>
  <si>
    <t>X001DR7BN1</t>
  </si>
  <si>
    <t>DengTou-JinSe-1002-FBA</t>
  </si>
  <si>
    <t>Vintage Lampenfassung E27 mit Pull Kette Schalter für DIY Edison Pendelleuchte Hängelampe Halter Zubehör Energieklasse A+++</t>
  </si>
  <si>
    <t>X001DR3H39</t>
  </si>
  <si>
    <t>MoFang-Galaxy-DaiHe-1001-FBA</t>
  </si>
  <si>
    <t>X001DRRMS5</t>
  </si>
  <si>
    <t>MianJu-Hei-1001-FBA</t>
  </si>
  <si>
    <t>VintageⅢ Anonymous Masken, Guy Fawkes Maske - Hacker Game Master Maske Black And Gold V For Vendetta Mask for Halloween Kostüm Cosplay Party by</t>
  </si>
  <si>
    <t>X001DWG8WB</t>
  </si>
  <si>
    <t>FBA-MeiguiSeDengTou-Niu</t>
  </si>
  <si>
    <t>X001DWBTGV</t>
  </si>
  <si>
    <t>FBA-DengTou-GanNiu-Yin</t>
  </si>
  <si>
    <t>X001B4NXZB</t>
  </si>
  <si>
    <t>FBM-MiCaiLvMoFang-0001</t>
  </si>
  <si>
    <t>X001DWBPKV</t>
  </si>
  <si>
    <t>FBA-JinSeDengTou-Lalian-WuLuoWen</t>
  </si>
  <si>
    <t>X001DRT7VZ</t>
  </si>
  <si>
    <t>MoFang-12Mian-Lv-FBA</t>
  </si>
  <si>
    <t>VintageⅢ Fidget 12-Side Fidget Cube Relieves Stress and Anxiety Anti Depression Cube for Children and Adults with ADHD ADD OCD Autism (B1 Green)</t>
  </si>
  <si>
    <t>X001DRSKQN</t>
  </si>
  <si>
    <t>MianJu-LED-LanSe-1001-FBA</t>
  </si>
  <si>
    <t>Vintage? LED Mask Luminous V for Vendetta Mask with Led Light Anonymous Masks Full Face Mask Neon Lights Blinker EL Wire Glowing Flash 3 Modes for Halloween Costume Cosplay Party (Blue Light)</t>
  </si>
  <si>
    <t>X001K9EGBH</t>
  </si>
  <si>
    <t>heiHong-Mofang-Hezi</t>
  </si>
  <si>
    <t>Fidget Cube mit Hülle Schreibtisch-Spielzeug Klicker Joystick-Tasten zum Stressabbau, bei Angst, zum Konzentrieren ADHD Autismus Erwachsene Kinder Studenten Büro Geschenk, 11＃Black Red</t>
  </si>
  <si>
    <t>X001DWAWMN</t>
  </si>
  <si>
    <t>FBA-JinSeDengTou-Niu-LuoWen</t>
  </si>
  <si>
    <t>X001DR2RKX</t>
  </si>
  <si>
    <t>MoFang-Galaxy-1002-FBA</t>
  </si>
  <si>
    <t>VintageⅢ Fidget Cube - Anti Stress Würfel Stress Relief Toy Premium Quality Fidget Cube with Exclusive Protective Case, mit 6 Seiten und Funktionen gegen Stress (Black) (Galaxy)</t>
  </si>
  <si>
    <t>X0027JXIFJ</t>
  </si>
  <si>
    <t>50DE-80TongZhuangSoftBlock</t>
  </si>
  <si>
    <t>80PCS Baby Blocks Set with Storage Bucket, STEM Educational Blocks for Babies 6 Months and Up, Soft Rubber Big Building Blocks, Sensory Stacking Toys for Toddlers</t>
  </si>
  <si>
    <t>X0027K185Z</t>
  </si>
  <si>
    <t>50UK-40BlocksYWM</t>
  </si>
  <si>
    <t>ROHSCE Weiche Bausteine für Babys ab 6 Monaten, Stapelblöcke für Kleinkinder, STEM-Geschenk mit 40 großen Gummiblöcken</t>
  </si>
  <si>
    <t>X0027L2EQ1</t>
  </si>
  <si>
    <t>50DE-XiaoHaoZuQiu</t>
  </si>
  <si>
    <t>X001DR2T0V</t>
  </si>
  <si>
    <t>GuaTan-ZiSe-FBA</t>
  </si>
  <si>
    <t>Spielthema Dekoration, cooler Wandteppich, groß 203,2 x 152,4 cm, Videospiel-Player, Gamepad, Wandkunst, Schlafzimmer, Ästhetik, lustiger Wandteppich für Männer und Jungen, Wohnzimmer, Schlafsaal</t>
  </si>
  <si>
    <t>X002LUBOPF</t>
  </si>
  <si>
    <t>50DE-SiJianTaoBalls-2M</t>
  </si>
  <si>
    <t>X0029PGV2N</t>
  </si>
  <si>
    <t>50DE-BabyBall-002</t>
  </si>
  <si>
    <t>ROHSCE Sensory Balls Set for Babies,Textured Multi Soft Ball Set for Toddlers,Safe and Educational Baby Toys</t>
  </si>
  <si>
    <t>X0027MW13V</t>
  </si>
  <si>
    <t>50UK-80TongZhuangSoftBlock</t>
  </si>
  <si>
    <t>X001DR649X</t>
  </si>
  <si>
    <t>XidingDengTou-ChangXian-GuTong-1001-FBA</t>
  </si>
  <si>
    <t>VintageⅢ E27 Lampenfassung Retro lampenaufhängung Kupfer mit baldachin Antike Pendelleuchte Vintage Hängelampe industrie deckenlampe mit 1 Meter textilkabel und Halter (Bronze)</t>
  </si>
  <si>
    <t>X0027O2NAF</t>
  </si>
  <si>
    <t>50UK-YellowQiuLingSet</t>
  </si>
  <si>
    <t>X001B4L3XP</t>
  </si>
  <si>
    <t>FBM-HeiHongMoFang-0001</t>
  </si>
  <si>
    <t>Fidget Cube AMSCAN Angst Aufmerksamkeit Spielzeug mit Bonus bei eBook enthalten (Englisch) - lindert Stress und Angst und Entspannung für Kinder und Erwachsene</t>
  </si>
  <si>
    <t>X001DRU8XL</t>
  </si>
  <si>
    <t>MianJu-LED-Cheng-1001-FBA</t>
  </si>
  <si>
    <t>Vintage? V für Vendetta LED Maske Guy Fawkes Anonym Party Maske Halloween Light Up Unisex Maske mit EL Glühdraht (Orange Light)</t>
  </si>
  <si>
    <t>X001DRSK8B</t>
  </si>
  <si>
    <t>MianJu-JinSe-FBA</t>
  </si>
  <si>
    <t>VintageⅢ Hallowee Gesichtsmaske V Für Vendetta Guy Fawkes Maske Anonyme Maske, Kostümparty Maske, Erwachsenenmaske, Party Maske</t>
  </si>
  <si>
    <t>X001LG51OZ</t>
  </si>
  <si>
    <t>MoFang-MiCaiLan</t>
  </si>
  <si>
    <t>Juyi Fidget Cube mit Hülle Schreibtisch-Spielzeug Klicker Joystick-Tasten zum Stressabbau, bei Angst, zum Konzentrieren ADHD Autismus Erwachsene Kinder Studenten Büro Geschenk, Camo Blue</t>
  </si>
  <si>
    <t>X001DR5W6T</t>
  </si>
  <si>
    <t>MianJu-LED-Lv-FBA</t>
  </si>
  <si>
    <t>Vintage? LED Mask Luminous V for Vendetta Mask with Led Light Anonymous Masks Full Face Mask Neon Lights Blinker EL Wire Glowing Flash 3 Modes For Halloween Costume Cosplay Party (Green Light)</t>
  </si>
  <si>
    <t>X001DWCJQF</t>
  </si>
  <si>
    <t>FBA-DengTou-LianLian-YaTong</t>
  </si>
  <si>
    <t>X001DR769P</t>
  </si>
  <si>
    <t>MoFang-Galaxy+MiCaiLan-1001-FBA</t>
  </si>
  <si>
    <t>VintageⅢ Anti Stress Fidget Cube Fidget Toys Cube Relieves Stress Anxiety Cube with 6 Sides Against Stress for Children Adults (Galaxy, CamouBlue)</t>
  </si>
  <si>
    <t>X0027K6RH9</t>
  </si>
  <si>
    <t>50UK-WuGuiQiu</t>
  </si>
  <si>
    <t>ROHSCE “Baby Textured Multi Sensory Massage Ball Set - BPA/Phthalate/Latex-Free for Toddler Soft Balls Infant 6 Month Baby Toys Bal (Green-Turtle Piggy Bank Ball)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</si>
</sst>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3">
    <font>
      <sz val="11"/>
      <color theme="1"/>
      <name val="宋体"/>
      <charset val="134"/>
      <scheme val="minor"/>
    </font>
    <font>
      <sz val="10"/>
      <color rgb="FF000000"/>
      <name val="宋体"/>
      <charset val="134"/>
      <scheme val="minor"/>
    </font>
    <font>
      <sz val="11"/>
      <color rgb="FF000000"/>
      <name val="宋体"/>
      <charset val="134"/>
      <scheme val="minor"/>
    </font>
    <font>
      <b/>
      <sz val="11"/>
      <color rgb="FF000000"/>
      <name val="宋体"/>
      <charset val="134"/>
      <scheme val="minor"/>
    </font>
    <font>
      <b/>
      <sz val="11"/>
      <color rgb="FF000000"/>
      <name val="宋体"/>
      <charset val="134"/>
    </font>
    <font>
      <sz val="11"/>
      <color rgb="FF000000"/>
      <name val="宋体"/>
      <charset val="134"/>
    </font>
    <font>
      <b/>
      <sz val="11"/>
      <color rgb="FF9E1E1A"/>
      <name val="宋体"/>
      <charset val="134"/>
    </font>
    <font>
      <sz val="9"/>
      <color rgb="FF000000"/>
      <name val="宋体"/>
      <charset val="134"/>
      <scheme val="minor"/>
    </font>
    <font>
      <b/>
      <sz val="20"/>
      <color rgb="FF000000"/>
      <name val="宋体"/>
      <charset val="134"/>
      <scheme val="minor"/>
    </font>
    <font>
      <sz val="10"/>
      <color rgb="FF9A38D7"/>
      <name val="宋体"/>
      <charset val="134"/>
      <scheme val="minor"/>
    </font>
    <font>
      <sz val="11"/>
      <color rgb="FFFFFFFF"/>
      <name val="Calibri"/>
      <charset val="134"/>
    </font>
    <font>
      <sz val="12"/>
      <color theme="1"/>
      <name val="宋体"/>
      <charset val="134"/>
      <scheme val="minor"/>
    </font>
    <font>
      <sz val="11"/>
      <color rgb="FFDE322C"/>
      <name val="宋体"/>
      <charset val="134"/>
    </font>
    <font>
      <sz val="10"/>
      <color rgb="FFDE322C"/>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8CDDFA"/>
        <bgColor indexed="64"/>
      </patternFill>
    </fill>
    <fill>
      <patternFill patternType="solid">
        <fgColor rgb="FFEAFAF1"/>
        <bgColor indexed="64"/>
      </patternFill>
    </fill>
    <fill>
      <patternFill patternType="solid">
        <fgColor rgb="FF632523"/>
        <bgColor indexed="64"/>
      </patternFill>
    </fill>
    <fill>
      <patternFill patternType="solid">
        <fgColor rgb="FFFFE9E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7"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8" borderId="5" applyNumberFormat="0" applyAlignment="0" applyProtection="0">
      <alignment vertical="center"/>
    </xf>
    <xf numFmtId="0" fontId="23" fillId="9" borderId="6" applyNumberFormat="0" applyAlignment="0" applyProtection="0">
      <alignment vertical="center"/>
    </xf>
    <xf numFmtId="0" fontId="24" fillId="9" borderId="5" applyNumberFormat="0" applyAlignment="0" applyProtection="0">
      <alignment vertical="center"/>
    </xf>
    <xf numFmtId="0" fontId="25" fillId="10"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11" fillId="0" borderId="0"/>
  </cellStyleXfs>
  <cellXfs count="32">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0" fontId="0" fillId="0" borderId="0" xfId="0" applyFill="1" applyAlignment="1">
      <alignment vertical="center"/>
    </xf>
    <xf numFmtId="14" fontId="0" fillId="0" borderId="0" xfId="0" applyNumberFormat="1" applyFill="1" applyAlignment="1">
      <alignment vertical="center"/>
    </xf>
    <xf numFmtId="14" fontId="0" fillId="0" borderId="0" xfId="0" applyNumberFormat="1">
      <alignment vertical="center"/>
    </xf>
    <xf numFmtId="0" fontId="1"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Alignment="1">
      <alignment horizontal="left" vertical="center" wrapText="1"/>
    </xf>
    <xf numFmtId="0" fontId="2" fillId="0" borderId="0" xfId="0" applyFo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2" borderId="0" xfId="0" applyFont="1" applyFill="1">
      <alignment vertical="center"/>
    </xf>
    <xf numFmtId="0" fontId="8" fillId="2" borderId="0" xfId="0" applyFont="1" applyFill="1" applyAlignment="1">
      <alignment horizontal="center" vertical="center"/>
    </xf>
    <xf numFmtId="0" fontId="9" fillId="0" borderId="0" xfId="0" applyFont="1" applyAlignment="1">
      <alignment horizontal="left" vertical="center" wrapText="1"/>
    </xf>
    <xf numFmtId="0" fontId="2" fillId="3" borderId="0" xfId="0" applyFont="1" applyFill="1" applyAlignment="1">
      <alignment horizontal="left" vertical="center"/>
    </xf>
    <xf numFmtId="0" fontId="5" fillId="0" borderId="0" xfId="0" applyFont="1" applyAlignment="1">
      <alignment horizontal="left" vertical="center" wrapText="1"/>
    </xf>
    <xf numFmtId="0" fontId="5" fillId="2" borderId="0" xfId="0" applyFont="1" applyFill="1" applyAlignment="1">
      <alignment horizontal="left" vertical="center"/>
    </xf>
    <xf numFmtId="0" fontId="2" fillId="3" borderId="0" xfId="0" applyFont="1" applyFill="1">
      <alignment vertical="center"/>
    </xf>
    <xf numFmtId="0" fontId="5" fillId="0" borderId="0" xfId="0" applyFont="1">
      <alignment vertical="center"/>
    </xf>
    <xf numFmtId="0" fontId="5" fillId="0" borderId="0" xfId="0" applyFont="1" applyAlignment="1">
      <alignment horizontal="right" vertical="center"/>
    </xf>
    <xf numFmtId="0" fontId="2" fillId="0" borderId="0" xfId="0" applyFont="1" applyAlignment="1">
      <alignment horizontal="center" vertical="center" wrapText="1"/>
    </xf>
    <xf numFmtId="176" fontId="10" fillId="4" borderId="1" xfId="49" applyNumberFormat="1" applyFont="1" applyFill="1" applyBorder="1" applyAlignment="1">
      <alignment horizontal="left" vertical="center"/>
    </xf>
    <xf numFmtId="49" fontId="10" fillId="4" borderId="1" xfId="49" applyNumberFormat="1" applyFont="1" applyFill="1" applyBorder="1" applyAlignment="1">
      <alignment horizontal="left" vertical="center"/>
    </xf>
    <xf numFmtId="1" fontId="10" fillId="4" borderId="1" xfId="49" applyNumberFormat="1" applyFont="1" applyFill="1" applyBorder="1" applyAlignment="1">
      <alignment horizontal="left" vertical="center"/>
    </xf>
    <xf numFmtId="49" fontId="11" fillId="0" borderId="0" xfId="49" applyNumberFormat="1" applyProtection="1">
      <protection locked="0"/>
    </xf>
    <xf numFmtId="0" fontId="12" fillId="5" borderId="0" xfId="0" applyFont="1" applyFill="1" applyAlignment="1">
      <alignment horizontal="left" vertical="center"/>
    </xf>
    <xf numFmtId="0" fontId="5" fillId="6" borderId="0" xfId="0" applyFont="1" applyFill="1" applyAlignment="1">
      <alignment horizontal="left" vertical="center"/>
    </xf>
    <xf numFmtId="0" fontId="0" fillId="6" borderId="0" xfId="0" applyFill="1">
      <alignment vertical="center"/>
    </xf>
    <xf numFmtId="0" fontId="13" fillId="5" borderId="0" xfId="0" applyFont="1" applyFill="1" applyAlignment="1">
      <alignment horizontal="left" vertical="center" wrapText="1"/>
    </xf>
    <xf numFmtId="0" fontId="1" fillId="6" borderId="0" xfId="0" applyFont="1" applyFill="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1">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rgb="FFFFFFFF"/>
      </font>
      <fill>
        <patternFill patternType="solid">
          <fgColor rgb="FFFFFFFF"/>
          <bgColor rgb="FF000000"/>
        </patternFill>
      </fill>
      <border>
        <left/>
        <right/>
        <top/>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90</xdr:row>
      <xdr:rowOff>0</xdr:rowOff>
    </xdr:from>
    <xdr:to>
      <xdr:col>3</xdr:col>
      <xdr:colOff>476250</xdr:colOff>
      <xdr:row>92</xdr:row>
      <xdr:rowOff>133350</xdr:rowOff>
    </xdr:to>
    <xdr:pic>
      <xdr:nvPicPr>
        <xdr:cNvPr id="3" name="图片 2"/>
        <xdr:cNvPicPr>
          <a:picLocks noChangeAspect="1"/>
        </xdr:cNvPicPr>
      </xdr:nvPicPr>
      <xdr:blipFill>
        <a:blip r:embed="rId1"/>
        <a:stretch>
          <a:fillRect/>
        </a:stretch>
      </xdr:blipFill>
      <xdr:spPr>
        <a:xfrm>
          <a:off x="2057400" y="48329850"/>
          <a:ext cx="476250" cy="476250"/>
        </a:xfrm>
        <a:prstGeom prst="rect">
          <a:avLst/>
        </a:prstGeom>
        <a:noFill/>
        <a:ln>
          <a:noFill/>
        </a:ln>
      </xdr:spPr>
    </xdr:pic>
    <xdr:clientData/>
  </xdr:twoCellAnchor>
  <xdr:twoCellAnchor editAs="oneCell">
    <xdr:from>
      <xdr:col>3</xdr:col>
      <xdr:colOff>0</xdr:colOff>
      <xdr:row>96</xdr:row>
      <xdr:rowOff>0</xdr:rowOff>
    </xdr:from>
    <xdr:to>
      <xdr:col>3</xdr:col>
      <xdr:colOff>476250</xdr:colOff>
      <xdr:row>98</xdr:row>
      <xdr:rowOff>133350</xdr:rowOff>
    </xdr:to>
    <xdr:pic>
      <xdr:nvPicPr>
        <xdr:cNvPr id="4" name="图片 3"/>
        <xdr:cNvPicPr>
          <a:picLocks noChangeAspect="1"/>
        </xdr:cNvPicPr>
      </xdr:nvPicPr>
      <xdr:blipFill>
        <a:blip r:embed="rId2"/>
        <a:stretch>
          <a:fillRect/>
        </a:stretch>
      </xdr:blipFill>
      <xdr:spPr>
        <a:xfrm>
          <a:off x="2057400" y="50558700"/>
          <a:ext cx="476250" cy="476250"/>
        </a:xfrm>
        <a:prstGeom prst="rect">
          <a:avLst/>
        </a:prstGeom>
        <a:noFill/>
        <a:ln>
          <a:noFill/>
        </a:ln>
      </xdr:spPr>
    </xdr:pic>
    <xdr:clientData/>
  </xdr:twoCellAnchor>
  <xdr:twoCellAnchor editAs="oneCell">
    <xdr:from>
      <xdr:col>3</xdr:col>
      <xdr:colOff>0</xdr:colOff>
      <xdr:row>99</xdr:row>
      <xdr:rowOff>0</xdr:rowOff>
    </xdr:from>
    <xdr:to>
      <xdr:col>3</xdr:col>
      <xdr:colOff>476250</xdr:colOff>
      <xdr:row>101</xdr:row>
      <xdr:rowOff>133350</xdr:rowOff>
    </xdr:to>
    <xdr:pic>
      <xdr:nvPicPr>
        <xdr:cNvPr id="5" name="图片 4"/>
        <xdr:cNvPicPr>
          <a:picLocks noChangeAspect="1"/>
        </xdr:cNvPicPr>
      </xdr:nvPicPr>
      <xdr:blipFill>
        <a:blip r:embed="rId3"/>
        <a:stretch>
          <a:fillRect/>
        </a:stretch>
      </xdr:blipFill>
      <xdr:spPr>
        <a:xfrm>
          <a:off x="2057400" y="51073050"/>
          <a:ext cx="476250" cy="476250"/>
        </a:xfrm>
        <a:prstGeom prst="rect">
          <a:avLst/>
        </a:prstGeom>
        <a:noFill/>
        <a:ln>
          <a:noFill/>
        </a:ln>
      </xdr:spPr>
    </xdr:pic>
    <xdr:clientData/>
  </xdr:twoCellAnchor>
  <xdr:twoCellAnchor editAs="oneCell">
    <xdr:from>
      <xdr:col>3</xdr:col>
      <xdr:colOff>0</xdr:colOff>
      <xdr:row>106</xdr:row>
      <xdr:rowOff>0</xdr:rowOff>
    </xdr:from>
    <xdr:to>
      <xdr:col>3</xdr:col>
      <xdr:colOff>476250</xdr:colOff>
      <xdr:row>108</xdr:row>
      <xdr:rowOff>133350</xdr:rowOff>
    </xdr:to>
    <xdr:pic>
      <xdr:nvPicPr>
        <xdr:cNvPr id="6" name="图片 5"/>
        <xdr:cNvPicPr>
          <a:picLocks noChangeAspect="1"/>
        </xdr:cNvPicPr>
      </xdr:nvPicPr>
      <xdr:blipFill>
        <a:blip r:embed="rId4"/>
        <a:stretch>
          <a:fillRect/>
        </a:stretch>
      </xdr:blipFill>
      <xdr:spPr>
        <a:xfrm>
          <a:off x="2057400" y="52273200"/>
          <a:ext cx="476250" cy="476250"/>
        </a:xfrm>
        <a:prstGeom prst="rect">
          <a:avLst/>
        </a:prstGeom>
        <a:noFill/>
        <a:ln>
          <a:noFill/>
        </a:ln>
      </xdr:spPr>
    </xdr:pic>
    <xdr:clientData/>
  </xdr:twoCellAnchor>
  <xdr:twoCellAnchor editAs="oneCell">
    <xdr:from>
      <xdr:col>3</xdr:col>
      <xdr:colOff>0</xdr:colOff>
      <xdr:row>107</xdr:row>
      <xdr:rowOff>0</xdr:rowOff>
    </xdr:from>
    <xdr:to>
      <xdr:col>3</xdr:col>
      <xdr:colOff>476250</xdr:colOff>
      <xdr:row>108</xdr:row>
      <xdr:rowOff>304800</xdr:rowOff>
    </xdr:to>
    <xdr:pic>
      <xdr:nvPicPr>
        <xdr:cNvPr id="7" name="图片 6"/>
        <xdr:cNvPicPr>
          <a:picLocks noChangeAspect="1"/>
        </xdr:cNvPicPr>
      </xdr:nvPicPr>
      <xdr:blipFill>
        <a:blip r:embed="rId5"/>
        <a:stretch>
          <a:fillRect/>
        </a:stretch>
      </xdr:blipFill>
      <xdr:spPr>
        <a:xfrm>
          <a:off x="2057400" y="52444650"/>
          <a:ext cx="476250" cy="4762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0DTP8B4FZ.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hanges to the template"/>
      <sheetName val="Instructions"/>
      <sheetName val="Images"/>
      <sheetName val="Data Definitions"/>
      <sheetName val="Template"/>
      <sheetName val="Browse Data"/>
      <sheetName val="Conditions List"/>
      <sheetName val="Valid Values"/>
      <sheetName val="Dropdown Lists"/>
      <sheetName val="AttributePTDMAP"/>
    </sheetNames>
    <definedNames>
      <definedName name="CONDITION_LIST_37" refersTo="='Conditions List'!$AL$2"/>
      <definedName name="for_minPTList0fcc_radio_frequency_emission_compliancemarketplace_idATVPDKIKX0DER1.point_of_contact_email"/>
      <definedName name="CONDITION_LIST_35" refersTo="='Conditions List'!$AJ$2:$AJ$3"/>
      <definedName name="CONDITION_LIST_31" refersTo="='Conditions List'!$AF$2:$AF$3"/>
      <definedName name="CONDITION_LIST_20" refersTo="='Conditions List'!$U$2:$U$14"/>
      <definedName name="for_minPTList0pesticide_markingmarketplace_idATVPDKIKX0DER1.registration_status"/>
      <definedName name="for_minPTList0pesticide_markingmarketplace_idATVPDKIKX0DER2.registration_status"/>
      <definedName name="for_minPTList0fulfillment_availability1.quantity"/>
      <definedName name="for_minPTList0fcc_radio_frequency_emission_compliancemarketplace_idATVPDKIKX0DER1.point_of_contact_phone_number"/>
      <definedName name="CONDITION_LIST_33" refersTo="='Conditions List'!$AH$2"/>
      <definedName name="form_rgPTList0battery_installation_device_typemarketplace_idATVPDKIKX0DER1.value"/>
      <definedName name="CONDITION_LIST_39" refersTo="='Conditions List'!$AN$2"/>
      <definedName name="CONDITION_LIST_40" refersTo="='Conditions List'!$AO$2"/>
      <definedName name="CONDITION_LIST_8" refersTo="='Conditions List'!$I$2:$I$5"/>
      <definedName name="for_maxfPTList0batterymarketplace_idATVPDKIKX0DER1.cell_composition_other_than_listedlanguage_tagen_US1.value"/>
      <definedName name="form_rgPTList0batterymarketplace_idATVPDKIKX0DER1.cell_composition1.value"/>
      <definedName name="for_maxfPTList0compliance_toy_materialmarketplace_idATVPDKIKX0DER1.value"/>
      <definedName name="form_rgPTList0bullet_pointmarketplace_idATVPDKIKX0DERlanguage_tagen_US3.value"/>
      <definedName name="for_maxfPTList0fulfillment_availability1.quantity"/>
      <definedName name="form_rgPTList0baa_taa_compliance_acknowledgementmarketplace_idATVPDKIKX0DER1.value"/>
      <definedName name="form_rgPTList0batteries_requiredmarketplace_idATVPDKIKX0DER1.value"/>
      <definedName name="for_minPTList0california_proposition_65marketplace_idATVPDKIKX0DER1.chemical_names1"/>
      <definedName name="for_minPTList0pesticide_markingmarketplace_idATVPDKIKX0DER3.registration_status"/>
      <definedName name="for_maxfPTList0child_parent_sku_relationshipmarketplace_idATVPDKIKX0DER1.parent_sku"/>
      <definedName name="for_maxfPTList0fulfillment_availability1.is_inventory_available"/>
      <definedName name="for_maxfPTList0california_proposition_65marketplace_idATVPDKIKX0DER1.chemical_names2"/>
      <definedName name="CONDITION_LIST_28" refersTo="='Conditions List'!$AC$2"/>
      <definedName name="form_rgPTList0amzn1.volt.ca.product_id_type"/>
      <definedName name="CONDITION_LIST_6" refersTo="='Conditions List'!$G$2"/>
      <definedName name="for_maxfPTList0compliance_operation_modemarketplace_idATVPDKIKX0DER1.value"/>
      <definedName name="for_maxfPTList0california_proposition_65marketplace_idATVPDKIKX0DER1.chemical_names4"/>
      <definedName name="form_rgPTList0colormarketplace_idATVPDKIKX0DERlanguage_tagen_US1.value"/>
      <definedName name="form_rgPTList0bullet_pointmarketplace_idATVPDKIKX0DERlanguage_tagen_US5.value"/>
      <definedName name="CONDITION_LIST_22" refersTo="='Conditions List'!$W$2:$W$5"/>
      <definedName name="CONDITION_LIST_24" refersTo="='Conditions List'!$Y$2:$Y$11"/>
      <definedName name="CONDITION_LIST_3" refersTo="='Conditions List'!$D$2:$D$3"/>
      <definedName name="form_rgPTList0batterymarketplace_idATVPDKIKX0DER1.weight1.value"/>
      <definedName name="for_minPTList0fcc_radio_frequency_emission_compliancemarketplace_idATVPDKIKX0DER1.identification_number"/>
      <definedName name="form_rgPTList0batterymarketplace_idATVPDKIKX0DER1.iec_code1.value"/>
      <definedName name="form_rgPTList0bullet_pointmarketplace_idATVPDKIKX0DERlanguage_tagen_US1.value"/>
      <definedName name="CONDITION_LIST_26" refersTo="='Conditions List'!$AA$2:$AA$5"/>
    </definedNames>
    <sheetDataSet>
      <sheetData sheetId="0"/>
      <sheetData sheetId="1"/>
      <sheetData sheetId="2"/>
      <sheetData sheetId="3"/>
      <sheetData sheetId="4"/>
      <sheetData sheetId="5"/>
      <sheetData sheetId="6">
        <row r="2">
          <cell r="D2" t="str">
            <v>SUBJECT_CHARACTER/NUMBER_OF_ITEMS</v>
          </cell>
        </row>
        <row r="2">
          <cell r="G2" t="str">
            <v>THEME</v>
          </cell>
        </row>
        <row r="2">
          <cell r="I2" t="str">
            <v>COLOR/NUMBER_OF_ITEMS/ORIENTATION</v>
          </cell>
        </row>
        <row r="2">
          <cell r="U2" t="str">
            <v>lithium</v>
          </cell>
        </row>
        <row r="2">
          <cell r="W2" t="str">
            <v>lithium</v>
          </cell>
        </row>
        <row r="2">
          <cell r="Y2" t="str">
            <v>lithium</v>
          </cell>
        </row>
        <row r="2">
          <cell r="AA2" t="str">
            <v>Lithium Ion</v>
          </cell>
        </row>
        <row r="2">
          <cell r="AC2" t="str">
            <v>GHS</v>
          </cell>
        </row>
        <row r="2">
          <cell r="AF2" t="str">
            <v>EPA Establishment Number</v>
          </cell>
        </row>
        <row r="2">
          <cell r="AH2" t="str">
            <v>Product has an FCC ID</v>
          </cell>
        </row>
        <row r="2">
          <cell r="AJ2" t="str">
            <v>Wet Alkali</v>
          </cell>
        </row>
        <row r="2">
          <cell r="AL2" t="str">
            <v>Lithium Ion</v>
          </cell>
        </row>
        <row r="2">
          <cell r="AN2" t="str">
            <v>Batteries contained in equipment</v>
          </cell>
          <cell r="AO2" t="str">
            <v>Trade Agreements Act Compliant (TAA)</v>
          </cell>
        </row>
        <row r="3">
          <cell r="D3" t="str">
            <v>SUBJECT_CHARACTER</v>
          </cell>
        </row>
        <row r="3">
          <cell r="I3" t="str">
            <v>ORIENTATION</v>
          </cell>
        </row>
        <row r="3">
          <cell r="U3" t="str">
            <v>lithium_air</v>
          </cell>
        </row>
        <row r="3">
          <cell r="W3" t="str">
            <v>lithium_manganese_dioxide</v>
          </cell>
        </row>
        <row r="3">
          <cell r="Y3" t="str">
            <v>lithium_air</v>
          </cell>
        </row>
        <row r="3">
          <cell r="AA3" t="str">
            <v>Lithium Metal</v>
          </cell>
        </row>
        <row r="3">
          <cell r="AF3" t="str">
            <v>EPA Registration Number</v>
          </cell>
        </row>
        <row r="3">
          <cell r="AJ3" t="str">
            <v>Lead Acid</v>
          </cell>
        </row>
        <row r="4">
          <cell r="I4" t="str">
            <v>SIZE/ORIENTATION</v>
          </cell>
        </row>
        <row r="4">
          <cell r="U4" t="str">
            <v>lithium_cobalt</v>
          </cell>
        </row>
        <row r="4">
          <cell r="W4" t="str">
            <v>Lithium Metal</v>
          </cell>
        </row>
        <row r="4">
          <cell r="Y4" t="str">
            <v>lithium_cobalt</v>
          </cell>
        </row>
        <row r="4">
          <cell r="AA4" t="str">
            <v>Lithium Polymer</v>
          </cell>
        </row>
        <row r="5">
          <cell r="I5" t="str">
            <v>COLOR/ORIENTATION</v>
          </cell>
        </row>
        <row r="5">
          <cell r="U5" t="str">
            <v>Lithium Ion</v>
          </cell>
        </row>
        <row r="5">
          <cell r="W5" t="str">
            <v>lithium_thionyl_chloride</v>
          </cell>
        </row>
        <row r="5">
          <cell r="Y5" t="str">
            <v>Lithium Ion</v>
          </cell>
        </row>
        <row r="5">
          <cell r="AA5" t="str">
            <v>Sodium Ion</v>
          </cell>
        </row>
        <row r="6">
          <cell r="U6" t="str">
            <v>lithium_manganese_dioxide</v>
          </cell>
        </row>
        <row r="6">
          <cell r="Y6" t="str">
            <v>lithium_nickel_cobalt_aluminum</v>
          </cell>
        </row>
        <row r="7">
          <cell r="U7" t="str">
            <v>Lithium Metal</v>
          </cell>
        </row>
        <row r="7">
          <cell r="Y7" t="str">
            <v>lithium_nickel_manganese_cobalt</v>
          </cell>
        </row>
        <row r="8">
          <cell r="U8" t="str">
            <v>lithium_nickel_cobalt_aluminum</v>
          </cell>
        </row>
        <row r="8">
          <cell r="Y8" t="str">
            <v>lithium_phosphate</v>
          </cell>
        </row>
        <row r="9">
          <cell r="U9" t="str">
            <v>lithium_nickel_manganese_cobalt</v>
          </cell>
        </row>
        <row r="9">
          <cell r="Y9" t="str">
            <v>Lithium Polymer</v>
          </cell>
        </row>
        <row r="10">
          <cell r="U10" t="str">
            <v>lithium_phosphate</v>
          </cell>
        </row>
        <row r="10">
          <cell r="Y10" t="str">
            <v>lithium_titanate</v>
          </cell>
        </row>
        <row r="11">
          <cell r="U11" t="str">
            <v>Lithium Polymer</v>
          </cell>
        </row>
        <row r="11">
          <cell r="Y11" t="str">
            <v>polymer</v>
          </cell>
        </row>
        <row r="12">
          <cell r="U12" t="str">
            <v>lithium_thionyl_chloride</v>
          </cell>
        </row>
        <row r="13">
          <cell r="U13" t="str">
            <v>lithium_titanate</v>
          </cell>
        </row>
        <row r="14">
          <cell r="U14" t="str">
            <v>polymer</v>
          </cell>
        </row>
      </sheetData>
      <sheetData sheetId="7"/>
      <sheetData sheetId="8"/>
      <sheetData sheetId="9"/>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3:S388"/>
  <sheetViews>
    <sheetView tabSelected="1" topLeftCell="G372" workbookViewId="0">
      <selection activeCell="J384" sqref="J384:O388"/>
    </sheetView>
  </sheetViews>
  <sheetFormatPr defaultColWidth="9" defaultRowHeight="13.5"/>
  <cols>
    <col min="3" max="4" width="14.25" customWidth="1"/>
    <col min="5" max="5" width="29" customWidth="1"/>
    <col min="10" max="10" width="12.625"/>
  </cols>
  <sheetData>
    <row r="13" spans="1:19">
      <c r="D13" t="s">
        <v>0</v>
      </c>
      <c r="J13">
        <v>500</v>
      </c>
      <c r="K13">
        <v>0.03</v>
      </c>
      <c r="L13">
        <v>700</v>
      </c>
      <c r="M13">
        <v>0.05</v>
      </c>
      <c r="N13">
        <v>1200</v>
      </c>
      <c r="O13">
        <v>0.08</v>
      </c>
    </row>
    <row r="14" ht="15" spans="1:19">
      <c r="B14" t="s">
        <v>1</v>
      </c>
      <c r="C14" t="s">
        <v>2</v>
      </c>
      <c r="H14" s="23" t="s">
        <v>3</v>
      </c>
      <c r="I14" s="24" t="s">
        <v>4</v>
      </c>
      <c r="J14" s="25" t="s">
        <v>5</v>
      </c>
      <c r="K14" s="23" t="s">
        <v>6</v>
      </c>
      <c r="L14" s="25" t="s">
        <v>7</v>
      </c>
      <c r="M14" s="23" t="s">
        <v>8</v>
      </c>
      <c r="N14" s="25" t="s">
        <v>9</v>
      </c>
      <c r="O14" s="23" t="s">
        <v>10</v>
      </c>
      <c r="P14" s="25" t="s">
        <v>11</v>
      </c>
      <c r="Q14" s="23" t="s">
        <v>12</v>
      </c>
      <c r="R14" s="25" t="s">
        <v>13</v>
      </c>
      <c r="S14" s="23" t="s">
        <v>14</v>
      </c>
    </row>
    <row r="15" ht="14.25" spans="1:19">
      <c r="A15">
        <v>2</v>
      </c>
      <c r="B15">
        <f>IF(OR(VLOOKUP(D15,Sheet4!$F$9:$G$245,2,0)="SS",VLOOKUP(D15,Sheet4!$F$9:$G$245,2,0)="S"),2,1)</f>
        <v>1</v>
      </c>
      <c r="C15" t="str">
        <f>VLOOKUP(D15,Sheet4!$F$9:$G$245,2,0)</f>
        <v>P</v>
      </c>
      <c r="D15" s="11" t="s">
        <v>15</v>
      </c>
      <c r="E15" t="str">
        <f>VLOOKUP(D15,'50库存'!$C$2:$D$313,2,0)</f>
        <v>50US-MaiGanYaZi-013</v>
      </c>
      <c r="F15">
        <f>VLOOKUP(E15,'50库存'!$D$2:$U$313,18,0)</f>
        <v>25.74</v>
      </c>
      <c r="G15">
        <f>COUNTIF('50库存'!$C$2:$C$313,D15)</f>
        <v>1</v>
      </c>
      <c r="H15">
        <f>VLOOKUP(D15,'50库存'!$C$2:$U$313,19,0)</f>
        <v>25.74</v>
      </c>
      <c r="I15" s="26" t="s">
        <v>16</v>
      </c>
      <c r="J15">
        <f t="shared" ref="J15:J22" si="0">CEILING($J$13*B15/H15,1)</f>
        <v>20</v>
      </c>
      <c r="K15">
        <v>3</v>
      </c>
      <c r="L15">
        <f t="shared" ref="L15:L22" si="1">CEILING($L$13*B15/H15,1)</f>
        <v>28</v>
      </c>
      <c r="M15">
        <v>5</v>
      </c>
      <c r="N15">
        <f t="shared" ref="N15:N22" si="2">CEILING($N$13*B15/H15,1)</f>
        <v>47</v>
      </c>
      <c r="O15">
        <v>8</v>
      </c>
    </row>
    <row r="16" ht="14.25" spans="1:19">
      <c r="A16">
        <v>1</v>
      </c>
      <c r="B16">
        <f>IF(OR(VLOOKUP(D16,Sheet4!$F$9:$G$245,2,0)="SS",VLOOKUP(D16,Sheet4!$F$9:$G$245,2,0)="S"),2,1)</f>
        <v>1</v>
      </c>
      <c r="C16" t="str">
        <f>VLOOKUP(D16,Sheet4!$F$9:$G$245,2,0)</f>
        <v>P</v>
      </c>
      <c r="D16" s="11" t="s">
        <v>17</v>
      </c>
      <c r="E16" t="str">
        <f>VLOOKUP(D16,'50库存'!$C$2:$D$313,2,0)</f>
        <v>50US-MaiGanYaZi-005</v>
      </c>
      <c r="F16">
        <f>VLOOKUP(E16,'50库存'!$D$2:$U$313,18,0)</f>
        <v>29.99</v>
      </c>
      <c r="G16">
        <f>COUNTIF('50库存'!$C$2:$C$313,D16)</f>
        <v>1</v>
      </c>
      <c r="H16">
        <f>VLOOKUP(D16,'50库存'!$C$2:$U$313,19,0)</f>
        <v>29.99</v>
      </c>
      <c r="I16" s="26" t="s">
        <v>16</v>
      </c>
      <c r="J16">
        <f t="shared" si="0"/>
        <v>17</v>
      </c>
      <c r="K16">
        <v>3</v>
      </c>
      <c r="L16">
        <f t="shared" si="1"/>
        <v>24</v>
      </c>
      <c r="M16">
        <v>5</v>
      </c>
      <c r="N16">
        <f t="shared" si="2"/>
        <v>41</v>
      </c>
      <c r="O16">
        <v>8</v>
      </c>
    </row>
    <row r="17" ht="14.25" spans="2:15">
      <c r="B17">
        <f>IF(OR(VLOOKUP(D17,Sheet4!$F$9:$G$245,2,0)="SS",VLOOKUP(D17,Sheet4!$F$9:$G$245,2,0)="S"),2,1)</f>
        <v>1</v>
      </c>
      <c r="C17" t="str">
        <f>VLOOKUP(D17,Sheet4!$F$9:$G$245,2,0)</f>
        <v>P</v>
      </c>
      <c r="D17" s="27" t="s">
        <v>18</v>
      </c>
      <c r="E17" t="str">
        <f>VLOOKUP(D17,'50库存'!$C$2:$D$313,2,0)</f>
        <v>50US-MaoCiBabyBall001</v>
      </c>
      <c r="F17">
        <f>VLOOKUP(E17,'50库存'!$D$2:$U$313,18,0)</f>
        <v>19.99</v>
      </c>
      <c r="G17">
        <f>COUNTIF('50库存'!$C$2:$C$313,D17)</f>
        <v>1</v>
      </c>
      <c r="H17">
        <f>VLOOKUP(D17,'50库存'!$C$2:$U$313,19,0)</f>
        <v>19.99</v>
      </c>
      <c r="I17" s="26" t="s">
        <v>16</v>
      </c>
      <c r="J17">
        <f t="shared" si="0"/>
        <v>26</v>
      </c>
      <c r="K17">
        <v>3</v>
      </c>
      <c r="L17">
        <f t="shared" si="1"/>
        <v>36</v>
      </c>
      <c r="M17">
        <v>5</v>
      </c>
      <c r="N17">
        <f t="shared" si="2"/>
        <v>61</v>
      </c>
      <c r="O17">
        <v>8</v>
      </c>
    </row>
    <row r="18" ht="14.25" spans="2:15">
      <c r="B18">
        <f>IFERROR(IF(OR(VLOOKUP(D18,Sheet4!$F$9:$G$245,2,0)="SS",VLOOKUP(D18,Sheet4!$F$9:$G$245,2,0)="S"),2,1),1)</f>
        <v>1</v>
      </c>
      <c r="C18" t="e">
        <f>VLOOKUP(D18,Sheet4!$F$9:$G$245,2,0)</f>
        <v>#N/A</v>
      </c>
      <c r="D18" s="11" t="s">
        <v>19</v>
      </c>
      <c r="E18" t="str">
        <f>VLOOKUP(D18,'50库存'!$C$2:$D$313,2,0)</f>
        <v>50US-MaoCiBabyBall002</v>
      </c>
      <c r="F18">
        <f>VLOOKUP(E18,'50库存'!$D$2:$U$313,18,0)</f>
        <v>18.99</v>
      </c>
      <c r="G18">
        <f>COUNTIF('50库存'!$C$2:$C$313,D18)</f>
        <v>1</v>
      </c>
      <c r="H18">
        <f>VLOOKUP(D18,'50库存'!$C$2:$U$313,19,0)</f>
        <v>18.99</v>
      </c>
      <c r="I18" s="26" t="s">
        <v>16</v>
      </c>
      <c r="J18">
        <f t="shared" si="0"/>
        <v>27</v>
      </c>
      <c r="K18">
        <v>3</v>
      </c>
      <c r="L18">
        <f t="shared" si="1"/>
        <v>37</v>
      </c>
      <c r="M18">
        <v>5</v>
      </c>
      <c r="N18">
        <f t="shared" si="2"/>
        <v>64</v>
      </c>
      <c r="O18">
        <v>8</v>
      </c>
    </row>
    <row r="19" ht="14.25" spans="2:15">
      <c r="B19">
        <f>IFERROR(IF(OR(VLOOKUP(D19,Sheet4!$F$9:$G$245,2,0)="SS",VLOOKUP(D19,Sheet4!$F$9:$G$245,2,0)="S"),2,1),1)</f>
        <v>1</v>
      </c>
      <c r="C19" t="str">
        <f>VLOOKUP(D19,Sheet4!$F$9:$G$245,2,0)</f>
        <v>P</v>
      </c>
      <c r="D19" s="28" t="s">
        <v>20</v>
      </c>
      <c r="E19" t="s">
        <v>21</v>
      </c>
      <c r="F19">
        <f>VLOOKUP(E19,'50库存'!$D$2:$U$313,18,0)</f>
        <v>43.37</v>
      </c>
      <c r="G19" s="29">
        <f>COUNTIF('50库存'!$C$2:$C$313,D19)</f>
        <v>3</v>
      </c>
      <c r="H19">
        <f>VLOOKUP(E19,'50库存'!$D$2:$U$313,18,0)</f>
        <v>43.37</v>
      </c>
      <c r="I19" s="26" t="s">
        <v>16</v>
      </c>
      <c r="J19">
        <f t="shared" si="0"/>
        <v>12</v>
      </c>
      <c r="K19">
        <v>3</v>
      </c>
      <c r="L19">
        <f t="shared" si="1"/>
        <v>17</v>
      </c>
      <c r="M19">
        <v>5</v>
      </c>
      <c r="N19">
        <f t="shared" si="2"/>
        <v>28</v>
      </c>
      <c r="O19">
        <v>8</v>
      </c>
    </row>
    <row r="20" ht="14.25" spans="2:15">
      <c r="B20">
        <f>IFERROR(IF(OR(VLOOKUP(D20,Sheet4!$F$9:$G$245,2,0)="SS",VLOOKUP(D20,Sheet4!$F$9:$G$245,2,0)="S"),2,1),1)</f>
        <v>1</v>
      </c>
      <c r="C20" t="str">
        <f>VLOOKUP(D20,Sheet4!$F$9:$G$245,2,0)</f>
        <v>P</v>
      </c>
      <c r="D20" s="28" t="s">
        <v>20</v>
      </c>
      <c r="E20" t="s">
        <v>22</v>
      </c>
      <c r="F20">
        <f>VLOOKUP(E20,'50库存'!$D$2:$U$313,18,0)</f>
        <v>43.39</v>
      </c>
      <c r="G20" s="29"/>
      <c r="H20">
        <f>VLOOKUP(E20,'50库存'!$D$2:$U$313,18,0)</f>
        <v>43.39</v>
      </c>
      <c r="I20" s="26" t="s">
        <v>16</v>
      </c>
      <c r="J20">
        <f t="shared" si="0"/>
        <v>12</v>
      </c>
      <c r="K20">
        <v>3</v>
      </c>
      <c r="L20">
        <f t="shared" si="1"/>
        <v>17</v>
      </c>
      <c r="M20">
        <v>5</v>
      </c>
      <c r="N20">
        <f t="shared" si="2"/>
        <v>28</v>
      </c>
      <c r="O20">
        <v>8</v>
      </c>
    </row>
    <row r="21" ht="14.25" spans="2:15">
      <c r="B21">
        <f>IFERROR(IF(OR(VLOOKUP(D21,Sheet4!$F$9:$G$245,2,0)="SS",VLOOKUP(D21,Sheet4!$F$9:$G$245,2,0)="S"),2,1),1)</f>
        <v>1</v>
      </c>
      <c r="C21" t="str">
        <f>VLOOKUP(D21,Sheet4!$F$9:$G$245,2,0)</f>
        <v>P</v>
      </c>
      <c r="D21" s="28" t="s">
        <v>20</v>
      </c>
      <c r="E21" t="s">
        <v>23</v>
      </c>
      <c r="F21">
        <f>VLOOKUP(E21,'50库存'!$D$2:$U$313,18,0)</f>
        <v>0</v>
      </c>
      <c r="G21" s="29"/>
      <c r="H21">
        <f>VLOOKUP(E21,'50库存'!$D$2:$U$313,18,0)</f>
        <v>0</v>
      </c>
      <c r="I21" s="26" t="s">
        <v>16</v>
      </c>
      <c r="J21" t="e">
        <f t="shared" si="0"/>
        <v>#DIV/0!</v>
      </c>
      <c r="K21">
        <v>3</v>
      </c>
      <c r="L21" t="e">
        <f t="shared" si="1"/>
        <v>#DIV/0!</v>
      </c>
      <c r="M21">
        <v>5</v>
      </c>
      <c r="N21" t="e">
        <f t="shared" si="2"/>
        <v>#DIV/0!</v>
      </c>
      <c r="O21">
        <v>8</v>
      </c>
    </row>
    <row r="22" ht="14.25" spans="2:15">
      <c r="B22">
        <f>IFERROR(IF(OR(VLOOKUP(D22,Sheet4!$F$9:$G$245,2,0)="SS",VLOOKUP(D22,Sheet4!$F$9:$G$245,2,0)="S"),2,1),1)</f>
        <v>1</v>
      </c>
      <c r="C22" t="e">
        <f>VLOOKUP(D22,Sheet4!$F$9:$G$245,2,0)</f>
        <v>#N/A</v>
      </c>
      <c r="D22" s="28" t="s">
        <v>24</v>
      </c>
      <c r="E22" t="s">
        <v>25</v>
      </c>
      <c r="F22">
        <f>VLOOKUP(E22,'50库存'!$D$2:$U$313,18,0)</f>
        <v>43.99</v>
      </c>
      <c r="G22" s="29">
        <f>COUNTIF('50库存'!$C$2:$C$313,D22)</f>
        <v>2</v>
      </c>
      <c r="H22">
        <f>VLOOKUP(E22,'50库存'!$D$2:$U$313,18,0)</f>
        <v>43.99</v>
      </c>
      <c r="I22" s="26" t="s">
        <v>16</v>
      </c>
      <c r="J22">
        <f t="shared" si="0"/>
        <v>12</v>
      </c>
      <c r="K22">
        <v>3</v>
      </c>
      <c r="L22">
        <f t="shared" si="1"/>
        <v>16</v>
      </c>
      <c r="M22">
        <v>5</v>
      </c>
      <c r="N22">
        <f t="shared" si="2"/>
        <v>28</v>
      </c>
      <c r="O22">
        <v>8</v>
      </c>
    </row>
    <row r="23" ht="14.25" spans="2:15">
      <c r="B23">
        <f>IFERROR(IF(OR(VLOOKUP(D23,Sheet4!$F$9:$G$245,2,0)="SS",VLOOKUP(D23,Sheet4!$F$9:$G$245,2,0)="S"),2,1),1)</f>
        <v>1</v>
      </c>
      <c r="C23" t="e">
        <f>VLOOKUP(D23,Sheet4!$F$9:$G$245,2,0)</f>
        <v>#N/A</v>
      </c>
      <c r="D23" s="28" t="s">
        <v>24</v>
      </c>
      <c r="E23" t="s">
        <v>26</v>
      </c>
      <c r="F23">
        <f>VLOOKUP(E23,'50库存'!$D$2:$U$313,18,0)</f>
        <v>0</v>
      </c>
      <c r="H23">
        <f>VLOOKUP(E23,'50库存'!$D$2:$U$313,18,0)</f>
        <v>0</v>
      </c>
      <c r="I23" s="26" t="s">
        <v>16</v>
      </c>
      <c r="J23" t="e">
        <f t="shared" ref="J23:J44" si="3">CEILING($J$13*B23/H23,1)</f>
        <v>#DIV/0!</v>
      </c>
      <c r="K23">
        <v>3</v>
      </c>
      <c r="L23" t="e">
        <f t="shared" ref="L23:L44" si="4">CEILING($L$13*B23/H23,1)</f>
        <v>#DIV/0!</v>
      </c>
      <c r="M23">
        <v>5</v>
      </c>
      <c r="N23" t="e">
        <f t="shared" ref="N23:N44" si="5">CEILING($N$13*B23/H23,1)</f>
        <v>#DIV/0!</v>
      </c>
      <c r="O23">
        <v>8</v>
      </c>
    </row>
    <row r="24" ht="14.25" spans="2:15">
      <c r="B24">
        <f>IFERROR(IF(OR(VLOOKUP(D24,Sheet4!$F$9:$G$245,2,0)="SS",VLOOKUP(D24,Sheet4!$F$9:$G$245,2,0)="S"),2,1),1)</f>
        <v>1</v>
      </c>
      <c r="C24" t="str">
        <f>VLOOKUP(D24,Sheet4!$F$9:$G$245,2,0)</f>
        <v>A</v>
      </c>
      <c r="D24" s="30" t="s">
        <v>27</v>
      </c>
      <c r="E24" t="str">
        <f>VLOOKUP(D24,'50库存'!$C$2:$D$313,2,0)</f>
        <v>50US-GenSuiYa-003</v>
      </c>
      <c r="F24">
        <f>VLOOKUP(E24,'50库存'!$D$2:$U$313,18,0)</f>
        <v>39.99</v>
      </c>
      <c r="G24">
        <f>COUNTIF('50库存'!$C$2:$C$313,D24)</f>
        <v>1</v>
      </c>
      <c r="H24">
        <f>VLOOKUP(E24,'50库存'!$D$2:$U$313,18,0)</f>
        <v>39.99</v>
      </c>
      <c r="I24" s="26" t="s">
        <v>16</v>
      </c>
      <c r="J24">
        <f t="shared" si="3"/>
        <v>13</v>
      </c>
      <c r="K24">
        <v>3</v>
      </c>
      <c r="L24">
        <f t="shared" si="4"/>
        <v>18</v>
      </c>
      <c r="M24">
        <v>5</v>
      </c>
      <c r="N24">
        <f t="shared" si="5"/>
        <v>31</v>
      </c>
      <c r="O24">
        <v>8</v>
      </c>
    </row>
    <row r="25" ht="14.25" spans="2:15">
      <c r="B25">
        <f>IFERROR(IF(OR(VLOOKUP(D25,Sheet4!$F$9:$G$245,2,0)="SS",VLOOKUP(D25,Sheet4!$F$9:$G$245,2,0)="S"),2,1),1)</f>
        <v>1</v>
      </c>
      <c r="C25" t="str">
        <f>VLOOKUP(D25,Sheet4!$F$9:$G$245,2,0)</f>
        <v>A</v>
      </c>
      <c r="D25" s="6" t="s">
        <v>28</v>
      </c>
      <c r="E25" t="str">
        <f>VLOOKUP(D25,'50库存'!$C$2:$D$313,2,0)</f>
        <v>50US-GenSuiYa-004</v>
      </c>
      <c r="F25">
        <f>VLOOKUP(E25,'50库存'!$D$2:$U$313,18,0)</f>
        <v>39.99</v>
      </c>
      <c r="G25">
        <f>COUNTIF('50库存'!$C$2:$C$313,D25)</f>
        <v>1</v>
      </c>
      <c r="H25">
        <f>VLOOKUP(E25,'50库存'!$D$2:$U$313,18,0)</f>
        <v>39.99</v>
      </c>
      <c r="I25" s="26" t="s">
        <v>16</v>
      </c>
      <c r="J25">
        <f t="shared" si="3"/>
        <v>13</v>
      </c>
      <c r="K25">
        <v>3</v>
      </c>
      <c r="L25">
        <f t="shared" si="4"/>
        <v>18</v>
      </c>
      <c r="M25">
        <v>5</v>
      </c>
      <c r="N25">
        <f t="shared" si="5"/>
        <v>31</v>
      </c>
      <c r="O25">
        <v>8</v>
      </c>
    </row>
    <row r="26" ht="14.25" spans="2:15">
      <c r="B26">
        <f>IFERROR(IF(OR(VLOOKUP(D26,Sheet4!$F$9:$G$245,2,0)="SS",VLOOKUP(D26,Sheet4!$F$9:$G$245,2,0)="S"),2,1),1)</f>
        <v>1</v>
      </c>
      <c r="C26" t="str">
        <f>VLOOKUP(D26,Sheet4!$F$9:$G$245,2,0)</f>
        <v>A</v>
      </c>
      <c r="D26" s="6" t="s">
        <v>29</v>
      </c>
      <c r="E26" t="str">
        <f>VLOOKUP(D26,'50库存'!$C$2:$D$313,2,0)</f>
        <v>50US-GenSuiYa-005</v>
      </c>
      <c r="F26">
        <f>VLOOKUP(E26,'50库存'!$D$2:$U$313,18,0)</f>
        <v>36.99</v>
      </c>
      <c r="G26">
        <f>COUNTIF('50库存'!$C$2:$C$313,D26)</f>
        <v>1</v>
      </c>
      <c r="H26">
        <f>VLOOKUP(E26,'50库存'!$D$2:$U$313,18,0)</f>
        <v>36.99</v>
      </c>
      <c r="I26" s="26" t="s">
        <v>16</v>
      </c>
      <c r="J26">
        <f t="shared" si="3"/>
        <v>14</v>
      </c>
      <c r="K26">
        <v>3</v>
      </c>
      <c r="L26">
        <f t="shared" si="4"/>
        <v>19</v>
      </c>
      <c r="M26">
        <v>5</v>
      </c>
      <c r="N26">
        <f t="shared" si="5"/>
        <v>33</v>
      </c>
      <c r="O26">
        <v>8</v>
      </c>
    </row>
    <row r="27" ht="14.25" spans="2:15">
      <c r="B27">
        <f>IFERROR(IF(OR(VLOOKUP(D27,Sheet4!$F$9:$G$245,2,0)="SS",VLOOKUP(D27,Sheet4!$F$9:$G$245,2,0)="S"),2,1),1)</f>
        <v>1</v>
      </c>
      <c r="C27" t="str">
        <f>VLOOKUP(D27,Sheet4!$F$9:$G$245,2,0)</f>
        <v>A</v>
      </c>
      <c r="D27" s="6" t="s">
        <v>30</v>
      </c>
      <c r="E27" t="str">
        <f>VLOOKUP(D27,'50库存'!$C$2:$D$313,2,0)</f>
        <v>50US-GenSuiYa-006</v>
      </c>
      <c r="F27">
        <f>VLOOKUP(E27,'50库存'!$D$2:$U$313,18,0)</f>
        <v>35.99</v>
      </c>
      <c r="G27">
        <f>COUNTIF('50库存'!$C$2:$C$313,D27)</f>
        <v>1</v>
      </c>
      <c r="H27">
        <f>VLOOKUP(E27,'50库存'!$D$2:$U$313,18,0)</f>
        <v>35.99</v>
      </c>
      <c r="I27" s="26" t="s">
        <v>16</v>
      </c>
      <c r="J27">
        <f t="shared" si="3"/>
        <v>14</v>
      </c>
      <c r="K27">
        <v>3</v>
      </c>
      <c r="L27">
        <f t="shared" si="4"/>
        <v>20</v>
      </c>
      <c r="M27">
        <v>5</v>
      </c>
      <c r="N27">
        <f t="shared" si="5"/>
        <v>34</v>
      </c>
      <c r="O27">
        <v>8</v>
      </c>
    </row>
    <row r="28" ht="14.25" spans="2:15">
      <c r="B28">
        <f>IFERROR(IF(OR(VLOOKUP(D28,Sheet4!$F$9:$G$245,2,0)="SS",VLOOKUP(D28,Sheet4!$F$9:$G$245,2,0)="S"),2,1),1)</f>
        <v>1</v>
      </c>
      <c r="C28" t="str">
        <f>VLOOKUP(D28,Sheet4!$F$9:$G$245,2,0)</f>
        <v>A</v>
      </c>
      <c r="D28" s="11" t="s">
        <v>31</v>
      </c>
      <c r="E28" t="str">
        <f>VLOOKUP(D28,'50库存'!$C$2:$D$313,2,0)</f>
        <v>50-3Ddongwupintu-Shizi1</v>
      </c>
      <c r="F28">
        <f>VLOOKUP(E28,'50库存'!$D$2:$U$313,18,0)</f>
        <v>23.99</v>
      </c>
      <c r="G28">
        <f>COUNTIF('50库存'!$C$2:$C$313,D28)</f>
        <v>1</v>
      </c>
      <c r="H28">
        <f>VLOOKUP(E28,'50库存'!$D$2:$U$313,18,0)</f>
        <v>23.99</v>
      </c>
      <c r="I28" s="26" t="s">
        <v>16</v>
      </c>
      <c r="J28">
        <f t="shared" si="3"/>
        <v>21</v>
      </c>
      <c r="K28">
        <v>3</v>
      </c>
      <c r="L28">
        <f t="shared" si="4"/>
        <v>30</v>
      </c>
      <c r="M28">
        <v>5</v>
      </c>
      <c r="N28">
        <f t="shared" si="5"/>
        <v>51</v>
      </c>
      <c r="O28">
        <v>8</v>
      </c>
    </row>
    <row r="29" ht="14.25" spans="2:15">
      <c r="B29">
        <f>IFERROR(IF(OR(VLOOKUP(D29,Sheet4!$F$9:$G$245,2,0)="SS",VLOOKUP(D29,Sheet4!$F$9:$G$245,2,0)="S"),2,1),1)</f>
        <v>1</v>
      </c>
      <c r="C29" t="str">
        <f>VLOOKUP(D29,Sheet4!$F$9:$G$245,2,0)</f>
        <v>A</v>
      </c>
      <c r="D29" s="11" t="s">
        <v>32</v>
      </c>
      <c r="E29" t="str">
        <f>VLOOKUP(D29,'50库存'!$C$2:$D$313,2,0)</f>
        <v>50-3Ddongwupintu-Lu1</v>
      </c>
      <c r="F29">
        <f>VLOOKUP(E29,'50库存'!$D$2:$U$313,18,0)</f>
        <v>23.99</v>
      </c>
      <c r="G29">
        <f>COUNTIF('50库存'!$C$2:$C$313,D29)</f>
        <v>1</v>
      </c>
      <c r="H29">
        <f>VLOOKUP(E29,'50库存'!$D$2:$U$313,18,0)</f>
        <v>23.99</v>
      </c>
      <c r="I29" s="26" t="s">
        <v>16</v>
      </c>
      <c r="J29">
        <f t="shared" si="3"/>
        <v>21</v>
      </c>
      <c r="K29">
        <v>3</v>
      </c>
      <c r="L29">
        <f t="shared" si="4"/>
        <v>30</v>
      </c>
      <c r="M29">
        <v>5</v>
      </c>
      <c r="N29">
        <f t="shared" si="5"/>
        <v>51</v>
      </c>
      <c r="O29">
        <v>8</v>
      </c>
    </row>
    <row r="30" ht="14.25" spans="2:15">
      <c r="B30">
        <f>IFERROR(IF(OR(VLOOKUP(D30,Sheet4!$F$9:$G$245,2,0)="SS",VLOOKUP(D30,Sheet4!$F$9:$G$245,2,0)="S"),2,1),1)</f>
        <v>1</v>
      </c>
      <c r="C30" t="str">
        <f>VLOOKUP(D30,Sheet4!$F$9:$G$245,2,0)</f>
        <v>A</v>
      </c>
      <c r="D30" s="11" t="s">
        <v>33</v>
      </c>
      <c r="E30" t="str">
        <f>VLOOKUP(D30,'50库存'!$C$2:$D$313,2,0)</f>
        <v>G502GuYuKaChe001</v>
      </c>
      <c r="F30">
        <f>VLOOKUP(E30,'50库存'!$D$2:$U$313,18,0)</f>
        <v>22.99</v>
      </c>
      <c r="G30">
        <f>COUNTIF('50库存'!$C$2:$C$313,D30)</f>
        <v>1</v>
      </c>
      <c r="H30">
        <f>VLOOKUP(E30,'50库存'!$D$2:$U$313,18,0)</f>
        <v>22.99</v>
      </c>
      <c r="I30" s="26" t="s">
        <v>16</v>
      </c>
      <c r="J30">
        <f t="shared" si="3"/>
        <v>22</v>
      </c>
      <c r="K30">
        <v>3</v>
      </c>
      <c r="L30">
        <f t="shared" si="4"/>
        <v>31</v>
      </c>
      <c r="M30">
        <v>5</v>
      </c>
      <c r="N30">
        <f t="shared" si="5"/>
        <v>53</v>
      </c>
      <c r="O30">
        <v>8</v>
      </c>
    </row>
    <row r="31" ht="14.25" spans="2:15">
      <c r="B31">
        <f>IFERROR(IF(OR(VLOOKUP(D31,Sheet4!$F$9:$G$245,2,0)="SS",VLOOKUP(D31,Sheet4!$F$9:$G$245,2,0)="S"),2,1),1)</f>
        <v>1</v>
      </c>
      <c r="C31" t="str">
        <f>VLOOKUP(D31,Sheet4!$F$9:$G$245,2,0)</f>
        <v>A</v>
      </c>
      <c r="D31" s="11" t="s">
        <v>34</v>
      </c>
      <c r="E31" t="str">
        <f>VLOOKUP(D31,'50库存'!$C$2:$D$313,2,0)</f>
        <v>G502GuYuKaChe002</v>
      </c>
      <c r="F31">
        <f>VLOOKUP(E31,'50库存'!$D$2:$U$313,18,0)</f>
        <v>22.99</v>
      </c>
      <c r="G31">
        <f>COUNTIF('50库存'!$C$2:$C$313,D31)</f>
        <v>1</v>
      </c>
      <c r="H31">
        <f>VLOOKUP(E31,'50库存'!$D$2:$U$313,18,0)</f>
        <v>22.99</v>
      </c>
      <c r="I31" s="26" t="s">
        <v>16</v>
      </c>
      <c r="J31">
        <f t="shared" si="3"/>
        <v>22</v>
      </c>
      <c r="K31">
        <v>3</v>
      </c>
      <c r="L31">
        <f t="shared" si="4"/>
        <v>31</v>
      </c>
      <c r="M31">
        <v>5</v>
      </c>
      <c r="N31">
        <f t="shared" si="5"/>
        <v>53</v>
      </c>
      <c r="O31">
        <v>8</v>
      </c>
    </row>
    <row r="32" ht="14.25" spans="2:15">
      <c r="B32">
        <f>IFERROR(IF(OR(VLOOKUP(D32,Sheet4!$F$9:$G$245,2,0)="SS",VLOOKUP(D32,Sheet4!$F$9:$G$245,2,0)="S"),2,1),1)</f>
        <v>1</v>
      </c>
      <c r="C32" t="str">
        <f>VLOOKUP(D32,Sheet4!$F$9:$G$245,2,0)</f>
        <v>A</v>
      </c>
      <c r="D32" s="11" t="s">
        <v>35</v>
      </c>
      <c r="E32" t="str">
        <f>VLOOKUP(D32,'50库存'!$C$2:$D$313,2,0)</f>
        <v>G503GuYuWaJueJi001</v>
      </c>
      <c r="F32">
        <f>VLOOKUP(E32,'50库存'!$D$2:$U$313,18,0)</f>
        <v>23.99</v>
      </c>
      <c r="G32">
        <f>COUNTIF('50库存'!$C$2:$C$313,D32)</f>
        <v>1</v>
      </c>
      <c r="H32">
        <f>VLOOKUP(E32,'50库存'!$D$2:$U$313,18,0)</f>
        <v>23.99</v>
      </c>
      <c r="I32" s="26" t="s">
        <v>16</v>
      </c>
      <c r="J32">
        <f t="shared" si="3"/>
        <v>21</v>
      </c>
      <c r="K32">
        <v>3</v>
      </c>
      <c r="L32">
        <f t="shared" si="4"/>
        <v>30</v>
      </c>
      <c r="M32">
        <v>5</v>
      </c>
      <c r="N32">
        <f t="shared" si="5"/>
        <v>51</v>
      </c>
      <c r="O32">
        <v>8</v>
      </c>
    </row>
    <row r="33" ht="14.25" spans="2:15">
      <c r="B33">
        <f>IFERROR(IF(OR(VLOOKUP(D33,Sheet4!$F$9:$G$245,2,0)="SS",VLOOKUP(D33,Sheet4!$F$9:$G$245,2,0)="S"),2,1),1)</f>
        <v>1</v>
      </c>
      <c r="C33" t="str">
        <f>VLOOKUP(D33,Sheet4!$F$9:$G$245,2,0)</f>
        <v>A</v>
      </c>
      <c r="D33" s="11" t="s">
        <v>36</v>
      </c>
      <c r="E33" t="str">
        <f>VLOOKUP(D33,'50库存'!$C$2:$D$313,2,0)</f>
        <v>G503GuYuWaJueJi002</v>
      </c>
      <c r="F33">
        <f>VLOOKUP(E33,'50库存'!$D$2:$U$313,18,0)</f>
        <v>22.99</v>
      </c>
      <c r="G33">
        <f>COUNTIF('50库存'!$C$2:$C$313,D33)</f>
        <v>1</v>
      </c>
      <c r="H33">
        <f>VLOOKUP(E33,'50库存'!$D$2:$U$313,18,0)</f>
        <v>22.99</v>
      </c>
      <c r="I33" s="26" t="s">
        <v>16</v>
      </c>
      <c r="J33">
        <f t="shared" si="3"/>
        <v>22</v>
      </c>
      <c r="K33">
        <v>3</v>
      </c>
      <c r="L33">
        <f t="shared" si="4"/>
        <v>31</v>
      </c>
      <c r="M33">
        <v>5</v>
      </c>
      <c r="N33">
        <f t="shared" si="5"/>
        <v>53</v>
      </c>
      <c r="O33">
        <v>8</v>
      </c>
    </row>
    <row r="34" ht="14.25" spans="2:15">
      <c r="B34">
        <f>IFERROR(IF(OR(VLOOKUP(D34,Sheet4!$F$9:$G$245,2,0)="SS",VLOOKUP(D34,Sheet4!$F$9:$G$245,2,0)="S"),2,1),1)</f>
        <v>1</v>
      </c>
      <c r="C34" t="e">
        <f>VLOOKUP(D34,Sheet4!$F$9:$G$245,2,0)</f>
        <v>#N/A</v>
      </c>
      <c r="D34" s="28" t="s">
        <v>37</v>
      </c>
      <c r="E34" t="s">
        <v>38</v>
      </c>
      <c r="F34">
        <f>VLOOKUP(E34,'50库存'!$D$2:$U$313,18,0)</f>
        <v>0</v>
      </c>
      <c r="G34" s="29">
        <f>COUNTIF('50库存'!$C$2:$C$313,D34)</f>
        <v>2</v>
      </c>
      <c r="H34">
        <f>VLOOKUP(E34,'50库存'!$D$2:$U$313,18,0)</f>
        <v>0</v>
      </c>
      <c r="I34" s="26" t="s">
        <v>16</v>
      </c>
      <c r="J34" t="e">
        <f t="shared" si="3"/>
        <v>#DIV/0!</v>
      </c>
      <c r="K34">
        <v>3</v>
      </c>
      <c r="L34" t="e">
        <f t="shared" si="4"/>
        <v>#DIV/0!</v>
      </c>
      <c r="M34">
        <v>5</v>
      </c>
      <c r="N34" t="e">
        <f t="shared" si="5"/>
        <v>#DIV/0!</v>
      </c>
      <c r="O34">
        <v>8</v>
      </c>
    </row>
    <row r="35" ht="14.25" spans="2:15">
      <c r="B35">
        <f>IFERROR(IF(OR(VLOOKUP(D35,Sheet4!$F$9:$G$245,2,0)="SS",VLOOKUP(D35,Sheet4!$F$9:$G$245,2,0)="S"),2,1),1)</f>
        <v>1</v>
      </c>
      <c r="C35" t="e">
        <f>VLOOKUP(D35,Sheet4!$F$9:$G$245,2,0)</f>
        <v>#N/A</v>
      </c>
      <c r="D35" s="28" t="s">
        <v>37</v>
      </c>
      <c r="E35" t="s">
        <v>39</v>
      </c>
      <c r="F35">
        <f>VLOOKUP(E35,'50库存'!$D$2:$U$313,18,0)</f>
        <v>19.99</v>
      </c>
      <c r="G35" s="29">
        <f>COUNTIF('50库存'!$C$2:$C$313,D35)</f>
        <v>2</v>
      </c>
      <c r="H35">
        <f>VLOOKUP(E35,'50库存'!$D$2:$U$313,18,0)</f>
        <v>19.99</v>
      </c>
      <c r="I35" s="26" t="s">
        <v>16</v>
      </c>
      <c r="J35">
        <f t="shared" si="3"/>
        <v>26</v>
      </c>
      <c r="K35">
        <v>3</v>
      </c>
      <c r="L35">
        <f t="shared" si="4"/>
        <v>36</v>
      </c>
      <c r="M35">
        <v>5</v>
      </c>
      <c r="N35">
        <f t="shared" si="5"/>
        <v>61</v>
      </c>
      <c r="O35">
        <v>8</v>
      </c>
    </row>
    <row r="36" ht="14.25" spans="2:15">
      <c r="B36">
        <f>IFERROR(IF(OR(VLOOKUP(D36,Sheet4!$F$9:$G$245,2,0)="SS",VLOOKUP(D36,Sheet4!$F$9:$G$245,2,0)="S"),2,1),1)</f>
        <v>1</v>
      </c>
      <c r="C36" t="e">
        <f>VLOOKUP(D36,Sheet4!$F$9:$G$245,2,0)</f>
        <v>#N/A</v>
      </c>
      <c r="D36" s="11" t="s">
        <v>40</v>
      </c>
      <c r="E36" t="str">
        <f>VLOOKUP(D36,'50库存'!$C$2:$D$313,2,0)</f>
        <v>G504Guyuhuoche</v>
      </c>
      <c r="F36">
        <f>VLOOKUP(E36,'50库存'!$D$2:$U$313,18,0)</f>
        <v>20.99</v>
      </c>
      <c r="G36">
        <f>COUNTIF('50库存'!$C$2:$C$313,D36)</f>
        <v>1</v>
      </c>
      <c r="H36">
        <f>VLOOKUP(E36,'50库存'!$D$2:$U$313,18,0)</f>
        <v>20.99</v>
      </c>
      <c r="I36" s="26" t="s">
        <v>16</v>
      </c>
      <c r="J36">
        <f t="shared" si="3"/>
        <v>24</v>
      </c>
      <c r="K36">
        <v>3</v>
      </c>
      <c r="L36">
        <f t="shared" si="4"/>
        <v>34</v>
      </c>
      <c r="M36">
        <v>5</v>
      </c>
      <c r="N36">
        <f t="shared" si="5"/>
        <v>58</v>
      </c>
      <c r="O36">
        <v>8</v>
      </c>
    </row>
    <row r="37" ht="14.25" spans="2:15">
      <c r="B37">
        <f>IFERROR(IF(OR(VLOOKUP(D37,Sheet4!$F$9:$G$245,2,0)="SS",VLOOKUP(D37,Sheet4!$F$9:$G$245,2,0)="S"),2,1),1)</f>
        <v>1</v>
      </c>
      <c r="C37" t="e">
        <f>VLOOKUP(D37,Sheet4!$F$9:$G$245,2,0)</f>
        <v>#N/A</v>
      </c>
      <c r="D37" s="28" t="s">
        <v>41</v>
      </c>
      <c r="E37" t="s">
        <v>42</v>
      </c>
      <c r="F37">
        <f>VLOOKUP(E37,'50库存'!$D$2:$U$313,18,0)</f>
        <v>0</v>
      </c>
      <c r="G37" s="29">
        <f>COUNTIF('50库存'!$C$2:$C$313,D37)</f>
        <v>2</v>
      </c>
      <c r="H37">
        <f>VLOOKUP(E37,'50库存'!$D$2:$U$313,18,0)</f>
        <v>0</v>
      </c>
      <c r="I37" s="26" t="s">
        <v>16</v>
      </c>
      <c r="J37" t="e">
        <f t="shared" si="3"/>
        <v>#DIV/0!</v>
      </c>
      <c r="K37">
        <v>3</v>
      </c>
      <c r="L37" t="e">
        <f t="shared" si="4"/>
        <v>#DIV/0!</v>
      </c>
      <c r="M37">
        <v>5</v>
      </c>
      <c r="N37" t="e">
        <f t="shared" si="5"/>
        <v>#DIV/0!</v>
      </c>
      <c r="O37">
        <v>8</v>
      </c>
    </row>
    <row r="38" ht="14.25" spans="2:15">
      <c r="D38" s="28" t="s">
        <v>41</v>
      </c>
      <c r="E38" t="s">
        <v>43</v>
      </c>
      <c r="F38">
        <f>VLOOKUP(E38,'50库存'!$D$2:$U$313,18,0)</f>
        <v>0</v>
      </c>
      <c r="G38" s="29">
        <f>COUNTIF('50库存'!$C$2:$C$313,D38)</f>
        <v>2</v>
      </c>
      <c r="H38">
        <f>VLOOKUP(E38,'50库存'!$D$2:$U$313,18,0)</f>
        <v>0</v>
      </c>
      <c r="I38" s="26" t="s">
        <v>16</v>
      </c>
      <c r="J38" t="e">
        <f t="shared" si="3"/>
        <v>#DIV/0!</v>
      </c>
      <c r="K38">
        <v>3</v>
      </c>
      <c r="L38" t="e">
        <f t="shared" si="4"/>
        <v>#DIV/0!</v>
      </c>
      <c r="M38">
        <v>5</v>
      </c>
      <c r="N38" t="e">
        <f t="shared" si="5"/>
        <v>#DIV/0!</v>
      </c>
      <c r="O38">
        <v>8</v>
      </c>
    </row>
    <row r="39" ht="14.25" spans="2:15">
      <c r="B39">
        <f>IFERROR(IF(OR(VLOOKUP(D39,Sheet4!$F$9:$G$245,2,0)="SS",VLOOKUP(D39,Sheet4!$F$9:$G$245,2,0)="S"),2,1),1)</f>
        <v>1</v>
      </c>
      <c r="C39" t="str">
        <f>VLOOKUP(D39,Sheet4!$F$9:$G$245,2,0)</f>
        <v>A</v>
      </c>
      <c r="D39" s="30" t="s">
        <v>44</v>
      </c>
      <c r="E39" t="str">
        <f>VLOOKUP(D39,'50库存'!$C$2:$D$313,2,0)</f>
        <v>50US-HanBaoJi-002</v>
      </c>
      <c r="F39">
        <f>VLOOKUP(E39,'50库存'!$D$2:$U$313,18,0)</f>
        <v>36.99</v>
      </c>
      <c r="G39">
        <f>COUNTIF('50库存'!$C$2:$C$313,D39)</f>
        <v>1</v>
      </c>
      <c r="H39">
        <f>VLOOKUP(E39,'50库存'!$D$2:$U$313,18,0)</f>
        <v>36.99</v>
      </c>
      <c r="I39" s="26" t="s">
        <v>16</v>
      </c>
      <c r="J39">
        <f t="shared" si="3"/>
        <v>14</v>
      </c>
      <c r="K39">
        <v>3</v>
      </c>
      <c r="L39">
        <f t="shared" si="4"/>
        <v>19</v>
      </c>
      <c r="M39">
        <v>5</v>
      </c>
      <c r="N39">
        <f t="shared" si="5"/>
        <v>33</v>
      </c>
      <c r="O39">
        <v>8</v>
      </c>
    </row>
    <row r="40" ht="14.25" spans="2:15">
      <c r="B40">
        <f>IFERROR(IF(OR(VLOOKUP(D40,Sheet4!$F$9:$G$245,2,0)="SS",VLOOKUP(D40,Sheet4!$F$9:$G$245,2,0)="S"),2,1),1)</f>
        <v>1</v>
      </c>
      <c r="C40" t="str">
        <f>VLOOKUP(D40,Sheet4!$F$9:$G$245,2,0)</f>
        <v>A</v>
      </c>
      <c r="D40" s="6" t="s">
        <v>45</v>
      </c>
      <c r="E40" t="str">
        <f>VLOOKUP(D40,'50库存'!$C$2:$D$313,2,0)</f>
        <v>50US-HanBaoJi-003</v>
      </c>
      <c r="F40">
        <f>VLOOKUP(E40,'50库存'!$D$2:$U$313,18,0)</f>
        <v>38.99</v>
      </c>
      <c r="G40">
        <f>COUNTIF('50库存'!$C$2:$C$313,D40)</f>
        <v>1</v>
      </c>
      <c r="H40">
        <f>VLOOKUP(E40,'50库存'!$D$2:$U$313,18,0)</f>
        <v>38.99</v>
      </c>
      <c r="I40" s="26" t="s">
        <v>16</v>
      </c>
      <c r="J40">
        <f t="shared" si="3"/>
        <v>13</v>
      </c>
      <c r="K40">
        <v>3</v>
      </c>
      <c r="L40">
        <f t="shared" si="4"/>
        <v>18</v>
      </c>
      <c r="M40">
        <v>5</v>
      </c>
      <c r="N40">
        <f t="shared" si="5"/>
        <v>31</v>
      </c>
      <c r="O40">
        <v>8</v>
      </c>
    </row>
    <row r="41" ht="14.25" spans="2:15">
      <c r="B41">
        <f>IFERROR(IF(OR(VLOOKUP(D41,Sheet4!$F$9:$G$245,2,0)="SS",VLOOKUP(D41,Sheet4!$F$9:$G$245,2,0)="S"),2,1),1)</f>
        <v>1</v>
      </c>
      <c r="C41" t="str">
        <f>VLOOKUP(D41,Sheet4!$F$9:$G$245,2,0)</f>
        <v>P</v>
      </c>
      <c r="D41" s="6" t="s">
        <v>46</v>
      </c>
      <c r="E41" t="str">
        <f>VLOOKUP(D41,'50库存'!$C$2:$D$313,2,0)</f>
        <v>YinErTanSheTouLanJi-0001</v>
      </c>
      <c r="F41">
        <f>VLOOKUP(E41,'50库存'!$D$2:$U$313,18,0)</f>
        <v>29.99</v>
      </c>
      <c r="G41">
        <f>COUNTIF('50库存'!$C$2:$C$313,D41)</f>
        <v>1</v>
      </c>
      <c r="H41">
        <f>VLOOKUP(E41,'50库存'!$D$2:$U$313,18,0)</f>
        <v>29.99</v>
      </c>
      <c r="I41" s="26" t="s">
        <v>16</v>
      </c>
      <c r="J41">
        <f t="shared" si="3"/>
        <v>17</v>
      </c>
      <c r="K41">
        <v>3</v>
      </c>
      <c r="L41">
        <f t="shared" si="4"/>
        <v>24</v>
      </c>
      <c r="M41">
        <v>5</v>
      </c>
      <c r="N41">
        <f t="shared" si="5"/>
        <v>41</v>
      </c>
      <c r="O41">
        <v>8</v>
      </c>
    </row>
    <row r="42" ht="14.25" spans="2:15">
      <c r="B42">
        <f>IFERROR(IF(OR(VLOOKUP(D42,Sheet4!$F$9:$G$245,2,0)="SS",VLOOKUP(D42,Sheet4!$F$9:$G$245,2,0)="S"),2,1),1)</f>
        <v>1</v>
      </c>
      <c r="C42" t="e">
        <f>VLOOKUP(D42,Sheet4!$F$9:$G$245,2,0)</f>
        <v>#N/A</v>
      </c>
      <c r="D42" s="31" t="s">
        <v>47</v>
      </c>
      <c r="E42" s="29" t="str">
        <f>VLOOKUP(D42,'50库存'!$C$2:$D$313,2,0)</f>
        <v>50US-DuiDieKongLong-003</v>
      </c>
      <c r="F42">
        <f>VLOOKUP(E42,'50库存'!$D$2:$U$313,18,0)</f>
        <v>0</v>
      </c>
      <c r="G42" s="29">
        <f>COUNTIF('50库存'!$C$2:$C$313,D42)</f>
        <v>1</v>
      </c>
      <c r="H42">
        <f>VLOOKUP(E42,'50库存'!$D$2:$U$313,18,0)</f>
        <v>0</v>
      </c>
      <c r="I42" s="26" t="s">
        <v>16</v>
      </c>
      <c r="J42" t="e">
        <f t="shared" si="3"/>
        <v>#DIV/0!</v>
      </c>
      <c r="K42">
        <v>3</v>
      </c>
      <c r="L42" t="e">
        <f t="shared" si="4"/>
        <v>#DIV/0!</v>
      </c>
      <c r="M42">
        <v>5</v>
      </c>
      <c r="N42" t="e">
        <f t="shared" si="5"/>
        <v>#DIV/0!</v>
      </c>
      <c r="O42">
        <v>8</v>
      </c>
    </row>
    <row r="43" ht="14.25" spans="2:15">
      <c r="B43">
        <f>IFERROR(IF(OR(VLOOKUP(D43,Sheet4!$F$9:$G$245,2,0)="SS",VLOOKUP(D43,Sheet4!$F$9:$G$245,2,0)="S"),2,1),1)</f>
        <v>1</v>
      </c>
      <c r="C43" t="e">
        <f>VLOOKUP(D43,Sheet4!$F$9:$G$245,2,0)</f>
        <v>#N/A</v>
      </c>
      <c r="D43" s="6" t="s">
        <v>48</v>
      </c>
      <c r="E43" t="str">
        <f>VLOOKUP(D43,'50库存'!$C$2:$D$313,2,0)</f>
        <v>50US-DuiDieKongLong-007</v>
      </c>
      <c r="F43">
        <f>VLOOKUP(E43,'50库存'!$D$2:$U$313,18,0)</f>
        <v>36.99</v>
      </c>
      <c r="G43">
        <f>COUNTIF('50库存'!$C$2:$C$313,D43)</f>
        <v>1</v>
      </c>
      <c r="H43">
        <f>VLOOKUP(E43,'50库存'!$D$2:$U$313,18,0)</f>
        <v>36.99</v>
      </c>
      <c r="I43" s="26" t="s">
        <v>16</v>
      </c>
      <c r="J43">
        <f t="shared" si="3"/>
        <v>14</v>
      </c>
      <c r="K43">
        <v>3</v>
      </c>
      <c r="L43">
        <f t="shared" si="4"/>
        <v>19</v>
      </c>
      <c r="M43">
        <v>5</v>
      </c>
      <c r="N43">
        <f t="shared" si="5"/>
        <v>33</v>
      </c>
      <c r="O43">
        <v>8</v>
      </c>
    </row>
    <row r="44" ht="14.25" spans="2:15">
      <c r="B44">
        <f>IFERROR(IF(OR(VLOOKUP(D44,Sheet4!$F$9:$G$245,2,0)="SS",VLOOKUP(D44,Sheet4!$F$9:$G$245,2,0)="S"),2,1),1)</f>
        <v>1</v>
      </c>
      <c r="C44" t="e">
        <f>VLOOKUP(D44,Sheet4!$F$9:$G$245,2,0)</f>
        <v>#N/A</v>
      </c>
      <c r="D44" t="s">
        <v>49</v>
      </c>
      <c r="F44">
        <v>39.99</v>
      </c>
      <c r="G44">
        <f>COUNTIF('50库存'!$C$2:$C$313,D44)</f>
        <v>0</v>
      </c>
      <c r="H44">
        <v>39.99</v>
      </c>
      <c r="I44" s="26" t="s">
        <v>16</v>
      </c>
      <c r="J44">
        <f t="shared" si="3"/>
        <v>13</v>
      </c>
      <c r="K44">
        <v>3</v>
      </c>
      <c r="L44">
        <f t="shared" si="4"/>
        <v>18</v>
      </c>
      <c r="M44">
        <v>5</v>
      </c>
      <c r="N44">
        <f t="shared" si="5"/>
        <v>31</v>
      </c>
      <c r="O44">
        <v>8</v>
      </c>
    </row>
    <row r="45" spans="2:15">
      <c r="C45" s="6"/>
      <c r="D45" s="6"/>
    </row>
    <row r="46" spans="2:15">
      <c r="C46" s="6"/>
      <c r="D46" s="6"/>
    </row>
    <row r="47" spans="2:15">
      <c r="C47" s="6"/>
      <c r="D47" s="6"/>
    </row>
    <row r="48" spans="2:15">
      <c r="C48" s="6"/>
      <c r="D48" s="6" t="s">
        <v>50</v>
      </c>
    </row>
    <row r="49" ht="14.25" spans="3:15">
      <c r="C49" s="11"/>
      <c r="D49" s="11" t="s">
        <v>15</v>
      </c>
      <c r="E49" t="s">
        <v>51</v>
      </c>
      <c r="F49">
        <v>25.74</v>
      </c>
      <c r="G49">
        <v>1</v>
      </c>
      <c r="H49">
        <v>25.74</v>
      </c>
      <c r="I49" s="26" t="s">
        <v>16</v>
      </c>
      <c r="J49">
        <v>20</v>
      </c>
      <c r="K49">
        <v>3</v>
      </c>
      <c r="L49">
        <v>28</v>
      </c>
      <c r="M49">
        <v>5</v>
      </c>
      <c r="N49">
        <v>47</v>
      </c>
      <c r="O49">
        <v>8</v>
      </c>
    </row>
    <row r="50" ht="14.25" spans="3:15">
      <c r="C50" s="11"/>
      <c r="D50" s="11" t="s">
        <v>17</v>
      </c>
      <c r="E50" t="s">
        <v>52</v>
      </c>
      <c r="F50">
        <v>29.99</v>
      </c>
      <c r="G50">
        <v>1</v>
      </c>
      <c r="H50">
        <v>29.99</v>
      </c>
      <c r="I50" s="26" t="s">
        <v>16</v>
      </c>
      <c r="J50">
        <v>17</v>
      </c>
      <c r="K50">
        <v>3</v>
      </c>
      <c r="L50">
        <v>24</v>
      </c>
      <c r="M50">
        <v>5</v>
      </c>
      <c r="N50">
        <v>41</v>
      </c>
      <c r="O50">
        <v>8</v>
      </c>
    </row>
    <row r="51" ht="14.25" spans="3:15">
      <c r="C51" s="11"/>
      <c r="D51" s="11" t="s">
        <v>18</v>
      </c>
      <c r="E51" t="s">
        <v>53</v>
      </c>
      <c r="F51">
        <v>19.99</v>
      </c>
      <c r="G51">
        <v>1</v>
      </c>
      <c r="H51">
        <v>19.99</v>
      </c>
      <c r="I51" s="26" t="s">
        <v>16</v>
      </c>
      <c r="J51">
        <v>26</v>
      </c>
      <c r="K51">
        <v>3</v>
      </c>
      <c r="L51">
        <v>36</v>
      </c>
      <c r="M51">
        <v>5</v>
      </c>
      <c r="N51">
        <v>61</v>
      </c>
      <c r="O51">
        <v>8</v>
      </c>
    </row>
    <row r="52" ht="14.25" spans="3:15">
      <c r="C52" s="11"/>
      <c r="D52" s="11" t="s">
        <v>19</v>
      </c>
      <c r="E52" t="s">
        <v>54</v>
      </c>
      <c r="F52">
        <v>18.99</v>
      </c>
      <c r="G52">
        <v>1</v>
      </c>
      <c r="H52">
        <v>18.99</v>
      </c>
      <c r="I52" s="26" t="s">
        <v>16</v>
      </c>
      <c r="J52">
        <v>27</v>
      </c>
      <c r="K52">
        <v>3</v>
      </c>
      <c r="L52">
        <v>37</v>
      </c>
      <c r="M52">
        <v>5</v>
      </c>
      <c r="N52">
        <v>64</v>
      </c>
      <c r="O52">
        <v>8</v>
      </c>
    </row>
    <row r="53" ht="14.25" spans="3:15">
      <c r="C53" s="11"/>
      <c r="D53" s="11" t="s">
        <v>20</v>
      </c>
      <c r="E53" t="s">
        <v>21</v>
      </c>
      <c r="F53">
        <v>43.37</v>
      </c>
      <c r="G53">
        <v>3</v>
      </c>
      <c r="H53">
        <v>43.37</v>
      </c>
      <c r="I53" s="26" t="s">
        <v>16</v>
      </c>
      <c r="J53">
        <v>12</v>
      </c>
      <c r="K53">
        <v>3</v>
      </c>
      <c r="L53">
        <v>17</v>
      </c>
      <c r="M53">
        <v>5</v>
      </c>
      <c r="N53">
        <v>28</v>
      </c>
      <c r="O53">
        <v>8</v>
      </c>
    </row>
    <row r="54" ht="14.25" spans="3:15">
      <c r="C54" s="11"/>
      <c r="D54" s="11" t="s">
        <v>20</v>
      </c>
      <c r="E54" t="s">
        <v>22</v>
      </c>
      <c r="F54">
        <v>43.39</v>
      </c>
      <c r="H54">
        <v>43.39</v>
      </c>
      <c r="I54" s="26" t="s">
        <v>16</v>
      </c>
      <c r="J54">
        <v>12</v>
      </c>
      <c r="K54">
        <v>3</v>
      </c>
      <c r="L54">
        <v>17</v>
      </c>
      <c r="M54">
        <v>5</v>
      </c>
      <c r="N54">
        <v>28</v>
      </c>
      <c r="O54">
        <v>8</v>
      </c>
    </row>
    <row r="55" ht="14.25" spans="3:15">
      <c r="C55" s="11"/>
      <c r="D55" s="11" t="s">
        <v>20</v>
      </c>
      <c r="E55" t="s">
        <v>23</v>
      </c>
      <c r="F55">
        <v>0</v>
      </c>
      <c r="H55">
        <v>0</v>
      </c>
      <c r="I55" s="26" t="s">
        <v>16</v>
      </c>
      <c r="J55" t="e">
        <v>#DIV/0!</v>
      </c>
      <c r="K55">
        <v>3</v>
      </c>
      <c r="L55" t="e">
        <v>#DIV/0!</v>
      </c>
      <c r="M55">
        <v>5</v>
      </c>
      <c r="N55" t="e">
        <v>#DIV/0!</v>
      </c>
      <c r="O55">
        <v>8</v>
      </c>
    </row>
    <row r="56" ht="14.25" spans="3:15">
      <c r="C56" s="11"/>
      <c r="D56" s="11" t="s">
        <v>24</v>
      </c>
      <c r="E56" t="s">
        <v>25</v>
      </c>
      <c r="F56">
        <v>43.99</v>
      </c>
      <c r="G56">
        <v>2</v>
      </c>
      <c r="H56">
        <v>43.99</v>
      </c>
      <c r="I56" s="26" t="s">
        <v>16</v>
      </c>
      <c r="J56">
        <v>12</v>
      </c>
      <c r="K56">
        <v>3</v>
      </c>
      <c r="L56">
        <v>16</v>
      </c>
      <c r="M56">
        <v>5</v>
      </c>
      <c r="N56">
        <v>28</v>
      </c>
      <c r="O56">
        <v>8</v>
      </c>
    </row>
    <row r="57" ht="14.25" spans="3:15">
      <c r="C57" s="11"/>
      <c r="D57" s="11" t="s">
        <v>24</v>
      </c>
      <c r="E57" t="s">
        <v>26</v>
      </c>
      <c r="F57">
        <v>0</v>
      </c>
      <c r="H57">
        <v>0</v>
      </c>
      <c r="I57" s="26" t="s">
        <v>16</v>
      </c>
      <c r="J57" t="e">
        <v>#DIV/0!</v>
      </c>
      <c r="K57">
        <v>3</v>
      </c>
      <c r="L57" t="e">
        <v>#DIV/0!</v>
      </c>
      <c r="M57">
        <v>5</v>
      </c>
      <c r="N57" t="e">
        <v>#DIV/0!</v>
      </c>
      <c r="O57">
        <v>8</v>
      </c>
    </row>
    <row r="58" ht="14.25" spans="3:15">
      <c r="C58" s="30"/>
      <c r="D58" s="30" t="s">
        <v>27</v>
      </c>
      <c r="E58" t="s">
        <v>55</v>
      </c>
      <c r="F58">
        <v>39.99</v>
      </c>
      <c r="G58">
        <v>1</v>
      </c>
      <c r="H58">
        <v>39.99</v>
      </c>
      <c r="I58" s="26" t="s">
        <v>16</v>
      </c>
      <c r="J58">
        <v>13</v>
      </c>
      <c r="K58">
        <v>3</v>
      </c>
      <c r="L58">
        <v>18</v>
      </c>
      <c r="M58">
        <v>5</v>
      </c>
      <c r="N58">
        <v>31</v>
      </c>
      <c r="O58">
        <v>8</v>
      </c>
    </row>
    <row r="59" ht="14.25" spans="3:15">
      <c r="C59" s="6"/>
      <c r="D59" s="6" t="s">
        <v>28</v>
      </c>
      <c r="E59" t="s">
        <v>56</v>
      </c>
      <c r="F59">
        <v>39.99</v>
      </c>
      <c r="G59">
        <v>1</v>
      </c>
      <c r="H59">
        <v>39.99</v>
      </c>
      <c r="I59" s="26" t="s">
        <v>16</v>
      </c>
      <c r="J59">
        <v>13</v>
      </c>
      <c r="K59">
        <v>3</v>
      </c>
      <c r="L59">
        <v>18</v>
      </c>
      <c r="M59">
        <v>5</v>
      </c>
      <c r="N59">
        <v>31</v>
      </c>
      <c r="O59">
        <v>8</v>
      </c>
    </row>
    <row r="60" ht="14.25" spans="3:15">
      <c r="C60" s="6"/>
      <c r="D60" s="6" t="s">
        <v>29</v>
      </c>
      <c r="E60" t="s">
        <v>57</v>
      </c>
      <c r="F60">
        <v>36.99</v>
      </c>
      <c r="G60">
        <v>1</v>
      </c>
      <c r="H60">
        <v>36.99</v>
      </c>
      <c r="I60" s="26" t="s">
        <v>16</v>
      </c>
      <c r="J60">
        <v>14</v>
      </c>
      <c r="K60">
        <v>3</v>
      </c>
      <c r="L60">
        <v>19</v>
      </c>
      <c r="M60">
        <v>5</v>
      </c>
      <c r="N60">
        <v>33</v>
      </c>
      <c r="O60">
        <v>8</v>
      </c>
    </row>
    <row r="61" ht="14.25" spans="3:15">
      <c r="C61" s="6"/>
      <c r="D61" s="6" t="s">
        <v>30</v>
      </c>
      <c r="E61" t="s">
        <v>58</v>
      </c>
      <c r="F61">
        <v>35.99</v>
      </c>
      <c r="G61">
        <v>1</v>
      </c>
      <c r="H61">
        <v>35.99</v>
      </c>
      <c r="I61" s="26" t="s">
        <v>16</v>
      </c>
      <c r="J61">
        <v>14</v>
      </c>
      <c r="K61">
        <v>3</v>
      </c>
      <c r="L61">
        <v>20</v>
      </c>
      <c r="M61">
        <v>5</v>
      </c>
      <c r="N61">
        <v>34</v>
      </c>
      <c r="O61">
        <v>8</v>
      </c>
    </row>
    <row r="62" ht="14.25" spans="3:15">
      <c r="C62" s="6"/>
      <c r="D62" s="6" t="s">
        <v>31</v>
      </c>
      <c r="E62" t="s">
        <v>59</v>
      </c>
      <c r="F62">
        <v>23.99</v>
      </c>
      <c r="G62">
        <v>1</v>
      </c>
      <c r="H62">
        <v>23.99</v>
      </c>
      <c r="I62" s="26" t="s">
        <v>16</v>
      </c>
      <c r="J62">
        <v>21</v>
      </c>
      <c r="K62">
        <v>3</v>
      </c>
      <c r="L62">
        <v>30</v>
      </c>
      <c r="M62">
        <v>5</v>
      </c>
      <c r="N62">
        <v>51</v>
      </c>
      <c r="O62">
        <v>8</v>
      </c>
    </row>
    <row r="63" ht="14.25" spans="3:15">
      <c r="D63" t="s">
        <v>32</v>
      </c>
      <c r="E63" t="s">
        <v>60</v>
      </c>
      <c r="F63">
        <v>23.99</v>
      </c>
      <c r="G63">
        <v>1</v>
      </c>
      <c r="H63">
        <v>23.99</v>
      </c>
      <c r="I63" s="26" t="s">
        <v>16</v>
      </c>
      <c r="J63">
        <v>21</v>
      </c>
      <c r="K63">
        <v>3</v>
      </c>
      <c r="L63">
        <v>30</v>
      </c>
      <c r="M63">
        <v>5</v>
      </c>
      <c r="N63">
        <v>51</v>
      </c>
      <c r="O63">
        <v>8</v>
      </c>
    </row>
    <row r="64" ht="14.25" spans="3:15">
      <c r="D64" t="s">
        <v>33</v>
      </c>
      <c r="E64" t="s">
        <v>61</v>
      </c>
      <c r="F64">
        <v>22.99</v>
      </c>
      <c r="G64">
        <v>1</v>
      </c>
      <c r="H64">
        <v>22.99</v>
      </c>
      <c r="I64" s="26" t="s">
        <v>16</v>
      </c>
      <c r="J64">
        <v>22</v>
      </c>
      <c r="K64">
        <v>3</v>
      </c>
      <c r="L64">
        <v>31</v>
      </c>
      <c r="M64">
        <v>5</v>
      </c>
      <c r="N64">
        <v>53</v>
      </c>
      <c r="O64">
        <v>8</v>
      </c>
    </row>
    <row r="65" ht="14.25" spans="4:15">
      <c r="D65" t="s">
        <v>34</v>
      </c>
      <c r="E65" t="s">
        <v>62</v>
      </c>
      <c r="F65">
        <v>22.99</v>
      </c>
      <c r="G65">
        <v>1</v>
      </c>
      <c r="H65">
        <v>22.99</v>
      </c>
      <c r="I65" s="26" t="s">
        <v>16</v>
      </c>
      <c r="J65">
        <v>22</v>
      </c>
      <c r="K65">
        <v>3</v>
      </c>
      <c r="L65">
        <v>31</v>
      </c>
      <c r="M65">
        <v>5</v>
      </c>
      <c r="N65">
        <v>53</v>
      </c>
      <c r="O65">
        <v>8</v>
      </c>
    </row>
    <row r="66" ht="14.25" spans="4:15">
      <c r="D66" t="s">
        <v>35</v>
      </c>
      <c r="E66" t="s">
        <v>63</v>
      </c>
      <c r="F66">
        <v>23.99</v>
      </c>
      <c r="G66">
        <v>1</v>
      </c>
      <c r="H66">
        <v>23.99</v>
      </c>
      <c r="I66" s="26" t="s">
        <v>16</v>
      </c>
      <c r="J66">
        <v>21</v>
      </c>
      <c r="K66">
        <v>3</v>
      </c>
      <c r="L66">
        <v>30</v>
      </c>
      <c r="M66">
        <v>5</v>
      </c>
      <c r="N66">
        <v>51</v>
      </c>
      <c r="O66">
        <v>8</v>
      </c>
    </row>
    <row r="67" ht="14.25" spans="4:15">
      <c r="D67" t="s">
        <v>36</v>
      </c>
      <c r="E67" t="s">
        <v>64</v>
      </c>
      <c r="F67">
        <v>22.99</v>
      </c>
      <c r="G67">
        <v>1</v>
      </c>
      <c r="H67">
        <v>22.99</v>
      </c>
      <c r="I67" s="26" t="s">
        <v>16</v>
      </c>
      <c r="J67">
        <v>22</v>
      </c>
      <c r="K67">
        <v>3</v>
      </c>
      <c r="L67">
        <v>31</v>
      </c>
      <c r="M67">
        <v>5</v>
      </c>
      <c r="N67">
        <v>53</v>
      </c>
      <c r="O67">
        <v>8</v>
      </c>
    </row>
    <row r="68" spans="4:15">
      <c r="D68" t="s">
        <v>37</v>
      </c>
      <c r="E68" t="s">
        <v>38</v>
      </c>
      <c r="F68">
        <v>0</v>
      </c>
      <c r="G68">
        <v>2</v>
      </c>
      <c r="H68">
        <v>0</v>
      </c>
      <c r="I68" t="s">
        <v>16</v>
      </c>
      <c r="J68" t="e">
        <v>#DIV/0!</v>
      </c>
      <c r="K68">
        <v>3</v>
      </c>
      <c r="L68" t="e">
        <v>#DIV/0!</v>
      </c>
      <c r="M68">
        <v>5</v>
      </c>
      <c r="N68" t="e">
        <v>#DIV/0!</v>
      </c>
      <c r="O68">
        <v>8</v>
      </c>
    </row>
    <row r="69" spans="4:15">
      <c r="D69" t="s">
        <v>37</v>
      </c>
      <c r="E69" t="s">
        <v>39</v>
      </c>
      <c r="F69">
        <v>19.99</v>
      </c>
      <c r="G69">
        <v>2</v>
      </c>
      <c r="H69">
        <v>19.99</v>
      </c>
      <c r="I69" t="s">
        <v>16</v>
      </c>
      <c r="J69">
        <v>26</v>
      </c>
      <c r="K69">
        <v>3</v>
      </c>
      <c r="L69">
        <v>36</v>
      </c>
      <c r="M69">
        <v>5</v>
      </c>
      <c r="N69">
        <v>61</v>
      </c>
      <c r="O69">
        <v>8</v>
      </c>
    </row>
    <row r="70" spans="4:15">
      <c r="D70" t="s">
        <v>40</v>
      </c>
      <c r="E70" t="s">
        <v>65</v>
      </c>
      <c r="F70">
        <v>20.99</v>
      </c>
      <c r="G70">
        <v>1</v>
      </c>
      <c r="H70">
        <v>20.99</v>
      </c>
      <c r="I70" t="s">
        <v>16</v>
      </c>
      <c r="J70">
        <v>24</v>
      </c>
      <c r="K70">
        <v>3</v>
      </c>
      <c r="L70">
        <v>34</v>
      </c>
      <c r="M70">
        <v>5</v>
      </c>
      <c r="N70">
        <v>58</v>
      </c>
      <c r="O70">
        <v>8</v>
      </c>
    </row>
    <row r="71" spans="4:15">
      <c r="D71" t="s">
        <v>41</v>
      </c>
      <c r="E71" t="s">
        <v>42</v>
      </c>
      <c r="F71">
        <v>0</v>
      </c>
      <c r="G71">
        <v>2</v>
      </c>
      <c r="H71">
        <v>0</v>
      </c>
      <c r="I71" t="s">
        <v>16</v>
      </c>
      <c r="J71" t="e">
        <v>#DIV/0!</v>
      </c>
      <c r="K71">
        <v>3</v>
      </c>
      <c r="L71" t="e">
        <v>#DIV/0!</v>
      </c>
      <c r="M71">
        <v>5</v>
      </c>
      <c r="N71" t="e">
        <v>#DIV/0!</v>
      </c>
      <c r="O71">
        <v>8</v>
      </c>
    </row>
    <row r="72" spans="4:15">
      <c r="D72" t="s">
        <v>44</v>
      </c>
      <c r="E72" t="s">
        <v>66</v>
      </c>
      <c r="F72">
        <v>36.99</v>
      </c>
      <c r="G72">
        <v>1</v>
      </c>
      <c r="H72">
        <v>36.99</v>
      </c>
      <c r="I72" t="s">
        <v>16</v>
      </c>
      <c r="J72">
        <v>14</v>
      </c>
      <c r="K72">
        <v>3</v>
      </c>
      <c r="L72">
        <v>19</v>
      </c>
      <c r="M72">
        <v>5</v>
      </c>
      <c r="N72">
        <v>33</v>
      </c>
      <c r="O72">
        <v>8</v>
      </c>
    </row>
    <row r="73" spans="4:15">
      <c r="D73" t="s">
        <v>45</v>
      </c>
      <c r="E73" t="s">
        <v>67</v>
      </c>
      <c r="F73">
        <v>38.99</v>
      </c>
      <c r="G73">
        <v>1</v>
      </c>
      <c r="H73">
        <v>38.99</v>
      </c>
      <c r="I73" t="s">
        <v>16</v>
      </c>
      <c r="J73">
        <v>13</v>
      </c>
      <c r="K73">
        <v>3</v>
      </c>
      <c r="L73">
        <v>18</v>
      </c>
      <c r="M73">
        <v>5</v>
      </c>
      <c r="N73">
        <v>31</v>
      </c>
      <c r="O73">
        <v>8</v>
      </c>
    </row>
    <row r="74" spans="4:15">
      <c r="D74" t="s">
        <v>46</v>
      </c>
      <c r="E74" t="s">
        <v>68</v>
      </c>
      <c r="F74">
        <v>29.99</v>
      </c>
      <c r="G74">
        <v>1</v>
      </c>
      <c r="H74">
        <v>29.99</v>
      </c>
      <c r="I74" t="s">
        <v>16</v>
      </c>
      <c r="J74">
        <v>17</v>
      </c>
      <c r="K74">
        <v>3</v>
      </c>
      <c r="L74">
        <v>24</v>
      </c>
      <c r="M74">
        <v>5</v>
      </c>
      <c r="N74">
        <v>41</v>
      </c>
      <c r="O74">
        <v>8</v>
      </c>
    </row>
    <row r="75" spans="4:15">
      <c r="D75" t="s">
        <v>47</v>
      </c>
      <c r="E75" t="s">
        <v>69</v>
      </c>
      <c r="F75">
        <v>0</v>
      </c>
      <c r="G75">
        <v>1</v>
      </c>
      <c r="H75">
        <v>0</v>
      </c>
      <c r="I75" t="s">
        <v>16</v>
      </c>
      <c r="J75" t="e">
        <v>#DIV/0!</v>
      </c>
      <c r="K75">
        <v>3</v>
      </c>
      <c r="L75" t="e">
        <v>#DIV/0!</v>
      </c>
      <c r="M75">
        <v>5</v>
      </c>
      <c r="N75" t="e">
        <v>#DIV/0!</v>
      </c>
      <c r="O75">
        <v>8</v>
      </c>
    </row>
    <row r="76" spans="4:15">
      <c r="D76" t="s">
        <v>48</v>
      </c>
      <c r="E76" t="s">
        <v>70</v>
      </c>
      <c r="F76">
        <v>36.99</v>
      </c>
      <c r="G76">
        <v>1</v>
      </c>
      <c r="H76">
        <v>36.99</v>
      </c>
      <c r="I76" t="s">
        <v>16</v>
      </c>
      <c r="J76">
        <v>14</v>
      </c>
      <c r="K76">
        <v>3</v>
      </c>
      <c r="L76">
        <v>19</v>
      </c>
      <c r="M76">
        <v>5</v>
      </c>
      <c r="N76">
        <v>33</v>
      </c>
      <c r="O76">
        <v>8</v>
      </c>
    </row>
    <row r="87" spans="3:4">
      <c r="D87">
        <v>149</v>
      </c>
    </row>
    <row r="89" spans="3:4">
      <c r="C89" s="11"/>
      <c r="D89" s="11" t="s">
        <v>71</v>
      </c>
    </row>
    <row r="90" spans="3:4">
      <c r="C90" s="27"/>
      <c r="D90" s="27" t="s">
        <v>72</v>
      </c>
    </row>
    <row r="91" spans="3:4">
      <c r="C91" s="11"/>
      <c r="D91" s="11" t="s">
        <v>73</v>
      </c>
    </row>
    <row r="92" spans="3:4">
      <c r="C92" s="11"/>
      <c r="D92" s="11" t="s">
        <v>74</v>
      </c>
    </row>
    <row r="93" spans="3:4">
      <c r="C93" s="11"/>
      <c r="D93" s="11" t="s">
        <v>75</v>
      </c>
    </row>
    <row r="94" spans="3:4">
      <c r="C94" s="11"/>
      <c r="D94" s="11" t="s">
        <v>76</v>
      </c>
    </row>
    <row r="95" spans="3:4">
      <c r="C95" s="11"/>
      <c r="D95" s="11" t="s">
        <v>77</v>
      </c>
    </row>
    <row r="96" spans="3:4">
      <c r="C96" s="11"/>
      <c r="D96" s="11" t="s">
        <v>78</v>
      </c>
    </row>
    <row r="102" ht="14.25" spans="1:15">
      <c r="A102">
        <v>2</v>
      </c>
      <c r="B102">
        <f>IF(OR(C102="SS",C102="S"),2,1)</f>
        <v>1</v>
      </c>
      <c r="C102" t="str">
        <f>VLOOKUP(D102,Sheet4!$K$9:$L$110,2,0)</f>
        <v>A</v>
      </c>
      <c r="D102" s="11" t="s">
        <v>71</v>
      </c>
      <c r="E102" t="str">
        <f>VLOOKUP(D102,'149库存'!$C$2:$U$199,2,0)</f>
        <v>149US-8JianTaoBingXiangChiLun</v>
      </c>
      <c r="F102">
        <f>VLOOKUP(E102,'149库存'!$D$2:$U$313,18,0)</f>
        <v>34.99</v>
      </c>
      <c r="G102">
        <f>COUNTIF('149库存'!$C$2:$C$199,D102)</f>
        <v>1</v>
      </c>
      <c r="H102">
        <f>VLOOKUP(D102,'149库存'!$C$2:$U$313,19,0)</f>
        <v>34.99</v>
      </c>
      <c r="I102" s="26" t="s">
        <v>16</v>
      </c>
      <c r="J102">
        <f t="shared" ref="J102:J109" si="6">CEILING($J$13*B102/H102,1)</f>
        <v>15</v>
      </c>
      <c r="K102">
        <v>3</v>
      </c>
      <c r="L102">
        <f t="shared" ref="L102:L109" si="7">CEILING($L$13*B102/H102,1)</f>
        <v>21</v>
      </c>
      <c r="M102">
        <v>5</v>
      </c>
      <c r="N102">
        <f t="shared" ref="N102:N109" si="8">CEILING($N$13*B102/H102,1)</f>
        <v>35</v>
      </c>
      <c r="O102">
        <v>8</v>
      </c>
    </row>
    <row r="103" ht="14.25" spans="1:15">
      <c r="A103">
        <v>1</v>
      </c>
      <c r="B103">
        <f>IF(OR(C103="SS",C103="S"),2,1)</f>
        <v>1</v>
      </c>
      <c r="C103" t="str">
        <f>VLOOKUP(D103,Sheet4!$K$9:$L$110,2,0)</f>
        <v>A</v>
      </c>
      <c r="D103" s="27" t="s">
        <v>72</v>
      </c>
      <c r="E103" t="str">
        <f>VLOOKUP(D103,'149库存'!$C$2:$U$199,2,0)</f>
        <v>149US-XiaoHaoBingXiangChiLun</v>
      </c>
      <c r="F103">
        <f>VLOOKUP(E103,'149库存'!$D$2:$U$313,18,0)</f>
        <v>35.99</v>
      </c>
      <c r="G103">
        <f>COUNTIF('149库存'!$C$2:$C$199,D103)</f>
        <v>1</v>
      </c>
      <c r="H103">
        <f>VLOOKUP(D103,'149库存'!$C$2:$U$313,19,0)</f>
        <v>35.99</v>
      </c>
      <c r="I103" s="26" t="s">
        <v>16</v>
      </c>
      <c r="J103">
        <f t="shared" si="6"/>
        <v>14</v>
      </c>
      <c r="K103">
        <v>3</v>
      </c>
      <c r="L103">
        <f t="shared" si="7"/>
        <v>20</v>
      </c>
      <c r="M103">
        <v>5</v>
      </c>
      <c r="N103">
        <f t="shared" si="8"/>
        <v>34</v>
      </c>
      <c r="O103">
        <v>8</v>
      </c>
    </row>
    <row r="104" ht="14.25" spans="1:15">
      <c r="B104">
        <f>IF(OR(C104="SS",C104="S"),2,1)</f>
        <v>1</v>
      </c>
      <c r="C104" t="str">
        <f>VLOOKUP(D104,Sheet4!$K$9:$L$110,2,0)</f>
        <v>A</v>
      </c>
      <c r="D104" s="11" t="s">
        <v>73</v>
      </c>
      <c r="E104" t="str">
        <f>VLOOKUP(D104,'149库存'!$C$2:$U$199,2,0)</f>
        <v>149US-SoftCiLiGuan26P-007</v>
      </c>
      <c r="F104">
        <f>VLOOKUP(E104,'149库存'!$D$2:$U$313,18,0)</f>
        <v>33.99</v>
      </c>
      <c r="G104">
        <f>COUNTIF('149库存'!$C$2:$C$199,D104)</f>
        <v>1</v>
      </c>
      <c r="H104">
        <f>VLOOKUP(D104,'149库存'!$C$2:$U$313,19,0)</f>
        <v>33.99</v>
      </c>
      <c r="I104" s="26" t="s">
        <v>16</v>
      </c>
      <c r="J104">
        <f t="shared" si="6"/>
        <v>15</v>
      </c>
      <c r="K104">
        <v>3</v>
      </c>
      <c r="L104">
        <f t="shared" si="7"/>
        <v>21</v>
      </c>
      <c r="M104">
        <v>5</v>
      </c>
      <c r="N104">
        <f t="shared" si="8"/>
        <v>36</v>
      </c>
      <c r="O104">
        <v>8</v>
      </c>
    </row>
    <row r="105" ht="14.25" spans="1:15">
      <c r="B105">
        <f>IFERROR(IF(OR(C105="SS",C105="S"),2,1),1)</f>
        <v>1</v>
      </c>
      <c r="C105" t="e">
        <f>VLOOKUP(D105,Sheet4!$K$9:$L$110,2,0)</f>
        <v>#N/A</v>
      </c>
      <c r="D105" s="11" t="s">
        <v>74</v>
      </c>
      <c r="E105" t="str">
        <f>VLOOKUP(D105,'149库存'!$C$2:$U$199,2,0)</f>
        <v>149US-SoftCiLiGuan66PCS</v>
      </c>
      <c r="F105">
        <f>VLOOKUP(E105,'149库存'!$D$2:$U$313,18,0)</f>
        <v>38.99</v>
      </c>
      <c r="G105">
        <f>COUNTIF('149库存'!$C$2:$C$199,D105)</f>
        <v>1</v>
      </c>
      <c r="H105">
        <f>VLOOKUP(D105,'149库存'!$C$2:$U$313,19,0)</f>
        <v>38.99</v>
      </c>
      <c r="I105" s="26" t="s">
        <v>16</v>
      </c>
      <c r="J105">
        <f t="shared" si="6"/>
        <v>13</v>
      </c>
      <c r="K105">
        <v>3</v>
      </c>
      <c r="L105">
        <f t="shared" si="7"/>
        <v>18</v>
      </c>
      <c r="M105">
        <v>5</v>
      </c>
      <c r="N105">
        <f t="shared" si="8"/>
        <v>31</v>
      </c>
      <c r="O105">
        <v>8</v>
      </c>
    </row>
    <row r="106" ht="14.25" spans="1:15">
      <c r="B106">
        <f>IFERROR(IF(OR(C106="SS",C106="S"),2,1),1)</f>
        <v>2</v>
      </c>
      <c r="C106" t="str">
        <f>VLOOKUP(D106,Sheet4!$K$9:$L$110,2,0)</f>
        <v>S</v>
      </c>
      <c r="D106" s="11" t="s">
        <v>75</v>
      </c>
      <c r="E106" t="str">
        <f>VLOOKUP(D106,'149库存'!$C$2:$U$199,2,0)</f>
        <v>149US-PinkNiuDanClaw</v>
      </c>
      <c r="F106">
        <f>VLOOKUP(E106,'149库存'!$D$2:$U$313,18,0)</f>
        <v>97.99</v>
      </c>
      <c r="G106">
        <f>COUNTIF('149库存'!$C$2:$C$199,D106)</f>
        <v>1</v>
      </c>
      <c r="H106">
        <f>VLOOKUP(D106,'149库存'!$C$2:$U$313,19,0)</f>
        <v>97.99</v>
      </c>
      <c r="I106" s="26" t="s">
        <v>16</v>
      </c>
      <c r="J106">
        <f t="shared" si="6"/>
        <v>11</v>
      </c>
      <c r="K106">
        <v>3</v>
      </c>
      <c r="L106">
        <f t="shared" si="7"/>
        <v>15</v>
      </c>
      <c r="M106">
        <v>5</v>
      </c>
      <c r="N106">
        <f t="shared" si="8"/>
        <v>25</v>
      </c>
      <c r="O106">
        <v>8</v>
      </c>
    </row>
    <row r="107" ht="14.25" spans="1:15">
      <c r="B107">
        <f>IFERROR(IF(OR(C107="SS",C107="S"),2,1),1)</f>
        <v>2</v>
      </c>
      <c r="C107" t="str">
        <f>VLOOKUP(D107,Sheet4!$K$9:$L$110,2,0)</f>
        <v>S</v>
      </c>
      <c r="D107" s="11" t="s">
        <v>76</v>
      </c>
      <c r="E107" t="str">
        <f>VLOOKUP(D107,'149库存'!$C$2:$U$199,2,0)</f>
        <v>149-GuDianniwaA20</v>
      </c>
      <c r="F107">
        <f>VLOOKUP(E107,'149库存'!$D$2:$U$313,18,0)</f>
        <v>49.99</v>
      </c>
      <c r="G107">
        <f>COUNTIF('149库存'!$C$2:$C$199,D107)</f>
        <v>1</v>
      </c>
      <c r="H107">
        <f>VLOOKUP(D107,'149库存'!$C$2:$U$313,19,0)</f>
        <v>49.99</v>
      </c>
      <c r="I107" s="26" t="s">
        <v>16</v>
      </c>
      <c r="J107">
        <f t="shared" si="6"/>
        <v>21</v>
      </c>
      <c r="K107">
        <v>3</v>
      </c>
      <c r="L107">
        <f t="shared" si="7"/>
        <v>29</v>
      </c>
      <c r="M107">
        <v>5</v>
      </c>
      <c r="N107">
        <f t="shared" si="8"/>
        <v>49</v>
      </c>
      <c r="O107">
        <v>8</v>
      </c>
    </row>
    <row r="108" ht="14.25" spans="1:15">
      <c r="B108">
        <f>IFERROR(IF(OR(C108="SS",C108="S"),2,1),1)</f>
        <v>1</v>
      </c>
      <c r="C108" t="e">
        <f>VLOOKUP(D108,Sheet4!$K$9:$L$110,2,0)</f>
        <v>#N/A</v>
      </c>
      <c r="D108" s="11" t="s">
        <v>77</v>
      </c>
      <c r="E108" t="str">
        <f>VLOOKUP(D108,'149库存'!$C$2:$U$199,2,0)</f>
        <v>149US-QiQiuChe</v>
      </c>
      <c r="F108">
        <f>VLOOKUP(E108,'149库存'!$D$2:$U$313,18,0)</f>
        <v>39.99</v>
      </c>
      <c r="G108">
        <f>COUNTIF('149库存'!$C$2:$C$199,D108)</f>
        <v>1</v>
      </c>
      <c r="H108">
        <f>VLOOKUP(D108,'149库存'!$C$2:$U$313,19,0)</f>
        <v>39.99</v>
      </c>
      <c r="I108" s="26" t="s">
        <v>16</v>
      </c>
      <c r="J108">
        <f t="shared" si="6"/>
        <v>13</v>
      </c>
      <c r="K108">
        <v>3</v>
      </c>
      <c r="L108">
        <f t="shared" si="7"/>
        <v>18</v>
      </c>
      <c r="M108">
        <v>5</v>
      </c>
      <c r="N108">
        <f t="shared" si="8"/>
        <v>31</v>
      </c>
      <c r="O108">
        <v>8</v>
      </c>
    </row>
    <row r="109" ht="14.25" spans="1:15">
      <c r="B109">
        <f>IFERROR(IF(OR(C109="SS",C109="S"),2,1),1)</f>
        <v>1</v>
      </c>
      <c r="C109" t="str">
        <f>VLOOKUP(D109,Sheet4!$K$9:$L$110,2,0)</f>
        <v>A</v>
      </c>
      <c r="D109" s="11" t="s">
        <v>78</v>
      </c>
      <c r="E109" t="str">
        <f>VLOOKUP(D109,'149库存'!$C$2:$U$199,2,0)</f>
        <v>ZiMuYouXi-0003</v>
      </c>
      <c r="F109">
        <f>VLOOKUP(E109,'149库存'!$D$2:$U$313,18,0)</f>
        <v>39.99</v>
      </c>
      <c r="G109">
        <f>COUNTIF('149库存'!$C$2:$C$199,D109)</f>
        <v>1</v>
      </c>
      <c r="H109">
        <f>VLOOKUP(D109,'149库存'!$C$2:$U$313,19,0)</f>
        <v>39.99</v>
      </c>
      <c r="I109" s="26" t="s">
        <v>16</v>
      </c>
      <c r="J109">
        <f t="shared" si="6"/>
        <v>13</v>
      </c>
      <c r="K109">
        <v>3</v>
      </c>
      <c r="L109">
        <f t="shared" si="7"/>
        <v>18</v>
      </c>
      <c r="M109">
        <v>5</v>
      </c>
      <c r="N109">
        <f t="shared" si="8"/>
        <v>31</v>
      </c>
      <c r="O109">
        <v>8</v>
      </c>
    </row>
    <row r="114" spans="1:15">
      <c r="A114">
        <v>2</v>
      </c>
      <c r="B114">
        <v>1</v>
      </c>
      <c r="C114" t="s">
        <v>79</v>
      </c>
      <c r="D114" t="s">
        <v>71</v>
      </c>
      <c r="E114" t="s">
        <v>80</v>
      </c>
      <c r="F114">
        <v>34.99</v>
      </c>
      <c r="G114">
        <v>1</v>
      </c>
      <c r="H114">
        <v>34.99</v>
      </c>
      <c r="I114" t="s">
        <v>16</v>
      </c>
      <c r="J114">
        <v>15</v>
      </c>
      <c r="K114">
        <v>3</v>
      </c>
      <c r="L114">
        <v>21</v>
      </c>
      <c r="M114">
        <v>5</v>
      </c>
      <c r="N114">
        <v>35</v>
      </c>
      <c r="O114">
        <v>8</v>
      </c>
    </row>
    <row r="115" spans="1:15">
      <c r="A115">
        <v>1</v>
      </c>
      <c r="B115">
        <v>1</v>
      </c>
      <c r="C115" t="s">
        <v>79</v>
      </c>
      <c r="D115" t="s">
        <v>72</v>
      </c>
      <c r="E115" t="s">
        <v>81</v>
      </c>
      <c r="F115">
        <v>35.99</v>
      </c>
      <c r="G115">
        <v>1</v>
      </c>
      <c r="H115">
        <v>35.99</v>
      </c>
      <c r="I115" t="s">
        <v>16</v>
      </c>
      <c r="J115">
        <v>14</v>
      </c>
      <c r="K115">
        <v>3</v>
      </c>
      <c r="L115">
        <v>20</v>
      </c>
      <c r="M115">
        <v>5</v>
      </c>
      <c r="N115">
        <v>34</v>
      </c>
      <c r="O115">
        <v>8</v>
      </c>
    </row>
    <row r="116" spans="1:15">
      <c r="B116">
        <v>1</v>
      </c>
      <c r="C116" t="s">
        <v>79</v>
      </c>
      <c r="D116" t="s">
        <v>73</v>
      </c>
      <c r="E116" t="s">
        <v>82</v>
      </c>
      <c r="F116">
        <v>33.99</v>
      </c>
      <c r="G116">
        <v>1</v>
      </c>
      <c r="H116">
        <v>33.99</v>
      </c>
      <c r="I116" t="s">
        <v>16</v>
      </c>
      <c r="J116">
        <v>15</v>
      </c>
      <c r="K116">
        <v>3</v>
      </c>
      <c r="L116">
        <v>21</v>
      </c>
      <c r="M116">
        <v>5</v>
      </c>
      <c r="N116">
        <v>36</v>
      </c>
      <c r="O116">
        <v>8</v>
      </c>
    </row>
    <row r="117" spans="1:15">
      <c r="B117">
        <v>1</v>
      </c>
      <c r="C117" t="e">
        <v>#N/A</v>
      </c>
      <c r="D117" t="s">
        <v>74</v>
      </c>
      <c r="E117" t="s">
        <v>83</v>
      </c>
      <c r="F117">
        <v>38.99</v>
      </c>
      <c r="G117">
        <v>1</v>
      </c>
      <c r="H117">
        <v>38.99</v>
      </c>
      <c r="I117" t="s">
        <v>16</v>
      </c>
      <c r="J117">
        <v>13</v>
      </c>
      <c r="K117">
        <v>3</v>
      </c>
      <c r="L117">
        <v>18</v>
      </c>
      <c r="M117">
        <v>5</v>
      </c>
      <c r="N117">
        <v>31</v>
      </c>
      <c r="O117">
        <v>8</v>
      </c>
    </row>
    <row r="118" spans="1:15">
      <c r="B118">
        <v>2</v>
      </c>
      <c r="C118" t="s">
        <v>84</v>
      </c>
      <c r="D118" t="s">
        <v>75</v>
      </c>
      <c r="E118" t="s">
        <v>85</v>
      </c>
      <c r="F118">
        <v>97.99</v>
      </c>
      <c r="G118">
        <v>1</v>
      </c>
      <c r="H118">
        <v>97.99</v>
      </c>
      <c r="I118" t="s">
        <v>16</v>
      </c>
      <c r="J118">
        <v>11</v>
      </c>
      <c r="K118">
        <v>3</v>
      </c>
      <c r="L118">
        <v>15</v>
      </c>
      <c r="M118">
        <v>5</v>
      </c>
      <c r="N118">
        <v>25</v>
      </c>
      <c r="O118">
        <v>8</v>
      </c>
    </row>
    <row r="119" spans="1:15">
      <c r="B119">
        <v>2</v>
      </c>
      <c r="C119" t="s">
        <v>84</v>
      </c>
      <c r="D119" t="s">
        <v>76</v>
      </c>
      <c r="E119" t="s">
        <v>86</v>
      </c>
      <c r="F119">
        <v>49.99</v>
      </c>
      <c r="G119">
        <v>1</v>
      </c>
      <c r="H119">
        <v>49.99</v>
      </c>
      <c r="I119" t="s">
        <v>16</v>
      </c>
      <c r="J119">
        <v>21</v>
      </c>
      <c r="K119">
        <v>3</v>
      </c>
      <c r="L119">
        <v>29</v>
      </c>
      <c r="M119">
        <v>5</v>
      </c>
      <c r="N119">
        <v>49</v>
      </c>
      <c r="O119">
        <v>8</v>
      </c>
    </row>
    <row r="120" spans="1:15">
      <c r="B120">
        <v>1</v>
      </c>
      <c r="C120" t="e">
        <v>#N/A</v>
      </c>
      <c r="D120" t="s">
        <v>77</v>
      </c>
      <c r="E120" t="s">
        <v>87</v>
      </c>
      <c r="F120">
        <v>39.99</v>
      </c>
      <c r="G120">
        <v>1</v>
      </c>
      <c r="H120">
        <v>39.99</v>
      </c>
      <c r="I120" t="s">
        <v>16</v>
      </c>
      <c r="J120">
        <v>13</v>
      </c>
      <c r="K120">
        <v>3</v>
      </c>
      <c r="L120">
        <v>18</v>
      </c>
      <c r="M120">
        <v>5</v>
      </c>
      <c r="N120">
        <v>31</v>
      </c>
      <c r="O120">
        <v>8</v>
      </c>
    </row>
    <row r="121" spans="1:15">
      <c r="B121">
        <v>1</v>
      </c>
      <c r="C121" t="s">
        <v>79</v>
      </c>
      <c r="D121" t="s">
        <v>78</v>
      </c>
      <c r="E121" t="s">
        <v>88</v>
      </c>
      <c r="F121">
        <v>39.99</v>
      </c>
      <c r="G121">
        <v>1</v>
      </c>
      <c r="H121">
        <v>39.99</v>
      </c>
      <c r="I121" t="s">
        <v>16</v>
      </c>
      <c r="J121">
        <v>13</v>
      </c>
      <c r="K121">
        <v>3</v>
      </c>
      <c r="L121">
        <v>18</v>
      </c>
      <c r="M121">
        <v>5</v>
      </c>
      <c r="N121">
        <v>31</v>
      </c>
      <c r="O121">
        <v>8</v>
      </c>
    </row>
    <row r="127" spans="1:15">
      <c r="D127">
        <v>48</v>
      </c>
    </row>
    <row r="129" spans="1:15">
      <c r="D129" s="11" t="s">
        <v>89</v>
      </c>
    </row>
    <row r="130" spans="1:15">
      <c r="D130" s="11" t="s">
        <v>90</v>
      </c>
    </row>
    <row r="131" spans="1:15">
      <c r="D131" s="11" t="s">
        <v>91</v>
      </c>
    </row>
    <row r="132" spans="1:15">
      <c r="D132" s="11" t="s">
        <v>92</v>
      </c>
    </row>
    <row r="133" spans="1:15">
      <c r="D133" s="11" t="s">
        <v>93</v>
      </c>
    </row>
    <row r="134" spans="1:15">
      <c r="D134" s="11" t="s">
        <v>94</v>
      </c>
    </row>
    <row r="136" ht="14.25" spans="1:15">
      <c r="A136">
        <v>2</v>
      </c>
      <c r="B136">
        <f t="shared" ref="B136:B141" si="9">IFERROR(IF(OR(C136="SS",C136="S"),2,1),1)</f>
        <v>1</v>
      </c>
      <c r="C136" t="e">
        <f>VLOOKUP(D136,Sheet4!$K$9:$L$110,2,0)</f>
        <v>#N/A</v>
      </c>
      <c r="D136" s="11" t="s">
        <v>89</v>
      </c>
      <c r="E136" t="str">
        <f>VLOOKUP(D136,'48库存'!$C$2:$U$199,2,0)</f>
        <v>48US-YinYueHuiGangQingJiMu</v>
      </c>
      <c r="F136">
        <f>VLOOKUP(E136,'48库存'!$D$2:$U$313,18,0)</f>
        <v>43.99</v>
      </c>
      <c r="G136">
        <f>COUNTIF('48库存'!$C$2:$C$199,D136)</f>
        <v>1</v>
      </c>
      <c r="H136">
        <f>VLOOKUP(D136,'48库存'!$C$2:$U$313,19,0)</f>
        <v>43.99</v>
      </c>
      <c r="I136" s="26" t="s">
        <v>16</v>
      </c>
      <c r="J136">
        <f t="shared" ref="J136:J142" si="10">CEILING($J$13*B136/H136,1)</f>
        <v>12</v>
      </c>
      <c r="K136">
        <v>3</v>
      </c>
      <c r="L136">
        <f t="shared" ref="L136:L142" si="11">CEILING($L$13*B136/H136,1)</f>
        <v>16</v>
      </c>
      <c r="M136">
        <v>5</v>
      </c>
      <c r="N136">
        <f t="shared" ref="N136:N142" si="12">CEILING($N$13*B136/H136,1)</f>
        <v>28</v>
      </c>
      <c r="O136">
        <v>8</v>
      </c>
    </row>
    <row r="137" ht="14.25" spans="1:15">
      <c r="A137">
        <v>1</v>
      </c>
      <c r="B137">
        <f t="shared" si="9"/>
        <v>1</v>
      </c>
      <c r="C137" t="e">
        <f>VLOOKUP(D137,Sheet4!$K$9:$L$110,2,0)</f>
        <v>#N/A</v>
      </c>
      <c r="D137" s="11" t="s">
        <v>90</v>
      </c>
      <c r="E137" t="str">
        <f>VLOOKUP(D137,'48库存'!$C$2:$U$199,2,0)</f>
        <v>48US-JuanZhiShouLian-001</v>
      </c>
      <c r="F137">
        <f>VLOOKUP(E137,'48库存'!$D$2:$U$313,18,0)</f>
        <v>29.99</v>
      </c>
      <c r="G137">
        <f>COUNTIF('48库存'!$C$2:$C$199,D137)</f>
        <v>1</v>
      </c>
      <c r="H137">
        <f>VLOOKUP(D137,'48库存'!$C$2:$U$313,19,0)</f>
        <v>29.99</v>
      </c>
      <c r="I137" s="26" t="s">
        <v>16</v>
      </c>
      <c r="J137">
        <f t="shared" si="10"/>
        <v>17</v>
      </c>
      <c r="K137">
        <v>3</v>
      </c>
      <c r="L137">
        <f t="shared" si="11"/>
        <v>24</v>
      </c>
      <c r="M137">
        <v>5</v>
      </c>
      <c r="N137">
        <f t="shared" si="12"/>
        <v>41</v>
      </c>
      <c r="O137">
        <v>8</v>
      </c>
    </row>
    <row r="138" ht="14.25" spans="1:15">
      <c r="B138">
        <f t="shared" si="9"/>
        <v>1</v>
      </c>
      <c r="C138" t="e">
        <f>VLOOKUP(D138,Sheet4!$K$9:$L$110,2,0)</f>
        <v>#N/A</v>
      </c>
      <c r="D138" s="11" t="s">
        <v>91</v>
      </c>
      <c r="E138" t="str">
        <f>VLOOKUP(D138,'48库存'!$C$2:$U$199,2,0)</f>
        <v>48US-JuanZhiShouLian-002</v>
      </c>
      <c r="F138">
        <f>VLOOKUP(E138,'48库存'!$D$2:$U$313,18,0)</f>
        <v>18.99</v>
      </c>
      <c r="G138">
        <f>COUNTIF('48库存'!$C$2:$C$199,D138)</f>
        <v>1</v>
      </c>
      <c r="H138">
        <f>VLOOKUP(D138,'48库存'!$C$2:$U$313,19,0)</f>
        <v>18.99</v>
      </c>
      <c r="I138" s="26" t="s">
        <v>16</v>
      </c>
      <c r="J138">
        <f t="shared" si="10"/>
        <v>27</v>
      </c>
      <c r="K138">
        <v>3</v>
      </c>
      <c r="L138">
        <f t="shared" si="11"/>
        <v>37</v>
      </c>
      <c r="M138">
        <v>5</v>
      </c>
      <c r="N138">
        <f t="shared" si="12"/>
        <v>64</v>
      </c>
      <c r="O138">
        <v>8</v>
      </c>
    </row>
    <row r="139" ht="14.25" spans="1:15">
      <c r="B139">
        <f t="shared" si="9"/>
        <v>1</v>
      </c>
      <c r="C139" t="e">
        <f>VLOOKUP(D139,Sheet4!$K$9:$L$110,2,0)</f>
        <v>#N/A</v>
      </c>
      <c r="D139" s="11" t="s">
        <v>92</v>
      </c>
      <c r="E139" t="str">
        <f>VLOOKUP(D139,'48库存'!$C$2:$U$199,2,0)</f>
        <v>48US-MiddleShouLian001</v>
      </c>
      <c r="F139">
        <f>VLOOKUP(E139,'48库存'!$D$2:$U$313,18,0)</f>
        <v>17.99</v>
      </c>
      <c r="G139">
        <f>COUNTIF('48库存'!$C$2:$C$199,D139)</f>
        <v>1</v>
      </c>
      <c r="H139">
        <f>VLOOKUP(D139,'48库存'!$C$2:$U$313,19,0)</f>
        <v>17.99</v>
      </c>
      <c r="I139" s="26" t="s">
        <v>16</v>
      </c>
      <c r="J139">
        <f t="shared" si="10"/>
        <v>28</v>
      </c>
      <c r="K139">
        <v>3</v>
      </c>
      <c r="L139">
        <f t="shared" si="11"/>
        <v>39</v>
      </c>
      <c r="M139">
        <v>5</v>
      </c>
      <c r="N139">
        <f t="shared" si="12"/>
        <v>67</v>
      </c>
      <c r="O139">
        <v>8</v>
      </c>
    </row>
    <row r="140" ht="14.25" spans="1:15">
      <c r="B140">
        <f t="shared" si="9"/>
        <v>1</v>
      </c>
      <c r="C140" t="e">
        <f>VLOOKUP(D140,Sheet4!$K$9:$L$110,2,0)</f>
        <v>#N/A</v>
      </c>
      <c r="D140" s="11" t="s">
        <v>93</v>
      </c>
      <c r="E140" t="str">
        <f>VLOOKUP(D140,'48库存'!$C$2:$U$199,2,0)</f>
        <v>48US-SmallShouLian001</v>
      </c>
      <c r="F140">
        <f>VLOOKUP(E140,'48库存'!$D$2:$U$313,18,0)</f>
        <v>19.99</v>
      </c>
      <c r="G140">
        <f>COUNTIF('48库存'!$C$2:$C$199,D140)</f>
        <v>1</v>
      </c>
      <c r="H140">
        <f>VLOOKUP(D140,'48库存'!$C$2:$U$313,19,0)</f>
        <v>19.99</v>
      </c>
      <c r="I140" s="26" t="s">
        <v>16</v>
      </c>
      <c r="J140">
        <f t="shared" si="10"/>
        <v>26</v>
      </c>
      <c r="K140">
        <v>3</v>
      </c>
      <c r="L140">
        <f t="shared" si="11"/>
        <v>36</v>
      </c>
      <c r="M140">
        <v>5</v>
      </c>
      <c r="N140">
        <f t="shared" si="12"/>
        <v>61</v>
      </c>
      <c r="O140">
        <v>8</v>
      </c>
    </row>
    <row r="141" ht="14.25" spans="1:15">
      <c r="B141">
        <f t="shared" si="9"/>
        <v>1</v>
      </c>
      <c r="C141" t="e">
        <f>VLOOKUP(D141,Sheet4!$K$9:$L$110,2,0)</f>
        <v>#N/A</v>
      </c>
      <c r="D141" s="11" t="s">
        <v>94</v>
      </c>
      <c r="E141" t="str">
        <f>VLOOKUP(D141,'48库存'!$C$2:$U$199,2,0)</f>
        <v>48US-SmallShouLian002</v>
      </c>
      <c r="F141">
        <f>VLOOKUP(E141,'48库存'!$D$2:$U$313,18,0)</f>
        <v>19.99</v>
      </c>
      <c r="G141">
        <f>COUNTIF('48库存'!$C$2:$C$199,D141)</f>
        <v>1</v>
      </c>
      <c r="H141">
        <f>VLOOKUP(D141,'48库存'!$C$2:$U$313,19,0)</f>
        <v>19.99</v>
      </c>
      <c r="I141" s="26" t="s">
        <v>16</v>
      </c>
      <c r="J141">
        <f t="shared" si="10"/>
        <v>26</v>
      </c>
      <c r="K141">
        <v>3</v>
      </c>
      <c r="L141">
        <f t="shared" si="11"/>
        <v>36</v>
      </c>
      <c r="M141">
        <v>5</v>
      </c>
      <c r="N141">
        <f t="shared" si="12"/>
        <v>61</v>
      </c>
      <c r="O141">
        <v>8</v>
      </c>
    </row>
    <row r="145" spans="1:15">
      <c r="A145">
        <v>2</v>
      </c>
      <c r="B145">
        <v>1</v>
      </c>
      <c r="C145" t="e">
        <v>#N/A</v>
      </c>
      <c r="D145" t="s">
        <v>89</v>
      </c>
      <c r="E145" t="s">
        <v>95</v>
      </c>
      <c r="F145">
        <v>43.99</v>
      </c>
      <c r="G145">
        <v>1</v>
      </c>
      <c r="H145">
        <v>43.99</v>
      </c>
      <c r="I145" t="s">
        <v>16</v>
      </c>
      <c r="J145">
        <v>12</v>
      </c>
      <c r="K145">
        <v>3</v>
      </c>
      <c r="L145">
        <v>16</v>
      </c>
      <c r="M145">
        <v>5</v>
      </c>
      <c r="N145">
        <v>28</v>
      </c>
      <c r="O145">
        <v>8</v>
      </c>
    </row>
    <row r="146" spans="1:15">
      <c r="A146">
        <v>1</v>
      </c>
      <c r="B146">
        <v>1</v>
      </c>
      <c r="C146" t="e">
        <v>#N/A</v>
      </c>
      <c r="D146" t="s">
        <v>90</v>
      </c>
      <c r="E146" t="s">
        <v>96</v>
      </c>
      <c r="F146">
        <v>29.99</v>
      </c>
      <c r="G146">
        <v>1</v>
      </c>
      <c r="H146">
        <v>29.99</v>
      </c>
      <c r="I146" t="s">
        <v>16</v>
      </c>
      <c r="J146">
        <v>17</v>
      </c>
      <c r="K146">
        <v>3</v>
      </c>
      <c r="L146">
        <v>24</v>
      </c>
      <c r="M146">
        <v>5</v>
      </c>
      <c r="N146">
        <v>41</v>
      </c>
      <c r="O146">
        <v>8</v>
      </c>
    </row>
    <row r="147" spans="1:15">
      <c r="B147">
        <v>1</v>
      </c>
      <c r="C147" t="e">
        <v>#N/A</v>
      </c>
      <c r="D147" t="s">
        <v>91</v>
      </c>
      <c r="E147" t="s">
        <v>97</v>
      </c>
      <c r="F147">
        <v>18.99</v>
      </c>
      <c r="G147">
        <v>1</v>
      </c>
      <c r="H147">
        <v>18.99</v>
      </c>
      <c r="I147" t="s">
        <v>16</v>
      </c>
      <c r="J147">
        <v>27</v>
      </c>
      <c r="K147">
        <v>3</v>
      </c>
      <c r="L147">
        <v>37</v>
      </c>
      <c r="M147">
        <v>5</v>
      </c>
      <c r="N147">
        <v>64</v>
      </c>
      <c r="O147">
        <v>8</v>
      </c>
    </row>
    <row r="148" spans="1:15">
      <c r="B148">
        <v>1</v>
      </c>
      <c r="C148" t="e">
        <v>#N/A</v>
      </c>
      <c r="D148" t="s">
        <v>92</v>
      </c>
      <c r="E148" t="s">
        <v>98</v>
      </c>
      <c r="F148">
        <v>17.99</v>
      </c>
      <c r="G148">
        <v>1</v>
      </c>
      <c r="H148">
        <v>17.99</v>
      </c>
      <c r="I148" t="s">
        <v>16</v>
      </c>
      <c r="J148">
        <v>28</v>
      </c>
      <c r="K148">
        <v>3</v>
      </c>
      <c r="L148">
        <v>39</v>
      </c>
      <c r="M148">
        <v>5</v>
      </c>
      <c r="N148">
        <v>67</v>
      </c>
      <c r="O148">
        <v>8</v>
      </c>
    </row>
    <row r="149" spans="1:15">
      <c r="B149">
        <v>1</v>
      </c>
      <c r="C149" t="e">
        <v>#N/A</v>
      </c>
      <c r="D149" t="s">
        <v>93</v>
      </c>
      <c r="E149" t="s">
        <v>99</v>
      </c>
      <c r="F149">
        <v>19.99</v>
      </c>
      <c r="G149">
        <v>1</v>
      </c>
      <c r="H149">
        <v>19.99</v>
      </c>
      <c r="I149" t="s">
        <v>16</v>
      </c>
      <c r="J149">
        <v>26</v>
      </c>
      <c r="K149">
        <v>3</v>
      </c>
      <c r="L149">
        <v>36</v>
      </c>
      <c r="M149">
        <v>5</v>
      </c>
      <c r="N149">
        <v>61</v>
      </c>
      <c r="O149">
        <v>8</v>
      </c>
    </row>
    <row r="150" spans="1:15">
      <c r="B150">
        <v>1</v>
      </c>
      <c r="C150" t="e">
        <v>#N/A</v>
      </c>
      <c r="D150" t="s">
        <v>94</v>
      </c>
      <c r="E150" t="s">
        <v>100</v>
      </c>
      <c r="F150">
        <v>19.99</v>
      </c>
      <c r="G150">
        <v>1</v>
      </c>
      <c r="H150">
        <v>19.99</v>
      </c>
      <c r="I150" t="s">
        <v>16</v>
      </c>
      <c r="J150">
        <v>26</v>
      </c>
      <c r="K150">
        <v>3</v>
      </c>
      <c r="L150">
        <v>36</v>
      </c>
      <c r="M150">
        <v>5</v>
      </c>
      <c r="N150">
        <v>61</v>
      </c>
      <c r="O150">
        <v>8</v>
      </c>
    </row>
    <row r="155" spans="1:15">
      <c r="D155" t="s">
        <v>101</v>
      </c>
    </row>
    <row r="156" spans="1:15">
      <c r="D156" s="3" t="s">
        <v>102</v>
      </c>
    </row>
    <row r="157" spans="1:15">
      <c r="D157" s="3" t="s">
        <v>103</v>
      </c>
    </row>
    <row r="158" spans="1:15">
      <c r="D158" s="3" t="s">
        <v>104</v>
      </c>
    </row>
    <row r="159" spans="1:15">
      <c r="D159" s="3" t="s">
        <v>105</v>
      </c>
    </row>
    <row r="160" spans="1:15">
      <c r="D160" s="3" t="s">
        <v>106</v>
      </c>
    </row>
    <row r="161" spans="4:4">
      <c r="D161" s="3" t="s">
        <v>107</v>
      </c>
    </row>
    <row r="162" spans="4:4">
      <c r="D162" s="3" t="s">
        <v>108</v>
      </c>
    </row>
    <row r="163" spans="4:4">
      <c r="D163" s="3" t="s">
        <v>109</v>
      </c>
    </row>
    <row r="164" spans="4:4">
      <c r="D164" s="3" t="s">
        <v>110</v>
      </c>
    </row>
    <row r="165" spans="4:4">
      <c r="D165" s="3" t="s">
        <v>111</v>
      </c>
    </row>
    <row r="166" spans="4:4">
      <c r="D166" s="3" t="s">
        <v>112</v>
      </c>
    </row>
    <row r="167" spans="4:4">
      <c r="D167" s="3" t="s">
        <v>113</v>
      </c>
    </row>
    <row r="168" spans="4:4">
      <c r="D168" s="3" t="s">
        <v>114</v>
      </c>
    </row>
    <row r="169" spans="4:4">
      <c r="D169" s="3" t="s">
        <v>115</v>
      </c>
    </row>
    <row r="170" spans="4:4">
      <c r="D170" s="3" t="s">
        <v>116</v>
      </c>
    </row>
    <row r="171" spans="4:4">
      <c r="D171" s="3" t="s">
        <v>117</v>
      </c>
    </row>
    <row r="172" spans="4:4">
      <c r="D172" s="3" t="s">
        <v>118</v>
      </c>
    </row>
    <row r="173" spans="4:4">
      <c r="D173" s="3" t="s">
        <v>119</v>
      </c>
    </row>
    <row r="174" spans="4:4">
      <c r="D174" s="3" t="s">
        <v>120</v>
      </c>
    </row>
    <row r="175" spans="4:4">
      <c r="D175" s="3" t="s">
        <v>121</v>
      </c>
    </row>
    <row r="176" spans="4:4">
      <c r="D176" s="3" t="s">
        <v>122</v>
      </c>
    </row>
    <row r="177" spans="1:15">
      <c r="D177" s="3" t="s">
        <v>123</v>
      </c>
    </row>
    <row r="178" spans="1:15">
      <c r="D178" s="3" t="s">
        <v>124</v>
      </c>
    </row>
    <row r="179" spans="1:15">
      <c r="D179" s="3" t="s">
        <v>125</v>
      </c>
    </row>
    <row r="180" spans="1:15">
      <c r="D180" s="3" t="s">
        <v>126</v>
      </c>
    </row>
    <row r="181" spans="1:15">
      <c r="D181" s="3" t="s">
        <v>116</v>
      </c>
    </row>
    <row r="182" spans="1:15">
      <c r="D182" s="3" t="s">
        <v>127</v>
      </c>
    </row>
    <row r="183" spans="1:15">
      <c r="D183" s="3" t="s">
        <v>128</v>
      </c>
    </row>
    <row r="184" spans="1:15">
      <c r="D184" s="3" t="s">
        <v>108</v>
      </c>
    </row>
    <row r="188" ht="14.25" spans="1:15">
      <c r="A188">
        <v>2</v>
      </c>
      <c r="B188">
        <f>IFERROR(IF(OR(C188="SS",C188="S"),2,1),1)</f>
        <v>1</v>
      </c>
      <c r="C188" t="e">
        <f>VLOOKUP(D188,Sheet4!$K$9:$L$110,2,0)</f>
        <v>#N/A</v>
      </c>
      <c r="D188" s="3" t="s">
        <v>102</v>
      </c>
      <c r="E188" t="str">
        <f>VLOOKUP(D188,'82欧洲库存'!$C$2:$U$199,2,0)</f>
        <v>newsewingmachine-pink</v>
      </c>
      <c r="F188">
        <f>VLOOKUP(E188,'82欧洲库存'!$D$2:$V$30,19,0)</f>
        <v>89.99</v>
      </c>
      <c r="G188">
        <f>COUNTIF('149库存'!$C$2:$C$199,D188)</f>
        <v>0</v>
      </c>
      <c r="H188">
        <f>VLOOKUP(E188,'82欧洲库存'!$D$2:$V$30,19,0)</f>
        <v>89.99</v>
      </c>
      <c r="I188" s="26" t="s">
        <v>16</v>
      </c>
      <c r="J188">
        <f t="shared" ref="J188:J195" si="13">CEILING($J$13*B188/H188,1)</f>
        <v>6</v>
      </c>
      <c r="K188">
        <v>3</v>
      </c>
      <c r="L188">
        <f t="shared" ref="L188:L195" si="14">CEILING($L$13*B188/H188,1)</f>
        <v>8</v>
      </c>
      <c r="M188">
        <v>5</v>
      </c>
      <c r="N188">
        <f t="shared" ref="N188:N195" si="15">CEILING($N$13*B188/H188,1)</f>
        <v>14</v>
      </c>
      <c r="O188">
        <v>8</v>
      </c>
    </row>
    <row r="189" ht="14.25" spans="1:15">
      <c r="A189">
        <v>1</v>
      </c>
      <c r="B189">
        <f>IFERROR(IF(OR(C189="SS",C189="S"),2,1),1)</f>
        <v>1</v>
      </c>
      <c r="C189" t="e">
        <f>VLOOKUP(D189,Sheet4!$K$9:$L$110,2,0)</f>
        <v>#N/A</v>
      </c>
      <c r="D189" s="3" t="s">
        <v>103</v>
      </c>
      <c r="E189" t="str">
        <f>VLOOKUP(D189,'82欧洲库存'!$C$2:$U$199,2,0)</f>
        <v>82DE-YuLian-Black</v>
      </c>
      <c r="F189">
        <f>VLOOKUP(E189,'82欧洲库存'!$D$2:$V$30,19,0)</f>
        <v>0</v>
      </c>
      <c r="G189">
        <f>COUNTIF('149库存'!$C$2:$C$199,D189)</f>
        <v>2</v>
      </c>
      <c r="H189">
        <f>VLOOKUP(E189,'82欧洲库存'!$D$2:$V$30,19,0)</f>
        <v>0</v>
      </c>
      <c r="I189" s="26" t="s">
        <v>16</v>
      </c>
      <c r="J189" t="e">
        <f t="shared" si="13"/>
        <v>#DIV/0!</v>
      </c>
      <c r="K189">
        <v>3</v>
      </c>
      <c r="L189" t="e">
        <f t="shared" si="14"/>
        <v>#DIV/0!</v>
      </c>
      <c r="M189">
        <v>5</v>
      </c>
      <c r="N189" t="e">
        <f t="shared" si="15"/>
        <v>#DIV/0!</v>
      </c>
      <c r="O189">
        <v>8</v>
      </c>
    </row>
    <row r="190" ht="14.25" spans="1:15">
      <c r="B190">
        <f>IFERROR(IF(OR(C190="SS",C190="S"),2,1),1)</f>
        <v>1</v>
      </c>
      <c r="C190" t="e">
        <f>VLOOKUP(D190,Sheet4!$K$9:$L$110,2,0)</f>
        <v>#N/A</v>
      </c>
      <c r="D190" s="3" t="s">
        <v>104</v>
      </c>
      <c r="E190" t="str">
        <f>VLOOKUP(D190,'82欧洲库存'!$C$2:$U$199,2,0)</f>
        <v>ShouZhuaQiu-DK9-uk</v>
      </c>
      <c r="F190">
        <f>VLOOKUP(E190,'82欧洲库存'!$D$2:$V$30,19,0)</f>
        <v>0</v>
      </c>
      <c r="G190">
        <f>COUNTIF('149库存'!$C$2:$C$199,D190)</f>
        <v>0</v>
      </c>
      <c r="H190">
        <f>VLOOKUP(E190,'82欧洲库存'!$D$2:$V$30,19,0)</f>
        <v>0</v>
      </c>
      <c r="I190" s="26" t="s">
        <v>16</v>
      </c>
      <c r="J190" t="e">
        <f t="shared" si="13"/>
        <v>#DIV/0!</v>
      </c>
      <c r="K190">
        <v>3</v>
      </c>
      <c r="L190" t="e">
        <f t="shared" si="14"/>
        <v>#DIV/0!</v>
      </c>
      <c r="M190">
        <v>5</v>
      </c>
      <c r="N190" t="e">
        <f t="shared" si="15"/>
        <v>#DIV/0!</v>
      </c>
      <c r="O190">
        <v>8</v>
      </c>
    </row>
    <row r="191" ht="14.25" spans="1:15">
      <c r="B191">
        <f>IFERROR(IF(OR(C191="SS",C191="S"),2,1),1)</f>
        <v>1</v>
      </c>
      <c r="C191" t="e">
        <f>VLOOKUP(D191,Sheet4!$K$9:$L$110,2,0)</f>
        <v>#N/A</v>
      </c>
      <c r="D191" s="3" t="s">
        <v>105</v>
      </c>
      <c r="E191" t="str">
        <f>VLOOKUP(D191,'82欧洲库存'!$C$2:$U$199,2,0)</f>
        <v>De-Rattle-0001</v>
      </c>
      <c r="F191">
        <f>VLOOKUP(E191,'82欧洲库存'!$D$2:$V$30,19,0)</f>
        <v>0</v>
      </c>
      <c r="G191">
        <f>COUNTIF('149库存'!$C$2:$C$199,D191)</f>
        <v>0</v>
      </c>
      <c r="H191">
        <f>VLOOKUP(E191,'82欧洲库存'!$D$2:$V$30,19,0)</f>
        <v>0</v>
      </c>
      <c r="I191" s="26" t="s">
        <v>16</v>
      </c>
      <c r="J191" t="e">
        <f t="shared" si="13"/>
        <v>#DIV/0!</v>
      </c>
      <c r="K191">
        <v>3</v>
      </c>
      <c r="L191" t="e">
        <f t="shared" si="14"/>
        <v>#DIV/0!</v>
      </c>
      <c r="M191">
        <v>5</v>
      </c>
      <c r="N191" t="e">
        <f t="shared" si="15"/>
        <v>#DIV/0!</v>
      </c>
      <c r="O191">
        <v>8</v>
      </c>
    </row>
    <row r="192" ht="14.25" spans="1:15">
      <c r="B192">
        <f t="shared" ref="B191:B195" si="16">IFERROR(IF(OR(C192="SS",C192="S"),2,1),1)</f>
        <v>1</v>
      </c>
      <c r="C192" t="e">
        <f>VLOOKUP(D192,Sheet4!$K$9:$L$110,2,0)</f>
        <v>#N/A</v>
      </c>
      <c r="D192" s="3" t="s">
        <v>106</v>
      </c>
      <c r="E192" t="str">
        <f>VLOOKUP(D192,'82欧洲库存'!$C$2:$U$199,2,0)</f>
        <v>82FR-SoftBulletTank01</v>
      </c>
      <c r="F192">
        <f>VLOOKUP(E192,'82欧洲库存'!$D$2:$V$30,19,0)</f>
        <v>0</v>
      </c>
      <c r="G192">
        <f>COUNTIF('149库存'!$C$2:$C$199,D192)</f>
        <v>0</v>
      </c>
      <c r="H192">
        <f>VLOOKUP(E192,'82欧洲库存'!$D$2:$V$30,19,0)</f>
        <v>0</v>
      </c>
      <c r="I192" s="26" t="s">
        <v>16</v>
      </c>
      <c r="J192" t="e">
        <f t="shared" si="13"/>
        <v>#DIV/0!</v>
      </c>
      <c r="K192">
        <v>3</v>
      </c>
      <c r="L192" t="e">
        <f t="shared" si="14"/>
        <v>#DIV/0!</v>
      </c>
      <c r="M192">
        <v>5</v>
      </c>
      <c r="N192" t="e">
        <f t="shared" si="15"/>
        <v>#DIV/0!</v>
      </c>
      <c r="O192">
        <v>8</v>
      </c>
    </row>
    <row r="193" ht="14.25" spans="2:15">
      <c r="B193">
        <f t="shared" si="16"/>
        <v>1</v>
      </c>
      <c r="C193" t="e">
        <f>VLOOKUP(D193,Sheet4!$K$9:$L$110,2,0)</f>
        <v>#N/A</v>
      </c>
      <c r="D193" s="3" t="s">
        <v>107</v>
      </c>
      <c r="E193" t="str">
        <f>VLOOKUP(D193,'82欧洲库存'!$C$2:$U$199,2,0)</f>
        <v>DE-BallRattle-Yellow</v>
      </c>
      <c r="F193">
        <f>VLOOKUP(E193,'82欧洲库存'!$D$2:$V$30,19,0)</f>
        <v>0</v>
      </c>
      <c r="G193">
        <f>COUNTIF('149库存'!$C$2:$C$199,D193)</f>
        <v>0</v>
      </c>
      <c r="H193">
        <f>VLOOKUP(E193,'82欧洲库存'!$D$2:$V$30,19,0)</f>
        <v>0</v>
      </c>
      <c r="I193" s="26" t="s">
        <v>16</v>
      </c>
      <c r="J193" t="e">
        <f t="shared" si="13"/>
        <v>#DIV/0!</v>
      </c>
      <c r="K193">
        <v>3</v>
      </c>
      <c r="L193" t="e">
        <f t="shared" si="14"/>
        <v>#DIV/0!</v>
      </c>
      <c r="M193">
        <v>5</v>
      </c>
      <c r="N193" t="e">
        <f t="shared" si="15"/>
        <v>#DIV/0!</v>
      </c>
      <c r="O193">
        <v>8</v>
      </c>
    </row>
    <row r="194" ht="14.25" spans="2:15">
      <c r="B194">
        <f t="shared" si="16"/>
        <v>1</v>
      </c>
      <c r="C194" t="e">
        <f>VLOOKUP(D194,Sheet4!$K$9:$L$110,2,0)</f>
        <v>#N/A</v>
      </c>
      <c r="D194" s="3" t="s">
        <v>108</v>
      </c>
      <c r="E194" t="str">
        <f>VLOOKUP(D194,'82欧洲库存'!$C$2:$U$199,2,0)</f>
        <v>newFRJ202-MWR</v>
      </c>
      <c r="F194">
        <f>VLOOKUP(E194,'82欧洲库存'!$D$2:$V$30,19,0)</f>
        <v>0</v>
      </c>
      <c r="G194">
        <f>COUNTIF('149库存'!$C$2:$C$199,D194)</f>
        <v>1</v>
      </c>
      <c r="H194">
        <f>VLOOKUP(E194,'82欧洲库存'!$D$2:$V$30,19,0)</f>
        <v>0</v>
      </c>
      <c r="I194" s="26" t="s">
        <v>16</v>
      </c>
      <c r="J194" t="e">
        <f t="shared" si="13"/>
        <v>#DIV/0!</v>
      </c>
      <c r="K194">
        <v>3</v>
      </c>
      <c r="L194" t="e">
        <f t="shared" si="14"/>
        <v>#DIV/0!</v>
      </c>
      <c r="M194">
        <v>5</v>
      </c>
      <c r="N194" t="e">
        <f t="shared" si="15"/>
        <v>#DIV/0!</v>
      </c>
      <c r="O194">
        <v>8</v>
      </c>
    </row>
    <row r="195" ht="14.25" spans="2:15">
      <c r="B195">
        <f t="shared" si="16"/>
        <v>1</v>
      </c>
      <c r="C195" t="e">
        <f>VLOOKUP(D195,Sheet4!$K$9:$L$110,2,0)</f>
        <v>#N/A</v>
      </c>
      <c r="D195" s="3" t="s">
        <v>109</v>
      </c>
      <c r="E195" t="str">
        <f>VLOOKUP(D195,'82欧洲库存'!$C$2:$U$199,2,0)</f>
        <v>expression-toy-TieHe</v>
      </c>
      <c r="F195">
        <f>VLOOKUP(E195,'82欧洲库存'!$D$2:$V$30,19,0)</f>
        <v>0</v>
      </c>
      <c r="G195">
        <f>COUNTIF('149库存'!$C$2:$C$199,D195)</f>
        <v>0</v>
      </c>
      <c r="H195">
        <f>VLOOKUP(E195,'82欧洲库存'!$D$2:$V$30,19,0)</f>
        <v>0</v>
      </c>
      <c r="I195" s="26" t="s">
        <v>16</v>
      </c>
      <c r="J195" t="e">
        <f t="shared" si="13"/>
        <v>#DIV/0!</v>
      </c>
      <c r="K195">
        <v>3</v>
      </c>
      <c r="L195" t="e">
        <f t="shared" si="14"/>
        <v>#DIV/0!</v>
      </c>
      <c r="M195">
        <v>5</v>
      </c>
      <c r="N195" t="e">
        <f t="shared" si="15"/>
        <v>#DIV/0!</v>
      </c>
      <c r="O195">
        <v>8</v>
      </c>
    </row>
    <row r="196" ht="14.25" spans="2:15">
      <c r="B196">
        <f t="shared" ref="B196:B216" si="17">IFERROR(IF(OR(C196="SS",C196="S"),2,1),1)</f>
        <v>1</v>
      </c>
      <c r="C196" t="e">
        <f>VLOOKUP(D196,Sheet4!$K$9:$L$110,2,0)</f>
        <v>#N/A</v>
      </c>
      <c r="D196" s="3" t="s">
        <v>110</v>
      </c>
      <c r="E196" t="str">
        <f>VLOOKUP(D196,'82欧洲库存'!$C$2:$U$199,2,0)</f>
        <v>ShouZhouQiu-002-82UK</v>
      </c>
      <c r="F196">
        <f>VLOOKUP(E196,'82欧洲库存'!$D$2:$V$30,19,0)</f>
        <v>27.99</v>
      </c>
      <c r="G196">
        <f>COUNTIF('149库存'!$C$2:$C$199,D196)</f>
        <v>0</v>
      </c>
      <c r="H196">
        <f>VLOOKUP(E196,'82欧洲库存'!$D$2:$V$30,19,0)</f>
        <v>27.99</v>
      </c>
      <c r="I196" s="26" t="s">
        <v>16</v>
      </c>
      <c r="J196">
        <f t="shared" ref="J196:J216" si="18">CEILING($J$13*B196/H196,1)</f>
        <v>18</v>
      </c>
      <c r="K196">
        <v>3</v>
      </c>
      <c r="L196">
        <f t="shared" ref="L196:L216" si="19">CEILING($L$13*B196/H196,1)</f>
        <v>26</v>
      </c>
      <c r="M196">
        <v>5</v>
      </c>
      <c r="N196">
        <f t="shared" ref="N196:N216" si="20">CEILING($N$13*B196/H196,1)</f>
        <v>43</v>
      </c>
      <c r="O196">
        <v>8</v>
      </c>
    </row>
    <row r="197" ht="14.25" spans="2:15">
      <c r="B197">
        <f t="shared" si="17"/>
        <v>1</v>
      </c>
      <c r="C197" t="e">
        <f>VLOOKUP(D197,Sheet4!$K$9:$L$110,2,0)</f>
        <v>#N/A</v>
      </c>
      <c r="D197" s="3" t="s">
        <v>111</v>
      </c>
      <c r="E197" t="str">
        <f>VLOOKUP(D197,'82欧洲库存'!$C$2:$U$199,2,0)</f>
        <v>82DE-DaoHaoHuDieChiBang</v>
      </c>
      <c r="F197">
        <f>VLOOKUP(E197,'82欧洲库存'!$D$2:$V$30,19,0)</f>
        <v>0</v>
      </c>
      <c r="G197">
        <f>COUNTIF('149库存'!$C$2:$C$199,D197)</f>
        <v>0</v>
      </c>
      <c r="H197">
        <f>VLOOKUP(E197,'82欧洲库存'!$D$2:$V$30,19,0)</f>
        <v>0</v>
      </c>
      <c r="I197" s="26" t="s">
        <v>16</v>
      </c>
      <c r="J197" t="e">
        <f t="shared" si="18"/>
        <v>#DIV/0!</v>
      </c>
      <c r="K197">
        <v>3</v>
      </c>
      <c r="L197" t="e">
        <f t="shared" si="19"/>
        <v>#DIV/0!</v>
      </c>
      <c r="M197">
        <v>5</v>
      </c>
      <c r="N197" t="e">
        <f t="shared" si="20"/>
        <v>#DIV/0!</v>
      </c>
      <c r="O197">
        <v>8</v>
      </c>
    </row>
    <row r="198" ht="14.25" spans="2:15">
      <c r="B198">
        <f t="shared" si="17"/>
        <v>1</v>
      </c>
      <c r="C198" t="e">
        <f>VLOOKUP(D198,Sheet4!$K$9:$L$110,2,0)</f>
        <v>#N/A</v>
      </c>
      <c r="D198" s="3" t="s">
        <v>112</v>
      </c>
      <c r="E198" t="str">
        <f>VLOOKUP(D198,'82欧洲库存'!$C$2:$U$199,2,0)</f>
        <v>82DE-ShuangQiangSheJi</v>
      </c>
      <c r="F198">
        <f>VLOOKUP(E198,'82欧洲库存'!$D$2:$V$30,19,0)</f>
        <v>0</v>
      </c>
      <c r="G198">
        <f>COUNTIF('149库存'!$C$2:$C$199,D198)</f>
        <v>1</v>
      </c>
      <c r="H198">
        <f>VLOOKUP(E198,'82欧洲库存'!$D$2:$V$30,19,0)</f>
        <v>0</v>
      </c>
      <c r="I198" s="26" t="s">
        <v>16</v>
      </c>
      <c r="J198" t="e">
        <f t="shared" si="18"/>
        <v>#DIV/0!</v>
      </c>
      <c r="K198">
        <v>3</v>
      </c>
      <c r="L198" t="e">
        <f t="shared" si="19"/>
        <v>#DIV/0!</v>
      </c>
      <c r="M198">
        <v>5</v>
      </c>
      <c r="N198" t="e">
        <f t="shared" si="20"/>
        <v>#DIV/0!</v>
      </c>
      <c r="O198">
        <v>8</v>
      </c>
    </row>
    <row r="199" ht="14.25" spans="2:15">
      <c r="B199">
        <f t="shared" si="17"/>
        <v>1</v>
      </c>
      <c r="C199" t="e">
        <f>VLOOKUP(D199,Sheet4!$K$9:$L$110,2,0)</f>
        <v>#N/A</v>
      </c>
      <c r="D199" s="3" t="s">
        <v>113</v>
      </c>
      <c r="E199" t="str">
        <f>VLOOKUP(D199,'82欧洲库存'!$C$2:$U$199,2,0)</f>
        <v>P82-FenRenJi</v>
      </c>
      <c r="F199">
        <f>VLOOKUP(E199,'82欧洲库存'!$D$2:$V$30,19,0)</f>
        <v>59.99</v>
      </c>
      <c r="G199">
        <f>COUNTIF('149库存'!$C$2:$C$199,D199)</f>
        <v>1</v>
      </c>
      <c r="H199">
        <f>VLOOKUP(E199,'82欧洲库存'!$D$2:$V$30,19,0)</f>
        <v>59.99</v>
      </c>
      <c r="I199" s="26" t="s">
        <v>16</v>
      </c>
      <c r="J199">
        <f t="shared" si="18"/>
        <v>9</v>
      </c>
      <c r="K199">
        <v>3</v>
      </c>
      <c r="L199">
        <f t="shared" si="19"/>
        <v>12</v>
      </c>
      <c r="M199">
        <v>5</v>
      </c>
      <c r="N199">
        <f t="shared" si="20"/>
        <v>21</v>
      </c>
      <c r="O199">
        <v>8</v>
      </c>
    </row>
    <row r="200" ht="14.25" spans="2:15">
      <c r="B200">
        <f t="shared" si="17"/>
        <v>1</v>
      </c>
      <c r="C200" t="e">
        <f>VLOOKUP(D200,Sheet4!$K$9:$L$110,2,0)</f>
        <v>#N/A</v>
      </c>
      <c r="D200" s="3" t="s">
        <v>114</v>
      </c>
      <c r="E200" t="str">
        <f>VLOOKUP(D200,'82欧洲库存'!$C$2:$U$199,2,0)</f>
        <v>82FR-NewHeiHuoJian 02</v>
      </c>
      <c r="F200">
        <f>VLOOKUP(E200,'82欧洲库存'!$D$2:$V$30,19,0)</f>
        <v>0</v>
      </c>
      <c r="G200">
        <f>COUNTIF('149库存'!$C$2:$C$199,D200)</f>
        <v>0</v>
      </c>
      <c r="H200">
        <f>VLOOKUP(E200,'82欧洲库存'!$D$2:$V$30,19,0)</f>
        <v>0</v>
      </c>
      <c r="I200" s="26" t="s">
        <v>16</v>
      </c>
      <c r="J200" t="e">
        <f t="shared" si="18"/>
        <v>#DIV/0!</v>
      </c>
      <c r="K200">
        <v>3</v>
      </c>
      <c r="L200" t="e">
        <f t="shared" si="19"/>
        <v>#DIV/0!</v>
      </c>
      <c r="M200">
        <v>5</v>
      </c>
      <c r="N200" t="e">
        <f t="shared" si="20"/>
        <v>#DIV/0!</v>
      </c>
      <c r="O200">
        <v>8</v>
      </c>
    </row>
    <row r="201" ht="14.25" spans="2:15">
      <c r="B201">
        <f t="shared" si="17"/>
        <v>1</v>
      </c>
      <c r="C201" t="e">
        <f>VLOOKUP(D201,Sheet4!$K$9:$L$110,2,0)</f>
        <v>#N/A</v>
      </c>
      <c r="D201" s="3" t="s">
        <v>115</v>
      </c>
      <c r="E201" t="str">
        <f>VLOOKUP(D201,'82欧洲库存'!$C$2:$U$199,2,0)</f>
        <v>82DE-609FenRenJi</v>
      </c>
      <c r="F201">
        <f>VLOOKUP(E201,'82欧洲库存'!$D$2:$V$30,19,0)</f>
        <v>0</v>
      </c>
      <c r="G201">
        <f>COUNTIF('149库存'!$C$2:$C$199,D201)</f>
        <v>0</v>
      </c>
      <c r="H201">
        <f>VLOOKUP(E201,'82欧洲库存'!$D$2:$V$30,19,0)</f>
        <v>0</v>
      </c>
      <c r="I201" s="26" t="s">
        <v>16</v>
      </c>
      <c r="J201" t="e">
        <f t="shared" si="18"/>
        <v>#DIV/0!</v>
      </c>
      <c r="K201">
        <v>3</v>
      </c>
      <c r="L201" t="e">
        <f t="shared" si="19"/>
        <v>#DIV/0!</v>
      </c>
      <c r="M201">
        <v>5</v>
      </c>
      <c r="N201" t="e">
        <f t="shared" si="20"/>
        <v>#DIV/0!</v>
      </c>
      <c r="O201">
        <v>8</v>
      </c>
    </row>
    <row r="202" ht="14.25" spans="2:15">
      <c r="B202">
        <f t="shared" si="17"/>
        <v>1</v>
      </c>
      <c r="C202" t="e">
        <f>VLOOKUP(D202,Sheet4!$K$9:$L$110,2,0)</f>
        <v>#N/A</v>
      </c>
      <c r="D202" s="3" t="s">
        <v>116</v>
      </c>
      <c r="E202" t="str">
        <f>VLOOKUP(D202,'82欧洲库存'!$C$2:$U$199,2,0)</f>
        <v>82DE-SiJianTao2M</v>
      </c>
      <c r="F202">
        <f>VLOOKUP(E202,'82欧洲库存'!$D$2:$V$30,19,0)</f>
        <v>0</v>
      </c>
      <c r="G202">
        <f>COUNTIF('149库存'!$C$2:$C$199,D202)</f>
        <v>0</v>
      </c>
      <c r="H202">
        <f>VLOOKUP(E202,'82欧洲库存'!$D$2:$V$30,19,0)</f>
        <v>0</v>
      </c>
      <c r="I202" s="26" t="s">
        <v>16</v>
      </c>
      <c r="J202" t="e">
        <f t="shared" si="18"/>
        <v>#DIV/0!</v>
      </c>
      <c r="K202">
        <v>3</v>
      </c>
      <c r="L202" t="e">
        <f t="shared" si="19"/>
        <v>#DIV/0!</v>
      </c>
      <c r="M202">
        <v>5</v>
      </c>
      <c r="N202" t="e">
        <f t="shared" si="20"/>
        <v>#DIV/0!</v>
      </c>
      <c r="O202">
        <v>8</v>
      </c>
    </row>
    <row r="203" ht="14.25" spans="2:15">
      <c r="B203">
        <f t="shared" si="17"/>
        <v>1</v>
      </c>
      <c r="C203" t="str">
        <f>VLOOKUP(D203,Sheet4!$K$9:$L$110,2,0)</f>
        <v>A</v>
      </c>
      <c r="D203" s="3" t="s">
        <v>117</v>
      </c>
      <c r="E203" t="str">
        <f>VLOOKUP(D203,'82欧洲库存'!$C$2:$U$199,2,0)</f>
        <v>Expression-toy-baihong</v>
      </c>
      <c r="F203">
        <f>VLOOKUP(E203,'82欧洲库存'!$D$2:$V$30,19,0)</f>
        <v>0</v>
      </c>
      <c r="G203">
        <f>COUNTIF('149库存'!$C$2:$C$199,D203)</f>
        <v>1</v>
      </c>
      <c r="H203">
        <f>VLOOKUP(E203,'82欧洲库存'!$D$2:$V$30,19,0)</f>
        <v>0</v>
      </c>
      <c r="I203" s="26" t="s">
        <v>16</v>
      </c>
      <c r="J203" t="e">
        <f t="shared" si="18"/>
        <v>#DIV/0!</v>
      </c>
      <c r="K203">
        <v>3</v>
      </c>
      <c r="L203" t="e">
        <f t="shared" si="19"/>
        <v>#DIV/0!</v>
      </c>
      <c r="M203">
        <v>5</v>
      </c>
      <c r="N203" t="e">
        <f t="shared" si="20"/>
        <v>#DIV/0!</v>
      </c>
      <c r="O203">
        <v>8</v>
      </c>
    </row>
    <row r="204" ht="14.25" spans="2:15">
      <c r="B204">
        <f t="shared" si="17"/>
        <v>1</v>
      </c>
      <c r="C204" t="e">
        <f>VLOOKUP(D204,Sheet4!$K$9:$L$110,2,0)</f>
        <v>#N/A</v>
      </c>
      <c r="D204" s="3" t="s">
        <v>118</v>
      </c>
      <c r="E204" t="str">
        <f>VLOOKUP(D204,'82欧洲库存'!$C$2:$U$199,2,0)</f>
        <v>82FR-Heart3DStringArt</v>
      </c>
      <c r="F204">
        <f>VLOOKUP(E204,'82欧洲库存'!$D$2:$V$30,19,0)</f>
        <v>0</v>
      </c>
      <c r="G204">
        <f>COUNTIF('149库存'!$C$2:$C$199,D204)</f>
        <v>1</v>
      </c>
      <c r="H204">
        <f>VLOOKUP(E204,'82欧洲库存'!$D$2:$V$30,19,0)</f>
        <v>0</v>
      </c>
      <c r="I204" s="26" t="s">
        <v>16</v>
      </c>
      <c r="J204" t="e">
        <f t="shared" si="18"/>
        <v>#DIV/0!</v>
      </c>
      <c r="K204">
        <v>3</v>
      </c>
      <c r="L204" t="e">
        <f t="shared" si="19"/>
        <v>#DIV/0!</v>
      </c>
      <c r="M204">
        <v>5</v>
      </c>
      <c r="N204" t="e">
        <f t="shared" si="20"/>
        <v>#DIV/0!</v>
      </c>
      <c r="O204">
        <v>8</v>
      </c>
    </row>
    <row r="205" ht="14.25" spans="2:15">
      <c r="B205">
        <f t="shared" si="17"/>
        <v>1</v>
      </c>
      <c r="C205" t="e">
        <f>VLOOKUP(D205,Sheet4!$K$9:$L$110,2,0)</f>
        <v>#N/A</v>
      </c>
      <c r="D205" s="3" t="s">
        <v>119</v>
      </c>
      <c r="E205" t="str">
        <f>VLOOKUP(D205,'82欧洲库存'!$C$2:$U$199,2,0)</f>
        <v>82DE-LvGuiDaoChe 01</v>
      </c>
      <c r="F205">
        <f>VLOOKUP(E205,'82欧洲库存'!$D$2:$V$30,19,0)</f>
        <v>0</v>
      </c>
      <c r="G205">
        <f>COUNTIF('149库存'!$C$2:$C$199,D205)</f>
        <v>0</v>
      </c>
      <c r="H205">
        <f>VLOOKUP(E205,'82欧洲库存'!$D$2:$V$30,19,0)</f>
        <v>0</v>
      </c>
      <c r="I205" s="26" t="s">
        <v>16</v>
      </c>
      <c r="J205" t="e">
        <f t="shared" si="18"/>
        <v>#DIV/0!</v>
      </c>
      <c r="K205">
        <v>3</v>
      </c>
      <c r="L205" t="e">
        <f t="shared" si="19"/>
        <v>#DIV/0!</v>
      </c>
      <c r="M205">
        <v>5</v>
      </c>
      <c r="N205" t="e">
        <f t="shared" si="20"/>
        <v>#DIV/0!</v>
      </c>
      <c r="O205">
        <v>8</v>
      </c>
    </row>
    <row r="206" ht="14.25" spans="2:15">
      <c r="B206">
        <f t="shared" si="17"/>
        <v>2</v>
      </c>
      <c r="C206" t="str">
        <f>VLOOKUP(D206,Sheet4!$K$9:$L$110,2,0)</f>
        <v>S</v>
      </c>
      <c r="D206" s="3" t="s">
        <v>120</v>
      </c>
      <c r="E206" t="str">
        <f>VLOOKUP(D206,'82欧洲库存'!$C$2:$U$199,2,0)</f>
        <v>82FR-PinkClawMachine01</v>
      </c>
      <c r="F206">
        <f>VLOOKUP(E206,'82欧洲库存'!$D$2:$V$30,19,0)</f>
        <v>0</v>
      </c>
      <c r="G206">
        <f>COUNTIF('149库存'!$C$2:$C$199,D206)</f>
        <v>1</v>
      </c>
      <c r="H206">
        <f>VLOOKUP(E206,'82欧洲库存'!$D$2:$V$30,19,0)</f>
        <v>0</v>
      </c>
      <c r="I206" s="26" t="s">
        <v>16</v>
      </c>
      <c r="J206" t="e">
        <f t="shared" si="18"/>
        <v>#DIV/0!</v>
      </c>
      <c r="K206">
        <v>3</v>
      </c>
      <c r="L206" t="e">
        <f t="shared" si="19"/>
        <v>#DIV/0!</v>
      </c>
      <c r="M206">
        <v>5</v>
      </c>
      <c r="N206" t="e">
        <f t="shared" si="20"/>
        <v>#DIV/0!</v>
      </c>
      <c r="O206">
        <v>8</v>
      </c>
    </row>
    <row r="207" ht="14.25" spans="2:15">
      <c r="B207">
        <f t="shared" si="17"/>
        <v>1</v>
      </c>
      <c r="C207" t="e">
        <f>VLOOKUP(D207,Sheet4!$K$9:$L$110,2,0)</f>
        <v>#N/A</v>
      </c>
      <c r="D207" s="3" t="s">
        <v>121</v>
      </c>
      <c r="E207" t="str">
        <f>VLOOKUP(D207,'82欧洲库存'!$C$2:$U$199,2,0)</f>
        <v>82DE-JiaNiQiu</v>
      </c>
      <c r="F207">
        <f>VLOOKUP(E207,'82欧洲库存'!$D$2:$V$30,19,0)</f>
        <v>0</v>
      </c>
      <c r="G207">
        <f>COUNTIF('149库存'!$C$2:$C$199,D207)</f>
        <v>0</v>
      </c>
      <c r="H207">
        <f>VLOOKUP(E207,'82欧洲库存'!$D$2:$V$30,19,0)</f>
        <v>0</v>
      </c>
      <c r="I207" s="26" t="s">
        <v>16</v>
      </c>
      <c r="J207" t="e">
        <f t="shared" si="18"/>
        <v>#DIV/0!</v>
      </c>
      <c r="K207">
        <v>3</v>
      </c>
      <c r="L207" t="e">
        <f t="shared" si="19"/>
        <v>#DIV/0!</v>
      </c>
      <c r="M207">
        <v>5</v>
      </c>
      <c r="N207" t="e">
        <f t="shared" si="20"/>
        <v>#DIV/0!</v>
      </c>
      <c r="O207">
        <v>8</v>
      </c>
    </row>
    <row r="208" ht="14.25" spans="2:15">
      <c r="B208">
        <f t="shared" si="17"/>
        <v>1</v>
      </c>
      <c r="C208" t="e">
        <f>VLOOKUP(D208,Sheet4!$K$9:$L$110,2,0)</f>
        <v>#N/A</v>
      </c>
      <c r="D208" s="3" t="s">
        <v>122</v>
      </c>
      <c r="E208" t="str">
        <f>VLOOKUP(D208,'82欧洲库存'!$C$2:$U$199,2,0)</f>
        <v>DE-BallRattle-Blue</v>
      </c>
      <c r="F208">
        <f>VLOOKUP(E208,'82欧洲库存'!$D$2:$V$30,19,0)</f>
        <v>0</v>
      </c>
      <c r="G208">
        <f>COUNTIF('149库存'!$C$2:$C$199,D208)</f>
        <v>0</v>
      </c>
      <c r="H208">
        <f>VLOOKUP(E208,'82欧洲库存'!$D$2:$V$30,19,0)</f>
        <v>0</v>
      </c>
      <c r="I208" s="26" t="s">
        <v>16</v>
      </c>
      <c r="J208" t="e">
        <f t="shared" si="18"/>
        <v>#DIV/0!</v>
      </c>
      <c r="K208">
        <v>3</v>
      </c>
      <c r="L208" t="e">
        <f t="shared" si="19"/>
        <v>#DIV/0!</v>
      </c>
      <c r="M208">
        <v>5</v>
      </c>
      <c r="N208" t="e">
        <f t="shared" si="20"/>
        <v>#DIV/0!</v>
      </c>
      <c r="O208">
        <v>8</v>
      </c>
    </row>
    <row r="209" ht="14.25" spans="2:15">
      <c r="B209">
        <f t="shared" si="17"/>
        <v>1</v>
      </c>
      <c r="C209" t="e">
        <f>VLOOKUP(D209,Sheet4!$K$9:$L$110,2,0)</f>
        <v>#N/A</v>
      </c>
      <c r="D209" s="3" t="s">
        <v>123</v>
      </c>
      <c r="E209" t="str">
        <f>VLOOKUP(D209,'82欧洲库存'!$C$2:$U$199,2,0)</f>
        <v>82FR-HeiHuoJian</v>
      </c>
      <c r="F209">
        <f>VLOOKUP(E209,'82欧洲库存'!$D$2:$V$30,19,0)</f>
        <v>0</v>
      </c>
      <c r="G209">
        <f>COUNTIF('149库存'!$C$2:$C$199,D209)</f>
        <v>0</v>
      </c>
      <c r="H209">
        <f>VLOOKUP(E209,'82欧洲库存'!$D$2:$V$30,19,0)</f>
        <v>0</v>
      </c>
      <c r="I209" s="26" t="s">
        <v>16</v>
      </c>
      <c r="J209" t="e">
        <f t="shared" si="18"/>
        <v>#DIV/0!</v>
      </c>
      <c r="K209">
        <v>3</v>
      </c>
      <c r="L209" t="e">
        <f t="shared" si="19"/>
        <v>#DIV/0!</v>
      </c>
      <c r="M209">
        <v>5</v>
      </c>
      <c r="N209" t="e">
        <f t="shared" si="20"/>
        <v>#DIV/0!</v>
      </c>
      <c r="O209">
        <v>8</v>
      </c>
    </row>
    <row r="210" ht="14.25" spans="2:15">
      <c r="B210">
        <f t="shared" si="17"/>
        <v>1</v>
      </c>
      <c r="C210" t="e">
        <f>VLOOKUP(D210,Sheet4!$K$9:$L$110,2,0)</f>
        <v>#N/A</v>
      </c>
      <c r="D210" s="3" t="s">
        <v>124</v>
      </c>
      <c r="E210" t="str">
        <f>VLOOKUP(D210,'82欧洲库存'!$C$2:$U$199,2,0)</f>
        <v>82RF-BlueClawMachine</v>
      </c>
      <c r="F210">
        <f>VLOOKUP(E210,'82欧洲库存'!$D$2:$V$30,19,0)</f>
        <v>105.99</v>
      </c>
      <c r="G210">
        <f>COUNTIF('149库存'!$C$2:$C$199,D210)</f>
        <v>1</v>
      </c>
      <c r="H210">
        <f>VLOOKUP(E210,'82欧洲库存'!$D$2:$V$30,19,0)</f>
        <v>105.99</v>
      </c>
      <c r="I210" s="26" t="s">
        <v>16</v>
      </c>
      <c r="J210">
        <f t="shared" si="18"/>
        <v>5</v>
      </c>
      <c r="K210">
        <v>3</v>
      </c>
      <c r="L210">
        <f t="shared" si="19"/>
        <v>7</v>
      </c>
      <c r="M210">
        <v>5</v>
      </c>
      <c r="N210">
        <f t="shared" si="20"/>
        <v>12</v>
      </c>
      <c r="O210">
        <v>8</v>
      </c>
    </row>
    <row r="211" ht="14.25" spans="2:15">
      <c r="B211">
        <f t="shared" si="17"/>
        <v>1</v>
      </c>
      <c r="C211" t="e">
        <f>VLOOKUP(D211,Sheet4!$K$9:$L$110,2,0)</f>
        <v>#N/A</v>
      </c>
      <c r="D211" s="3" t="s">
        <v>125</v>
      </c>
      <c r="E211" t="str">
        <f>VLOOKUP(D211,'82欧洲库存'!$C$2:$U$199,2,0)</f>
        <v>82DE-ShenLanSuTuiJi</v>
      </c>
      <c r="F211">
        <f>VLOOKUP(E211,'82欧洲库存'!$D$2:$V$30,19,0)</f>
        <v>0</v>
      </c>
      <c r="G211">
        <f>COUNTIF('149库存'!$C$2:$C$199,D211)</f>
        <v>0</v>
      </c>
      <c r="H211">
        <f>VLOOKUP(E211,'82欧洲库存'!$D$2:$V$30,19,0)</f>
        <v>0</v>
      </c>
      <c r="I211" s="26" t="s">
        <v>16</v>
      </c>
      <c r="J211" t="e">
        <f t="shared" si="18"/>
        <v>#DIV/0!</v>
      </c>
      <c r="K211">
        <v>3</v>
      </c>
      <c r="L211" t="e">
        <f t="shared" si="19"/>
        <v>#DIV/0!</v>
      </c>
      <c r="M211">
        <v>5</v>
      </c>
      <c r="N211" t="e">
        <f t="shared" si="20"/>
        <v>#DIV/0!</v>
      </c>
      <c r="O211">
        <v>8</v>
      </c>
    </row>
    <row r="212" ht="14.25" spans="2:15">
      <c r="B212">
        <f t="shared" si="17"/>
        <v>1</v>
      </c>
      <c r="C212" t="e">
        <f>VLOOKUP(D212,Sheet4!$K$9:$L$110,2,0)</f>
        <v>#N/A</v>
      </c>
      <c r="D212" s="3" t="s">
        <v>126</v>
      </c>
      <c r="E212" t="str">
        <f>VLOOKUP(D212,'82欧洲库存'!$C$2:$U$199,2,0)</f>
        <v>82DE-MeiHongSuTuiJi</v>
      </c>
      <c r="F212">
        <f>VLOOKUP(E212,'82欧洲库存'!$D$2:$V$30,19,0)</f>
        <v>0</v>
      </c>
      <c r="G212">
        <f>COUNTIF('149库存'!$C$2:$C$199,D212)</f>
        <v>0</v>
      </c>
      <c r="H212">
        <f>VLOOKUP(E212,'82欧洲库存'!$D$2:$V$30,19,0)</f>
        <v>0</v>
      </c>
      <c r="I212" s="26" t="s">
        <v>16</v>
      </c>
      <c r="J212" t="e">
        <f t="shared" si="18"/>
        <v>#DIV/0!</v>
      </c>
      <c r="K212">
        <v>3</v>
      </c>
      <c r="L212" t="e">
        <f t="shared" si="19"/>
        <v>#DIV/0!</v>
      </c>
      <c r="M212">
        <v>5</v>
      </c>
      <c r="N212" t="e">
        <f t="shared" si="20"/>
        <v>#DIV/0!</v>
      </c>
      <c r="O212">
        <v>8</v>
      </c>
    </row>
    <row r="213" ht="14.25" spans="2:15">
      <c r="B213">
        <f t="shared" si="17"/>
        <v>1</v>
      </c>
      <c r="C213" t="e">
        <f>VLOOKUP(D213,Sheet4!$K$9:$L$110,2,0)</f>
        <v>#N/A</v>
      </c>
      <c r="D213" s="3" t="s">
        <v>116</v>
      </c>
      <c r="E213" t="str">
        <f>VLOOKUP(D213,'82欧洲库存'!$C$2:$U$199,2,0)</f>
        <v>82DE-SiJianTao2M</v>
      </c>
      <c r="F213">
        <f>VLOOKUP(E213,'82欧洲库存'!$D$2:$V$30,19,0)</f>
        <v>0</v>
      </c>
      <c r="G213">
        <f>COUNTIF('149库存'!$C$2:$C$199,D213)</f>
        <v>0</v>
      </c>
      <c r="H213">
        <f>VLOOKUP(E213,'82欧洲库存'!$D$2:$V$30,19,0)</f>
        <v>0</v>
      </c>
      <c r="I213" s="26" t="s">
        <v>16</v>
      </c>
      <c r="J213" t="e">
        <f t="shared" si="18"/>
        <v>#DIV/0!</v>
      </c>
      <c r="K213">
        <v>3</v>
      </c>
      <c r="L213" t="e">
        <f t="shared" si="19"/>
        <v>#DIV/0!</v>
      </c>
      <c r="M213">
        <v>5</v>
      </c>
      <c r="N213" t="e">
        <f t="shared" si="20"/>
        <v>#DIV/0!</v>
      </c>
      <c r="O213">
        <v>8</v>
      </c>
    </row>
    <row r="214" ht="14.25" spans="2:15">
      <c r="B214">
        <f t="shared" si="17"/>
        <v>1</v>
      </c>
      <c r="C214" t="e">
        <f>VLOOKUP(D214,Sheet4!$K$9:$L$110,2,0)</f>
        <v>#N/A</v>
      </c>
      <c r="D214" s="3" t="s">
        <v>127</v>
      </c>
      <c r="E214" t="str">
        <f>VLOOKUP(D214,'82欧洲库存'!$C$2:$U$199,2,0)</f>
        <v>B0B9N5PX8H</v>
      </c>
      <c r="F214">
        <f>VLOOKUP(E214,'82欧洲库存'!$D$2:$V$30,19,0)</f>
        <v>0</v>
      </c>
      <c r="G214">
        <f>COUNTIF('149库存'!$C$2:$C$199,D214)</f>
        <v>0</v>
      </c>
      <c r="H214">
        <f>VLOOKUP(E214,'82欧洲库存'!$D$2:$V$30,19,0)</f>
        <v>0</v>
      </c>
      <c r="I214" s="26" t="s">
        <v>16</v>
      </c>
      <c r="J214" t="e">
        <f t="shared" si="18"/>
        <v>#DIV/0!</v>
      </c>
      <c r="K214">
        <v>3</v>
      </c>
      <c r="L214" t="e">
        <f t="shared" si="19"/>
        <v>#DIV/0!</v>
      </c>
      <c r="M214">
        <v>5</v>
      </c>
      <c r="N214" t="e">
        <f t="shared" si="20"/>
        <v>#DIV/0!</v>
      </c>
      <c r="O214">
        <v>8</v>
      </c>
    </row>
    <row r="215" ht="14.25" spans="2:15">
      <c r="B215">
        <f t="shared" si="17"/>
        <v>1</v>
      </c>
      <c r="C215" t="e">
        <f>VLOOKUP(D215,Sheet4!$K$9:$L$110,2,0)</f>
        <v>#N/A</v>
      </c>
      <c r="D215" s="3" t="s">
        <v>128</v>
      </c>
      <c r="E215" t="str">
        <f>VLOOKUP(D215,'82欧洲库存'!$C$2:$U$199,2,0)</f>
        <v>SoftBuildingBlock-US115</v>
      </c>
      <c r="F215">
        <f>VLOOKUP(E215,'82欧洲库存'!$D$2:$V$30,19,0)</f>
        <v>0</v>
      </c>
      <c r="G215">
        <f>COUNTIF('149库存'!$C$2:$C$199,D215)</f>
        <v>0</v>
      </c>
      <c r="H215">
        <f>VLOOKUP(E215,'82欧洲库存'!$D$2:$V$30,19,0)</f>
        <v>0</v>
      </c>
      <c r="I215" s="26" t="s">
        <v>16</v>
      </c>
      <c r="J215" t="e">
        <f t="shared" si="18"/>
        <v>#DIV/0!</v>
      </c>
      <c r="K215">
        <v>3</v>
      </c>
      <c r="L215" t="e">
        <f t="shared" si="19"/>
        <v>#DIV/0!</v>
      </c>
      <c r="M215">
        <v>5</v>
      </c>
      <c r="N215" t="e">
        <f t="shared" si="20"/>
        <v>#DIV/0!</v>
      </c>
      <c r="O215">
        <v>8</v>
      </c>
    </row>
    <row r="216" ht="14.25" spans="2:15">
      <c r="B216">
        <f t="shared" si="17"/>
        <v>1</v>
      </c>
      <c r="C216" t="e">
        <f>VLOOKUP(D216,Sheet4!$K$9:$L$110,2,0)</f>
        <v>#N/A</v>
      </c>
      <c r="D216" s="3" t="s">
        <v>108</v>
      </c>
      <c r="E216" t="str">
        <f>VLOOKUP(D216,'82欧洲库存'!$C$2:$U$199,2,0)</f>
        <v>newFRJ202-MWR</v>
      </c>
      <c r="F216">
        <f>VLOOKUP(E216,'82欧洲库存'!$D$2:$V$30,19,0)</f>
        <v>0</v>
      </c>
      <c r="G216">
        <f>COUNTIF('149库存'!$C$2:$C$199,D216)</f>
        <v>1</v>
      </c>
      <c r="H216">
        <f>VLOOKUP(E216,'82欧洲库存'!$D$2:$V$30,19,0)</f>
        <v>0</v>
      </c>
      <c r="I216" s="26" t="s">
        <v>16</v>
      </c>
      <c r="J216" t="e">
        <f t="shared" si="18"/>
        <v>#DIV/0!</v>
      </c>
      <c r="K216">
        <v>3</v>
      </c>
      <c r="L216" t="e">
        <f t="shared" si="19"/>
        <v>#DIV/0!</v>
      </c>
      <c r="M216">
        <v>5</v>
      </c>
      <c r="N216" t="e">
        <f t="shared" si="20"/>
        <v>#DIV/0!</v>
      </c>
      <c r="O216">
        <v>8</v>
      </c>
    </row>
    <row r="225" spans="2:19">
      <c r="B225">
        <v>1</v>
      </c>
      <c r="C225" t="e">
        <v>#N/A</v>
      </c>
      <c r="D225" t="s">
        <v>102</v>
      </c>
      <c r="E225" t="s">
        <v>129</v>
      </c>
      <c r="F225">
        <v>89.99</v>
      </c>
      <c r="G225">
        <v>0</v>
      </c>
      <c r="H225">
        <v>89.99</v>
      </c>
      <c r="I225" t="s">
        <v>16</v>
      </c>
      <c r="J225">
        <v>6</v>
      </c>
      <c r="K225">
        <v>3</v>
      </c>
      <c r="L225">
        <v>8</v>
      </c>
      <c r="M225">
        <v>5</v>
      </c>
      <c r="N225">
        <v>14</v>
      </c>
      <c r="O225">
        <v>8</v>
      </c>
    </row>
    <row r="226" spans="2:19">
      <c r="B226">
        <v>1</v>
      </c>
      <c r="C226" t="e">
        <v>#N/A</v>
      </c>
      <c r="D226" t="s">
        <v>110</v>
      </c>
      <c r="E226" t="s">
        <v>130</v>
      </c>
      <c r="F226">
        <v>27.99</v>
      </c>
      <c r="G226">
        <v>0</v>
      </c>
      <c r="H226">
        <v>27.99</v>
      </c>
      <c r="I226" t="s">
        <v>16</v>
      </c>
      <c r="J226">
        <v>18</v>
      </c>
      <c r="K226">
        <v>3</v>
      </c>
      <c r="L226">
        <v>26</v>
      </c>
      <c r="M226">
        <v>5</v>
      </c>
      <c r="N226">
        <v>43</v>
      </c>
      <c r="O226">
        <v>8</v>
      </c>
    </row>
    <row r="227" spans="2:19">
      <c r="B227">
        <v>1</v>
      </c>
      <c r="C227" t="e">
        <v>#N/A</v>
      </c>
      <c r="D227" t="s">
        <v>113</v>
      </c>
      <c r="E227" t="s">
        <v>131</v>
      </c>
      <c r="F227">
        <v>59.99</v>
      </c>
      <c r="G227">
        <v>1</v>
      </c>
      <c r="H227">
        <v>59.99</v>
      </c>
      <c r="I227" t="s">
        <v>16</v>
      </c>
      <c r="J227">
        <v>9</v>
      </c>
      <c r="K227">
        <v>3</v>
      </c>
      <c r="L227">
        <v>12</v>
      </c>
      <c r="M227">
        <v>5</v>
      </c>
      <c r="N227">
        <v>21</v>
      </c>
      <c r="O227">
        <v>8</v>
      </c>
    </row>
    <row r="228" spans="2:19">
      <c r="B228">
        <v>1</v>
      </c>
      <c r="C228" t="e">
        <v>#N/A</v>
      </c>
      <c r="D228" t="s">
        <v>124</v>
      </c>
      <c r="E228" t="s">
        <v>132</v>
      </c>
      <c r="F228">
        <v>105.99</v>
      </c>
      <c r="G228">
        <v>1</v>
      </c>
      <c r="H228">
        <v>105.99</v>
      </c>
      <c r="I228" t="s">
        <v>16</v>
      </c>
      <c r="J228">
        <v>5</v>
      </c>
      <c r="K228">
        <v>3</v>
      </c>
      <c r="L228">
        <v>7</v>
      </c>
      <c r="M228">
        <v>5</v>
      </c>
      <c r="N228">
        <v>12</v>
      </c>
      <c r="O228">
        <v>8</v>
      </c>
    </row>
    <row r="232" spans="2:19">
      <c r="S232" t="s">
        <v>133</v>
      </c>
    </row>
    <row r="233" spans="2:19">
      <c r="S233" t="s">
        <v>134</v>
      </c>
    </row>
    <row r="234" spans="2:19">
      <c r="S234" t="s">
        <v>135</v>
      </c>
    </row>
    <row r="235" spans="2:19">
      <c r="S235" t="s">
        <v>113</v>
      </c>
    </row>
    <row r="236" spans="2:19">
      <c r="S236" t="s">
        <v>136</v>
      </c>
    </row>
    <row r="237" spans="2:19">
      <c r="S237" t="s">
        <v>137</v>
      </c>
    </row>
    <row r="238" spans="2:19">
      <c r="D238" t="s">
        <v>138</v>
      </c>
      <c r="S238" t="s">
        <v>139</v>
      </c>
    </row>
    <row r="239" spans="2:19">
      <c r="S239" t="s">
        <v>140</v>
      </c>
    </row>
    <row r="240" spans="2:19">
      <c r="D240" s="3"/>
      <c r="S240" t="s">
        <v>141</v>
      </c>
    </row>
    <row r="241" spans="4:19">
      <c r="D241" s="3"/>
      <c r="S241" t="s">
        <v>142</v>
      </c>
    </row>
    <row r="242" spans="4:19">
      <c r="D242" s="3"/>
      <c r="S242" t="s">
        <v>143</v>
      </c>
    </row>
    <row r="243" spans="4:19">
      <c r="D243" s="3"/>
      <c r="S243" t="s">
        <v>144</v>
      </c>
    </row>
    <row r="244" spans="4:19">
      <c r="D244" s="3"/>
      <c r="S244" t="s">
        <v>145</v>
      </c>
    </row>
    <row r="245" spans="4:19">
      <c r="D245" s="3"/>
      <c r="S245" t="s">
        <v>146</v>
      </c>
    </row>
    <row r="246" spans="4:19">
      <c r="D246" s="3"/>
      <c r="S246" t="s">
        <v>147</v>
      </c>
    </row>
    <row r="247" spans="4:19">
      <c r="D247" s="3"/>
      <c r="S247" t="s">
        <v>148</v>
      </c>
    </row>
    <row r="248" spans="4:19">
      <c r="D248" s="3"/>
      <c r="S248" t="s">
        <v>149</v>
      </c>
    </row>
    <row r="249" spans="4:19">
      <c r="D249" s="3"/>
      <c r="S249" t="s">
        <v>150</v>
      </c>
    </row>
    <row r="250" spans="4:19">
      <c r="D250" s="3"/>
      <c r="S250" t="s">
        <v>151</v>
      </c>
    </row>
    <row r="251" spans="4:19">
      <c r="D251" s="3"/>
      <c r="S251" t="s">
        <v>152</v>
      </c>
    </row>
    <row r="252" spans="4:19">
      <c r="D252" s="3"/>
      <c r="S252" t="s">
        <v>153</v>
      </c>
    </row>
    <row r="253" spans="4:19">
      <c r="D253" s="3"/>
      <c r="S253" t="s">
        <v>154</v>
      </c>
    </row>
    <row r="254" spans="4:19">
      <c r="D254" s="3"/>
      <c r="S254" t="s">
        <v>155</v>
      </c>
    </row>
    <row r="255" spans="4:19">
      <c r="D255" s="3"/>
      <c r="S255" t="s">
        <v>156</v>
      </c>
    </row>
    <row r="256" spans="4:19">
      <c r="D256" s="3"/>
      <c r="S256" t="s">
        <v>157</v>
      </c>
    </row>
    <row r="257" spans="1:19">
      <c r="D257" s="3"/>
      <c r="S257" t="s">
        <v>158</v>
      </c>
    </row>
    <row r="258" spans="1:19">
      <c r="D258" s="3"/>
      <c r="S258" t="s">
        <v>159</v>
      </c>
    </row>
    <row r="259" spans="1:19">
      <c r="D259" s="3"/>
      <c r="S259" t="s">
        <v>160</v>
      </c>
    </row>
    <row r="260" spans="1:19">
      <c r="D260" s="3"/>
      <c r="S260" t="s">
        <v>161</v>
      </c>
    </row>
    <row r="261" spans="1:19">
      <c r="D261" s="3"/>
      <c r="S261" t="s">
        <v>127</v>
      </c>
    </row>
    <row r="262" spans="1:19">
      <c r="D262" s="3"/>
      <c r="S262" t="s">
        <v>162</v>
      </c>
    </row>
    <row r="263" spans="1:19">
      <c r="D263" s="3"/>
      <c r="S263" t="s">
        <v>163</v>
      </c>
    </row>
    <row r="264" spans="1:19">
      <c r="D264" s="3"/>
      <c r="S264" t="s">
        <v>164</v>
      </c>
    </row>
    <row r="265" spans="1:19">
      <c r="D265" s="3"/>
      <c r="S265" t="s">
        <v>165</v>
      </c>
    </row>
    <row r="266" spans="1:19">
      <c r="D266" s="3"/>
      <c r="S266" t="s">
        <v>166</v>
      </c>
    </row>
    <row r="267" spans="1:19">
      <c r="D267" s="3"/>
      <c r="S267" t="s">
        <v>167</v>
      </c>
    </row>
    <row r="268" spans="1:19">
      <c r="D268" s="3"/>
      <c r="S268" t="s">
        <v>168</v>
      </c>
    </row>
    <row r="269" spans="1:19">
      <c r="S269" t="s">
        <v>169</v>
      </c>
    </row>
    <row r="270" spans="1:19">
      <c r="S270" t="s">
        <v>122</v>
      </c>
    </row>
    <row r="271" ht="14.25" spans="1:19">
      <c r="A271">
        <v>2</v>
      </c>
      <c r="B271">
        <f t="shared" ref="B271:B297" si="21">IFERROR(IF(OR(C271="SS",C271="S"),2,1),1)</f>
        <v>1</v>
      </c>
      <c r="C271" t="e">
        <f>VLOOKUP(D271,Sheet4!$K$9:$L$110,2,0)</f>
        <v>#N/A</v>
      </c>
      <c r="D271" t="s">
        <v>133</v>
      </c>
      <c r="E271" t="str">
        <f>VLOOKUP(D271,'50欧洲库存'!C2:V113,2,0)</f>
        <v>ShouZhuaQiu-6Ge-1001-FBA</v>
      </c>
      <c r="F271">
        <f>VLOOKUP(D271,'50欧洲库存'!$C$2:$V$113,20,0)</f>
        <v>0</v>
      </c>
      <c r="G271">
        <f>COUNTIF('50欧洲库存'!$C$2:$C$199,D271)</f>
        <v>1</v>
      </c>
      <c r="H271">
        <f>VLOOKUP(D271,'50欧洲库存'!$C$2:$V$113,20,0)</f>
        <v>0</v>
      </c>
      <c r="I271" s="26" t="s">
        <v>16</v>
      </c>
      <c r="J271" t="e">
        <f t="shared" ref="J271:J297" si="22">CEILING($J$13*B271/H271,1)</f>
        <v>#DIV/0!</v>
      </c>
      <c r="K271">
        <v>3</v>
      </c>
      <c r="L271" t="e">
        <f t="shared" ref="L271:L297" si="23">CEILING($L$13*B271/H271,1)</f>
        <v>#DIV/0!</v>
      </c>
      <c r="M271">
        <v>5</v>
      </c>
      <c r="N271" t="e">
        <f t="shared" ref="N271:N297" si="24">CEILING($N$13*B271/H271,1)</f>
        <v>#DIV/0!</v>
      </c>
      <c r="O271">
        <v>8</v>
      </c>
      <c r="S271" t="s">
        <v>170</v>
      </c>
    </row>
    <row r="272" ht="14.25" spans="1:19">
      <c r="A272">
        <v>1</v>
      </c>
      <c r="B272">
        <f t="shared" si="21"/>
        <v>1</v>
      </c>
      <c r="C272" t="e">
        <f>VLOOKUP(D272,Sheet4!$K$9:$L$110,2,0)</f>
        <v>#N/A</v>
      </c>
      <c r="D272" t="s">
        <v>134</v>
      </c>
      <c r="E272" t="str">
        <f>VLOOKUP(D272,'50欧洲库存'!C3:V114,2,0)</f>
        <v>MianJu-LED-LvSe-FBA</v>
      </c>
      <c r="F272">
        <f>VLOOKUP(D272,'50欧洲库存'!$C$2:$V$113,20,0)</f>
        <v>0</v>
      </c>
      <c r="G272">
        <f>COUNTIF('50欧洲库存'!$C$2:$C$199,D272)</f>
        <v>1</v>
      </c>
      <c r="H272">
        <f>VLOOKUP(D272,'50欧洲库存'!$C$2:$V$113,20,0)</f>
        <v>0</v>
      </c>
      <c r="I272" s="26" t="s">
        <v>16</v>
      </c>
      <c r="J272" t="e">
        <f t="shared" si="22"/>
        <v>#DIV/0!</v>
      </c>
      <c r="K272">
        <v>3</v>
      </c>
      <c r="L272" t="e">
        <f t="shared" si="23"/>
        <v>#DIV/0!</v>
      </c>
      <c r="M272">
        <v>5</v>
      </c>
      <c r="N272" t="e">
        <f t="shared" si="24"/>
        <v>#DIV/0!</v>
      </c>
      <c r="O272">
        <v>8</v>
      </c>
      <c r="S272" t="s">
        <v>171</v>
      </c>
    </row>
    <row r="273" ht="14.25" spans="2:19">
      <c r="B273">
        <f t="shared" si="21"/>
        <v>1</v>
      </c>
      <c r="C273" t="e">
        <f>VLOOKUP(D273,Sheet4!$K$9:$L$110,2,0)</f>
        <v>#N/A</v>
      </c>
      <c r="D273" t="s">
        <v>135</v>
      </c>
      <c r="E273" t="str">
        <f>VLOOKUP(D273,'50欧洲库存'!C4:V115,2,0)</f>
        <v>LaLianJinSuDengTou-GuTong-1001-FBM</v>
      </c>
      <c r="F273">
        <f>VLOOKUP(D273,'50欧洲库存'!$C$2:$V$113,20,0)</f>
        <v>0</v>
      </c>
      <c r="G273">
        <f>COUNTIF('50欧洲库存'!$C$2:$C$199,D273)</f>
        <v>1</v>
      </c>
      <c r="H273">
        <f>VLOOKUP(D273,'50欧洲库存'!$C$2:$V$113,20,0)</f>
        <v>0</v>
      </c>
      <c r="I273" s="26" t="s">
        <v>16</v>
      </c>
      <c r="J273" t="e">
        <f t="shared" si="22"/>
        <v>#DIV/0!</v>
      </c>
      <c r="K273">
        <v>3</v>
      </c>
      <c r="L273" t="e">
        <f t="shared" si="23"/>
        <v>#DIV/0!</v>
      </c>
      <c r="M273">
        <v>5</v>
      </c>
      <c r="N273" t="e">
        <f t="shared" si="24"/>
        <v>#DIV/0!</v>
      </c>
      <c r="O273">
        <v>8</v>
      </c>
      <c r="S273" t="s">
        <v>172</v>
      </c>
    </row>
    <row r="274" ht="14.25" spans="2:19">
      <c r="B274">
        <f t="shared" si="21"/>
        <v>1</v>
      </c>
      <c r="C274" t="e">
        <f>VLOOKUP(D274,Sheet4!$K$9:$L$110,2,0)</f>
        <v>#N/A</v>
      </c>
      <c r="D274" t="s">
        <v>113</v>
      </c>
      <c r="E274" t="str">
        <f>VLOOKUP(D274,'50欧洲库存'!C5:V116,2,0)</f>
        <v>fengrenji-P82-50UK</v>
      </c>
      <c r="F274">
        <f>VLOOKUP(D274,'50欧洲库存'!$C$2:$V$113,20,0)</f>
        <v>49.99</v>
      </c>
      <c r="G274">
        <f>COUNTIF('50欧洲库存'!$C$2:$C$199,D274)</f>
        <v>2</v>
      </c>
      <c r="H274">
        <f>VLOOKUP(D274,'50欧洲库存'!$C$2:$V$113,20,0)</f>
        <v>49.99</v>
      </c>
      <c r="I274" s="26" t="s">
        <v>16</v>
      </c>
      <c r="J274">
        <f t="shared" si="22"/>
        <v>11</v>
      </c>
      <c r="K274">
        <v>3</v>
      </c>
      <c r="L274">
        <f t="shared" si="23"/>
        <v>15</v>
      </c>
      <c r="M274">
        <v>5</v>
      </c>
      <c r="N274">
        <f t="shared" si="24"/>
        <v>25</v>
      </c>
      <c r="O274">
        <v>8</v>
      </c>
      <c r="S274" t="s">
        <v>121</v>
      </c>
    </row>
    <row r="275" ht="14.25" spans="2:19">
      <c r="B275">
        <f t="shared" si="21"/>
        <v>1</v>
      </c>
      <c r="C275" t="e">
        <f>VLOOKUP(D275,Sheet4!$K$9:$L$110,2,0)</f>
        <v>#N/A</v>
      </c>
      <c r="D275" t="s">
        <v>136</v>
      </c>
      <c r="E275" t="str">
        <f>VLOOKUP(D275,'50欧洲库存'!C6:V117,2,0)</f>
        <v>MianJu-LED-Hong-1002-FBA</v>
      </c>
      <c r="F275">
        <f>VLOOKUP(D275,'50欧洲库存'!$C$2:$V$113,20,0)</f>
        <v>0</v>
      </c>
      <c r="G275">
        <f>COUNTIF('50欧洲库存'!$C$2:$C$199,D275)</f>
        <v>1</v>
      </c>
      <c r="H275">
        <f>VLOOKUP(D275,'50欧洲库存'!$C$2:$V$113,20,0)</f>
        <v>0</v>
      </c>
      <c r="I275" s="26" t="s">
        <v>16</v>
      </c>
      <c r="J275" t="e">
        <f t="shared" si="22"/>
        <v>#DIV/0!</v>
      </c>
      <c r="K275">
        <v>3</v>
      </c>
      <c r="L275" t="e">
        <f t="shared" si="23"/>
        <v>#DIV/0!</v>
      </c>
      <c r="M275">
        <v>5</v>
      </c>
      <c r="N275" t="e">
        <f t="shared" si="24"/>
        <v>#DIV/0!</v>
      </c>
      <c r="O275">
        <v>8</v>
      </c>
      <c r="S275" t="s">
        <v>173</v>
      </c>
    </row>
    <row r="276" ht="14.25" spans="2:19">
      <c r="B276">
        <f t="shared" si="21"/>
        <v>1</v>
      </c>
      <c r="C276" t="e">
        <f>VLOOKUP(D276,Sheet4!$K$9:$L$110,2,0)</f>
        <v>#N/A</v>
      </c>
      <c r="D276" t="s">
        <v>137</v>
      </c>
      <c r="E276" t="str">
        <f>VLOOKUP(D276,'50欧洲库存'!C7:V118,2,0)</f>
        <v>MoFang-HeiHong-1004-FBA</v>
      </c>
      <c r="F276">
        <f>VLOOKUP(D276,'50欧洲库存'!$C$2:$V$113,20,0)</f>
        <v>0</v>
      </c>
      <c r="G276">
        <f>COUNTIF('50欧洲库存'!$C$2:$C$199,D276)</f>
        <v>1</v>
      </c>
      <c r="H276">
        <f>VLOOKUP(D276,'50欧洲库存'!$C$2:$V$113,20,0)</f>
        <v>0</v>
      </c>
      <c r="I276" s="26" t="s">
        <v>16</v>
      </c>
      <c r="J276" t="e">
        <f t="shared" si="22"/>
        <v>#DIV/0!</v>
      </c>
      <c r="K276">
        <v>3</v>
      </c>
      <c r="L276" t="e">
        <f t="shared" si="23"/>
        <v>#DIV/0!</v>
      </c>
      <c r="M276">
        <v>5</v>
      </c>
      <c r="N276" t="e">
        <f t="shared" si="24"/>
        <v>#DIV/0!</v>
      </c>
      <c r="O276">
        <v>8</v>
      </c>
      <c r="S276" t="s">
        <v>105</v>
      </c>
    </row>
    <row r="277" ht="14.25" spans="2:19">
      <c r="B277">
        <f t="shared" si="21"/>
        <v>1</v>
      </c>
      <c r="C277" t="e">
        <f>VLOOKUP(D277,Sheet4!$K$9:$L$110,2,0)</f>
        <v>#N/A</v>
      </c>
      <c r="D277" t="s">
        <v>139</v>
      </c>
      <c r="E277" t="str">
        <f>VLOOKUP(D277,'50欧洲库存'!C8:V119,2,0)</f>
        <v>MoFang-MiCaiLan-1003-FBA</v>
      </c>
      <c r="F277">
        <f>VLOOKUP(D277,'50欧洲库存'!$C$2:$V$113,20,0)</f>
        <v>0</v>
      </c>
      <c r="G277">
        <f>COUNTIF('50欧洲库存'!$C$2:$C$199,D277)</f>
        <v>1</v>
      </c>
      <c r="H277">
        <f>VLOOKUP(D277,'50欧洲库存'!$C$2:$V$113,20,0)</f>
        <v>0</v>
      </c>
      <c r="I277" s="26" t="s">
        <v>16</v>
      </c>
      <c r="J277" t="e">
        <f t="shared" si="22"/>
        <v>#DIV/0!</v>
      </c>
      <c r="K277">
        <v>3</v>
      </c>
      <c r="L277" t="e">
        <f t="shared" si="23"/>
        <v>#DIV/0!</v>
      </c>
      <c r="M277">
        <v>5</v>
      </c>
      <c r="N277" t="e">
        <f t="shared" si="24"/>
        <v>#DIV/0!</v>
      </c>
      <c r="O277">
        <v>8</v>
      </c>
      <c r="S277" t="s">
        <v>174</v>
      </c>
    </row>
    <row r="278" ht="14.25" spans="2:19">
      <c r="B278">
        <f t="shared" si="21"/>
        <v>1</v>
      </c>
      <c r="C278" t="e">
        <f>VLOOKUP(D278,Sheet4!$K$9:$L$110,2,0)</f>
        <v>#N/A</v>
      </c>
      <c r="D278" t="s">
        <v>140</v>
      </c>
      <c r="E278" t="str">
        <f>VLOOKUP(D278,'50欧洲库存'!C9:V120,2,0)</f>
        <v>ShouZhuaQiu-4Ge-1001-FBA</v>
      </c>
      <c r="F278">
        <f>VLOOKUP(D278,'50欧洲库存'!$C$2:$V$113,20,0)</f>
        <v>0</v>
      </c>
      <c r="G278">
        <f>COUNTIF('50欧洲库存'!$C$2:$C$199,D278)</f>
        <v>1</v>
      </c>
      <c r="H278">
        <f>VLOOKUP(D278,'50欧洲库存'!$C$2:$V$113,20,0)</f>
        <v>0</v>
      </c>
      <c r="I278" s="26" t="s">
        <v>16</v>
      </c>
      <c r="J278" t="e">
        <f t="shared" si="22"/>
        <v>#DIV/0!</v>
      </c>
      <c r="K278">
        <v>3</v>
      </c>
      <c r="L278" t="e">
        <f t="shared" si="23"/>
        <v>#DIV/0!</v>
      </c>
      <c r="M278">
        <v>5</v>
      </c>
      <c r="N278" t="e">
        <f t="shared" si="24"/>
        <v>#DIV/0!</v>
      </c>
      <c r="O278">
        <v>8</v>
      </c>
      <c r="S278" t="s">
        <v>175</v>
      </c>
    </row>
    <row r="279" ht="14.25" spans="2:19">
      <c r="B279">
        <f t="shared" si="21"/>
        <v>1</v>
      </c>
      <c r="C279" t="e">
        <f>VLOOKUP(D279,Sheet4!$K$9:$L$110,2,0)</f>
        <v>#N/A</v>
      </c>
      <c r="D279" t="s">
        <v>141</v>
      </c>
      <c r="E279" t="str">
        <f>VLOOKUP(D279,'50欧洲库存'!C10:V121,2,0)</f>
        <v>FBA-JinSeDengTou-Niu</v>
      </c>
      <c r="F279">
        <f>VLOOKUP(D279,'50欧洲库存'!$C$2:$V$113,20,0)</f>
        <v>0</v>
      </c>
      <c r="G279">
        <f>COUNTIF('50欧洲库存'!$C$2:$C$199,D279)</f>
        <v>1</v>
      </c>
      <c r="H279">
        <f>VLOOKUP(D279,'50欧洲库存'!$C$2:$V$113,20,0)</f>
        <v>0</v>
      </c>
      <c r="I279" s="26" t="s">
        <v>16</v>
      </c>
      <c r="J279" t="e">
        <f t="shared" si="22"/>
        <v>#DIV/0!</v>
      </c>
      <c r="K279">
        <v>3</v>
      </c>
      <c r="L279" t="e">
        <f t="shared" si="23"/>
        <v>#DIV/0!</v>
      </c>
      <c r="M279">
        <v>5</v>
      </c>
      <c r="N279" t="e">
        <f t="shared" si="24"/>
        <v>#DIV/0!</v>
      </c>
      <c r="O279">
        <v>8</v>
      </c>
      <c r="S279" t="s">
        <v>176</v>
      </c>
    </row>
    <row r="280" ht="14.25" spans="2:19">
      <c r="B280">
        <f t="shared" si="21"/>
        <v>1</v>
      </c>
      <c r="C280" t="e">
        <f>VLOOKUP(D280,Sheet4!$K$9:$L$110,2,0)</f>
        <v>#N/A</v>
      </c>
      <c r="D280" t="s">
        <v>142</v>
      </c>
      <c r="E280" t="str">
        <f>VLOOKUP(D280,'50欧洲库存'!C11:V122,2,0)</f>
        <v>FBA-DengTou-LaLian-Yin</v>
      </c>
      <c r="F280">
        <f>VLOOKUP(D280,'50欧洲库存'!$C$2:$V$113,20,0)</f>
        <v>0</v>
      </c>
      <c r="G280">
        <f>COUNTIF('50欧洲库存'!$C$2:$C$199,D280)</f>
        <v>1</v>
      </c>
      <c r="H280">
        <f>VLOOKUP(D280,'50欧洲库存'!$C$2:$V$113,20,0)</f>
        <v>0</v>
      </c>
      <c r="I280" s="26" t="s">
        <v>16</v>
      </c>
      <c r="J280" t="e">
        <f t="shared" si="22"/>
        <v>#DIV/0!</v>
      </c>
      <c r="K280">
        <v>3</v>
      </c>
      <c r="L280" t="e">
        <f t="shared" si="23"/>
        <v>#DIV/0!</v>
      </c>
      <c r="M280">
        <v>5</v>
      </c>
      <c r="N280" t="e">
        <f t="shared" si="24"/>
        <v>#DIV/0!</v>
      </c>
      <c r="O280">
        <v>8</v>
      </c>
      <c r="S280" t="s">
        <v>117</v>
      </c>
    </row>
    <row r="281" ht="14.25" spans="2:19">
      <c r="B281">
        <f t="shared" si="21"/>
        <v>1</v>
      </c>
      <c r="C281" t="e">
        <f>VLOOKUP(D281,Sheet4!$K$9:$L$110,2,0)</f>
        <v>#N/A</v>
      </c>
      <c r="D281" t="s">
        <v>143</v>
      </c>
      <c r="E281" t="str">
        <f>VLOOKUP(D281,'50欧洲库存'!C12:V123,2,0)</f>
        <v>50UK-ChuXuQiuOrange</v>
      </c>
      <c r="F281">
        <f>VLOOKUP(D281,'50欧洲库存'!$C$2:$V$113,20,0)</f>
        <v>0</v>
      </c>
      <c r="G281">
        <f>COUNTIF('50欧洲库存'!$C$2:$C$199,D281)</f>
        <v>1</v>
      </c>
      <c r="H281">
        <f>VLOOKUP(D281,'50欧洲库存'!$C$2:$V$113,20,0)</f>
        <v>0</v>
      </c>
      <c r="I281" s="26" t="s">
        <v>16</v>
      </c>
      <c r="J281" t="e">
        <f t="shared" si="22"/>
        <v>#DIV/0!</v>
      </c>
      <c r="K281">
        <v>3</v>
      </c>
      <c r="L281" t="e">
        <f t="shared" si="23"/>
        <v>#DIV/0!</v>
      </c>
      <c r="M281">
        <v>5</v>
      </c>
      <c r="N281" t="e">
        <f t="shared" si="24"/>
        <v>#DIV/0!</v>
      </c>
      <c r="O281">
        <v>8</v>
      </c>
      <c r="S281" t="s">
        <v>177</v>
      </c>
    </row>
    <row r="282" ht="14.25" spans="2:19">
      <c r="B282">
        <f t="shared" si="21"/>
        <v>1</v>
      </c>
      <c r="C282" t="e">
        <f>VLOOKUP(D282,Sheet4!$K$9:$L$110,2,0)</f>
        <v>#N/A</v>
      </c>
      <c r="D282" t="s">
        <v>144</v>
      </c>
      <c r="E282" t="str">
        <f>VLOOKUP(D282,'50欧洲库存'!C13:V124,2,0)</f>
        <v>MianJu-YinSe-FBA</v>
      </c>
      <c r="F282">
        <f>VLOOKUP(D282,'50欧洲库存'!$C$2:$V$113,20,0)</f>
        <v>0</v>
      </c>
      <c r="G282">
        <f>COUNTIF('50欧洲库存'!$C$2:$C$199,D282)</f>
        <v>1</v>
      </c>
      <c r="H282">
        <f>VLOOKUP(D282,'50欧洲库存'!$C$2:$V$113,20,0)</f>
        <v>0</v>
      </c>
      <c r="I282" s="26" t="s">
        <v>16</v>
      </c>
      <c r="J282" t="e">
        <f t="shared" si="22"/>
        <v>#DIV/0!</v>
      </c>
      <c r="K282">
        <v>3</v>
      </c>
      <c r="L282" t="e">
        <f t="shared" si="23"/>
        <v>#DIV/0!</v>
      </c>
      <c r="M282">
        <v>5</v>
      </c>
      <c r="N282" t="e">
        <f t="shared" si="24"/>
        <v>#DIV/0!</v>
      </c>
      <c r="O282">
        <v>8</v>
      </c>
      <c r="S282" t="s">
        <v>108</v>
      </c>
    </row>
    <row r="283" ht="14.25" spans="2:19">
      <c r="B283">
        <f t="shared" si="21"/>
        <v>1</v>
      </c>
      <c r="C283" t="e">
        <f>VLOOKUP(D283,Sheet4!$K$9:$L$110,2,0)</f>
        <v>#N/A</v>
      </c>
      <c r="D283" t="s">
        <v>145</v>
      </c>
      <c r="E283" t="str">
        <f>VLOOKUP(D283,'50欧洲库存'!C14:V125,2,0)</f>
        <v>MoFang-MiCaiLan+MiCaiLv-DaiHe-FBA</v>
      </c>
      <c r="F283">
        <f>VLOOKUP(D283,'50欧洲库存'!$C$2:$V$113,20,0)</f>
        <v>0</v>
      </c>
      <c r="G283">
        <f>COUNTIF('50欧洲库存'!$C$2:$C$199,D283)</f>
        <v>1</v>
      </c>
      <c r="H283">
        <f>VLOOKUP(D283,'50欧洲库存'!$C$2:$V$113,20,0)</f>
        <v>0</v>
      </c>
      <c r="I283" s="26" t="s">
        <v>16</v>
      </c>
      <c r="J283" t="e">
        <f t="shared" si="22"/>
        <v>#DIV/0!</v>
      </c>
      <c r="K283">
        <v>3</v>
      </c>
      <c r="L283" t="e">
        <f t="shared" si="23"/>
        <v>#DIV/0!</v>
      </c>
      <c r="M283">
        <v>5</v>
      </c>
      <c r="N283" t="e">
        <f t="shared" si="24"/>
        <v>#DIV/0!</v>
      </c>
      <c r="O283">
        <v>8</v>
      </c>
      <c r="S283" t="s">
        <v>178</v>
      </c>
    </row>
    <row r="284" ht="14.25" spans="2:19">
      <c r="B284">
        <f t="shared" si="21"/>
        <v>1</v>
      </c>
      <c r="C284" t="e">
        <f>VLOOKUP(D284,Sheet4!$K$9:$L$110,2,0)</f>
        <v>#N/A</v>
      </c>
      <c r="D284" t="s">
        <v>146</v>
      </c>
      <c r="E284" t="str">
        <f>VLOOKUP(D284,'50欧洲库存'!C15:V126,2,0)</f>
        <v>LaLianJinSuDengTou-JinSe-FBA</v>
      </c>
      <c r="F284">
        <f>VLOOKUP(D284,'50欧洲库存'!$C$2:$V$113,20,0)</f>
        <v>0</v>
      </c>
      <c r="G284">
        <f>COUNTIF('50欧洲库存'!$C$2:$C$199,D284)</f>
        <v>1</v>
      </c>
      <c r="H284">
        <f>VLOOKUP(D284,'50欧洲库存'!$C$2:$V$113,20,0)</f>
        <v>0</v>
      </c>
      <c r="I284" s="26" t="s">
        <v>16</v>
      </c>
      <c r="J284" t="e">
        <f t="shared" si="22"/>
        <v>#DIV/0!</v>
      </c>
      <c r="K284">
        <v>3</v>
      </c>
      <c r="L284" t="e">
        <f t="shared" si="23"/>
        <v>#DIV/0!</v>
      </c>
      <c r="M284">
        <v>5</v>
      </c>
      <c r="N284" t="e">
        <f t="shared" si="24"/>
        <v>#DIV/0!</v>
      </c>
      <c r="O284">
        <v>8</v>
      </c>
      <c r="S284" t="s">
        <v>179</v>
      </c>
    </row>
    <row r="285" ht="14.25" spans="2:19">
      <c r="B285">
        <f t="shared" si="21"/>
        <v>1</v>
      </c>
      <c r="C285" t="e">
        <f>VLOOKUP(D285,Sheet4!$K$9:$L$110,2,0)</f>
        <v>#N/A</v>
      </c>
      <c r="D285" t="s">
        <v>147</v>
      </c>
      <c r="E285" t="str">
        <f>VLOOKUP(D285,'50欧洲库存'!C16:V127,2,0)</f>
        <v>MoFang-HeiHong-1005-WuHe-FBA</v>
      </c>
      <c r="F285">
        <f>VLOOKUP(D285,'50欧洲库存'!$C$2:$V$113,20,0)</f>
        <v>0</v>
      </c>
      <c r="G285">
        <f>COUNTIF('50欧洲库存'!$C$2:$C$199,D285)</f>
        <v>1</v>
      </c>
      <c r="H285">
        <f>VLOOKUP(D285,'50欧洲库存'!$C$2:$V$113,20,0)</f>
        <v>0</v>
      </c>
      <c r="I285" s="26" t="s">
        <v>16</v>
      </c>
      <c r="J285" t="e">
        <f t="shared" si="22"/>
        <v>#DIV/0!</v>
      </c>
      <c r="K285">
        <v>3</v>
      </c>
      <c r="L285" t="e">
        <f t="shared" si="23"/>
        <v>#DIV/0!</v>
      </c>
      <c r="M285">
        <v>5</v>
      </c>
      <c r="N285" t="e">
        <f t="shared" si="24"/>
        <v>#DIV/0!</v>
      </c>
      <c r="O285">
        <v>8</v>
      </c>
      <c r="S285" t="s">
        <v>180</v>
      </c>
    </row>
    <row r="286" ht="14.25" spans="2:19">
      <c r="B286">
        <f t="shared" si="21"/>
        <v>1</v>
      </c>
      <c r="C286" t="e">
        <f>VLOOKUP(D286,Sheet4!$K$9:$L$110,2,0)</f>
        <v>#N/A</v>
      </c>
      <c r="D286" t="s">
        <v>148</v>
      </c>
      <c r="E286" t="str">
        <f>VLOOKUP(D286,'50欧洲库存'!C17:V128,2,0)</f>
        <v>FBA-7KongJianDanQi</v>
      </c>
      <c r="F286">
        <f>VLOOKUP(D286,'50欧洲库存'!$C$2:$V$113,20,0)</f>
        <v>0</v>
      </c>
      <c r="G286">
        <f>COUNTIF('50欧洲库存'!$C$2:$C$199,D286)</f>
        <v>1</v>
      </c>
      <c r="H286">
        <f>VLOOKUP(D286,'50欧洲库存'!$C$2:$V$113,20,0)</f>
        <v>0</v>
      </c>
      <c r="I286" s="26" t="s">
        <v>16</v>
      </c>
      <c r="J286" t="e">
        <f t="shared" si="22"/>
        <v>#DIV/0!</v>
      </c>
      <c r="K286">
        <v>3</v>
      </c>
      <c r="L286" t="e">
        <f t="shared" si="23"/>
        <v>#DIV/0!</v>
      </c>
      <c r="M286">
        <v>5</v>
      </c>
      <c r="N286" t="e">
        <f t="shared" si="24"/>
        <v>#DIV/0!</v>
      </c>
      <c r="O286">
        <v>8</v>
      </c>
      <c r="S286" t="s">
        <v>181</v>
      </c>
    </row>
    <row r="287" ht="14.25" spans="2:19">
      <c r="B287">
        <f t="shared" si="21"/>
        <v>1</v>
      </c>
      <c r="C287" t="e">
        <f>VLOOKUP(D287,Sheet4!$K$9:$L$110,2,0)</f>
        <v>#N/A</v>
      </c>
      <c r="D287" t="s">
        <v>149</v>
      </c>
      <c r="E287" t="str">
        <f>VLOOKUP(D287,'50欧洲库存'!C18:V129,2,0)</f>
        <v>HeiLvMoFang-0001</v>
      </c>
      <c r="F287">
        <f>VLOOKUP(D287,'50欧洲库存'!$C$2:$V$113,20,0)</f>
        <v>0</v>
      </c>
      <c r="G287">
        <f>COUNTIF('50欧洲库存'!$C$2:$C$199,D287)</f>
        <v>1</v>
      </c>
      <c r="H287">
        <f>VLOOKUP(D287,'50欧洲库存'!$C$2:$V$113,20,0)</f>
        <v>0</v>
      </c>
      <c r="I287" s="26" t="s">
        <v>16</v>
      </c>
      <c r="J287" t="e">
        <f t="shared" si="22"/>
        <v>#DIV/0!</v>
      </c>
      <c r="K287">
        <v>3</v>
      </c>
      <c r="L287" t="e">
        <f t="shared" si="23"/>
        <v>#DIV/0!</v>
      </c>
      <c r="M287">
        <v>5</v>
      </c>
      <c r="N287" t="e">
        <f t="shared" si="24"/>
        <v>#DIV/0!</v>
      </c>
      <c r="O287">
        <v>8</v>
      </c>
      <c r="S287" t="s">
        <v>182</v>
      </c>
    </row>
    <row r="288" ht="14.25" spans="2:19">
      <c r="B288">
        <f t="shared" si="21"/>
        <v>1</v>
      </c>
      <c r="C288" t="e">
        <f>VLOOKUP(D288,Sheet4!$K$9:$L$110,2,0)</f>
        <v>#N/A</v>
      </c>
      <c r="D288" t="s">
        <v>150</v>
      </c>
      <c r="E288" t="str">
        <f>VLOOKUP(D288,'50欧洲库存'!C19:V130,2,0)</f>
        <v>50DE-100SoftBlock</v>
      </c>
      <c r="F288">
        <f>VLOOKUP(D288,'50欧洲库存'!$C$2:$V$113,20,0)</f>
        <v>0</v>
      </c>
      <c r="G288">
        <f>COUNTIF('50欧洲库存'!$C$2:$C$199,D288)</f>
        <v>2</v>
      </c>
      <c r="H288">
        <f>VLOOKUP(D288,'50欧洲库存'!$C$2:$V$113,20,0)</f>
        <v>0</v>
      </c>
      <c r="I288" s="26" t="s">
        <v>16</v>
      </c>
      <c r="J288" t="e">
        <f t="shared" si="22"/>
        <v>#DIV/0!</v>
      </c>
      <c r="K288">
        <v>3</v>
      </c>
      <c r="L288" t="e">
        <f t="shared" si="23"/>
        <v>#DIV/0!</v>
      </c>
      <c r="M288">
        <v>5</v>
      </c>
      <c r="N288" t="e">
        <f t="shared" si="24"/>
        <v>#DIV/0!</v>
      </c>
      <c r="O288">
        <v>8</v>
      </c>
      <c r="S288" t="s">
        <v>183</v>
      </c>
    </row>
    <row r="289" ht="14.25" spans="2:19">
      <c r="B289">
        <f t="shared" si="21"/>
        <v>1</v>
      </c>
      <c r="C289" t="e">
        <f>VLOOKUP(D289,Sheet4!$K$9:$L$110,2,0)</f>
        <v>#N/A</v>
      </c>
      <c r="D289" t="s">
        <v>151</v>
      </c>
      <c r="E289" t="str">
        <f>VLOOKUP(D289,'50欧洲库存'!C20:V131,2,0)</f>
        <v>MoFang-XingKong-YouHe-0727</v>
      </c>
      <c r="F289">
        <f>VLOOKUP(D289,'50欧洲库存'!$C$2:$V$113,20,0)</f>
        <v>0</v>
      </c>
      <c r="G289">
        <f>COUNTIF('50欧洲库存'!$C$2:$C$199,D289)</f>
        <v>1</v>
      </c>
      <c r="H289">
        <f>VLOOKUP(D289,'50欧洲库存'!$C$2:$V$113,20,0)</f>
        <v>0</v>
      </c>
      <c r="I289" s="26" t="s">
        <v>16</v>
      </c>
      <c r="J289" t="e">
        <f t="shared" si="22"/>
        <v>#DIV/0!</v>
      </c>
      <c r="K289">
        <v>3</v>
      </c>
      <c r="L289" t="e">
        <f t="shared" si="23"/>
        <v>#DIV/0!</v>
      </c>
      <c r="M289">
        <v>5</v>
      </c>
      <c r="N289" t="e">
        <f t="shared" si="24"/>
        <v>#DIV/0!</v>
      </c>
      <c r="O289">
        <v>8</v>
      </c>
      <c r="S289" t="s">
        <v>184</v>
      </c>
    </row>
    <row r="290" ht="14.25" spans="2:19">
      <c r="B290">
        <f t="shared" si="21"/>
        <v>1</v>
      </c>
      <c r="C290" t="e">
        <f>VLOOKUP(D290,Sheet4!$K$9:$L$110,2,0)</f>
        <v>#N/A</v>
      </c>
      <c r="D290" t="s">
        <v>152</v>
      </c>
      <c r="E290" t="str">
        <f>VLOOKUP(D290,'50欧洲库存'!C21:V132,2,0)</f>
        <v>ChangXianTiePiDengTou-Hei-1001-FBA</v>
      </c>
      <c r="F290">
        <f>VLOOKUP(D290,'50欧洲库存'!$C$2:$V$113,20,0)</f>
        <v>0</v>
      </c>
      <c r="G290">
        <f>COUNTIF('50欧洲库存'!$C$2:$C$199,D290)</f>
        <v>1</v>
      </c>
      <c r="H290">
        <f>VLOOKUP(D290,'50欧洲库存'!$C$2:$V$113,20,0)</f>
        <v>0</v>
      </c>
      <c r="I290" s="26" t="s">
        <v>16</v>
      </c>
      <c r="J290" t="e">
        <f t="shared" si="22"/>
        <v>#DIV/0!</v>
      </c>
      <c r="K290">
        <v>3</v>
      </c>
      <c r="L290" t="e">
        <f t="shared" si="23"/>
        <v>#DIV/0!</v>
      </c>
      <c r="M290">
        <v>5</v>
      </c>
      <c r="N290" t="e">
        <f t="shared" si="24"/>
        <v>#DIV/0!</v>
      </c>
      <c r="O290">
        <v>8</v>
      </c>
      <c r="S290" t="s">
        <v>185</v>
      </c>
    </row>
    <row r="291" ht="14.25" spans="2:19">
      <c r="B291">
        <f t="shared" si="21"/>
        <v>1</v>
      </c>
      <c r="C291" t="e">
        <f>VLOOKUP(D291,Sheet4!$K$9:$L$110,2,0)</f>
        <v>#N/A</v>
      </c>
      <c r="D291" t="s">
        <v>153</v>
      </c>
      <c r="E291" t="str">
        <f>VLOOKUP(D291,'50欧洲库存'!C22:V133,2,0)</f>
        <v>50DE-BabyBall-003</v>
      </c>
      <c r="F291">
        <f>VLOOKUP(D291,'50欧洲库存'!$C$2:$V$113,20,0)</f>
        <v>0</v>
      </c>
      <c r="G291">
        <f>COUNTIF('50欧洲库存'!$C$2:$C$199,D291)</f>
        <v>1</v>
      </c>
      <c r="H291">
        <f>VLOOKUP(D291,'50欧洲库存'!$C$2:$V$113,20,0)</f>
        <v>0</v>
      </c>
      <c r="I291" s="26" t="s">
        <v>16</v>
      </c>
      <c r="J291" t="e">
        <f t="shared" si="22"/>
        <v>#DIV/0!</v>
      </c>
      <c r="K291">
        <v>3</v>
      </c>
      <c r="L291" t="e">
        <f t="shared" si="23"/>
        <v>#DIV/0!</v>
      </c>
      <c r="M291">
        <v>5</v>
      </c>
      <c r="N291" t="e">
        <f t="shared" si="24"/>
        <v>#DIV/0!</v>
      </c>
      <c r="O291">
        <v>8</v>
      </c>
      <c r="S291" t="s">
        <v>186</v>
      </c>
    </row>
    <row r="292" ht="14.25" spans="2:19">
      <c r="B292">
        <f t="shared" si="21"/>
        <v>1</v>
      </c>
      <c r="C292" t="e">
        <f>VLOOKUP(D292,Sheet4!$K$9:$L$110,2,0)</f>
        <v>#N/A</v>
      </c>
      <c r="D292" t="s">
        <v>154</v>
      </c>
      <c r="E292" t="str">
        <f>VLOOKUP(D292,'50欧洲库存'!C23:V134,2,0)</f>
        <v>FBA-shenhuihei-MoFang001</v>
      </c>
      <c r="F292">
        <f>VLOOKUP(D292,'50欧洲库存'!$C$2:$V$113,20,0)</f>
        <v>0</v>
      </c>
      <c r="G292">
        <f>COUNTIF('50欧洲库存'!$C$2:$C$199,D292)</f>
        <v>1</v>
      </c>
      <c r="H292">
        <f>VLOOKUP(D292,'50欧洲库存'!$C$2:$V$113,20,0)</f>
        <v>0</v>
      </c>
      <c r="I292" s="26" t="s">
        <v>16</v>
      </c>
      <c r="J292" t="e">
        <f t="shared" si="22"/>
        <v>#DIV/0!</v>
      </c>
      <c r="K292">
        <v>3</v>
      </c>
      <c r="L292" t="e">
        <f t="shared" si="23"/>
        <v>#DIV/0!</v>
      </c>
      <c r="M292">
        <v>5</v>
      </c>
      <c r="N292" t="e">
        <f t="shared" si="24"/>
        <v>#DIV/0!</v>
      </c>
      <c r="O292">
        <v>8</v>
      </c>
      <c r="S292" t="s">
        <v>187</v>
      </c>
    </row>
    <row r="293" ht="14.25" spans="2:19">
      <c r="B293">
        <f t="shared" si="21"/>
        <v>1</v>
      </c>
      <c r="C293" t="e">
        <f>VLOOKUP(D293,Sheet4!$K$9:$L$110,2,0)</f>
        <v>#N/A</v>
      </c>
      <c r="D293" t="s">
        <v>155</v>
      </c>
      <c r="E293" t="str">
        <f>VLOOKUP(D293,'50欧洲库存'!C24:V135,2,0)</f>
        <v>82UK-WheatStrawRattle-Yellow</v>
      </c>
      <c r="F293">
        <f>VLOOKUP(D293,'50欧洲库存'!$C$2:$V$113,20,0)</f>
        <v>0</v>
      </c>
      <c r="G293">
        <f>COUNTIF('50欧洲库存'!$C$2:$C$199,D293)</f>
        <v>1</v>
      </c>
      <c r="H293">
        <f>VLOOKUP(D293,'50欧洲库存'!$C$2:$V$113,20,0)</f>
        <v>0</v>
      </c>
      <c r="I293" s="26" t="s">
        <v>16</v>
      </c>
      <c r="J293" t="e">
        <f t="shared" si="22"/>
        <v>#DIV/0!</v>
      </c>
      <c r="K293">
        <v>3</v>
      </c>
      <c r="L293" t="e">
        <f t="shared" si="23"/>
        <v>#DIV/0!</v>
      </c>
      <c r="M293">
        <v>5</v>
      </c>
      <c r="N293" t="e">
        <f t="shared" si="24"/>
        <v>#DIV/0!</v>
      </c>
      <c r="O293">
        <v>8</v>
      </c>
      <c r="S293" t="s">
        <v>188</v>
      </c>
    </row>
    <row r="294" ht="14.25" spans="2:19">
      <c r="B294">
        <f t="shared" si="21"/>
        <v>1</v>
      </c>
      <c r="C294" t="e">
        <f>VLOOKUP(D294,Sheet4!$K$9:$L$110,2,0)</f>
        <v>#N/A</v>
      </c>
      <c r="D294" t="s">
        <v>156</v>
      </c>
      <c r="E294" t="str">
        <f>VLOOKUP(D294,'50欧洲库存'!C25:V136,2,0)</f>
        <v>ShouZhuaQiu-6Ge-1003-FBA</v>
      </c>
      <c r="F294">
        <f>VLOOKUP(D294,'50欧洲库存'!$C$2:$V$113,20,0)</f>
        <v>0</v>
      </c>
      <c r="G294">
        <f>COUNTIF('50欧洲库存'!$C$2:$C$199,D294)</f>
        <v>1</v>
      </c>
      <c r="H294">
        <f>VLOOKUP(D294,'50欧洲库存'!$C$2:$V$113,20,0)</f>
        <v>0</v>
      </c>
      <c r="I294" s="26" t="s">
        <v>16</v>
      </c>
      <c r="J294" t="e">
        <f t="shared" si="22"/>
        <v>#DIV/0!</v>
      </c>
      <c r="K294">
        <v>3</v>
      </c>
      <c r="L294" t="e">
        <f t="shared" si="23"/>
        <v>#DIV/0!</v>
      </c>
      <c r="M294">
        <v>5</v>
      </c>
      <c r="N294" t="e">
        <f t="shared" si="24"/>
        <v>#DIV/0!</v>
      </c>
      <c r="O294">
        <v>8</v>
      </c>
      <c r="S294" t="s">
        <v>189</v>
      </c>
    </row>
    <row r="295" ht="14.25" spans="2:19">
      <c r="B295">
        <f t="shared" si="21"/>
        <v>1</v>
      </c>
      <c r="C295" t="e">
        <f>VLOOKUP(D295,Sheet4!$K$9:$L$110,2,0)</f>
        <v>#N/A</v>
      </c>
      <c r="D295" t="s">
        <v>157</v>
      </c>
      <c r="E295" t="str">
        <f>VLOOKUP(D295,'50欧洲库存'!C26:V137,2,0)</f>
        <v>50DE-BabyBall-004</v>
      </c>
      <c r="F295">
        <f>VLOOKUP(D295,'50欧洲库存'!$C$2:$V$113,20,0)</f>
        <v>0</v>
      </c>
      <c r="G295">
        <f>COUNTIF('50欧洲库存'!$C$2:$C$199,D295)</f>
        <v>1</v>
      </c>
      <c r="H295">
        <f>VLOOKUP(D295,'50欧洲库存'!$C$2:$V$113,20,0)</f>
        <v>0</v>
      </c>
      <c r="I295" s="26" t="s">
        <v>16</v>
      </c>
      <c r="J295" t="e">
        <f t="shared" si="22"/>
        <v>#DIV/0!</v>
      </c>
      <c r="K295">
        <v>3</v>
      </c>
      <c r="L295" t="e">
        <f t="shared" si="23"/>
        <v>#DIV/0!</v>
      </c>
      <c r="M295">
        <v>5</v>
      </c>
      <c r="N295" t="e">
        <f t="shared" si="24"/>
        <v>#DIV/0!</v>
      </c>
      <c r="O295">
        <v>8</v>
      </c>
      <c r="S295" t="s">
        <v>190</v>
      </c>
    </row>
    <row r="296" ht="15.75" spans="2:19">
      <c r="B296">
        <f t="shared" si="21"/>
        <v>1</v>
      </c>
      <c r="C296" t="e">
        <f>VLOOKUP(D296,Sheet4!$K$9:$L$110,2,0)</f>
        <v>#N/A</v>
      </c>
      <c r="D296" t="s">
        <v>158</v>
      </c>
      <c r="E296" t="str">
        <f>VLOOKUP(D296,'50欧洲库存'!C27:V138,2,0)</f>
        <v>MianJu-LED-BaiSe-FBA</v>
      </c>
      <c r="F296">
        <f>VLOOKUP(D296,'50欧洲库存'!$C$2:$V$113,20,0)</f>
        <v>0</v>
      </c>
      <c r="G296">
        <f>COUNTIF('50欧洲库存'!$C$2:$C$199,D296)</f>
        <v>1</v>
      </c>
      <c r="H296">
        <f>VLOOKUP(D296,'50欧洲库存'!$C$2:$V$113,20,0)</f>
        <v>0</v>
      </c>
      <c r="I296" s="26" t="s">
        <v>16</v>
      </c>
      <c r="J296" t="e">
        <f t="shared" si="22"/>
        <v>#DIV/0!</v>
      </c>
      <c r="K296">
        <v>3</v>
      </c>
      <c r="L296" t="e">
        <f t="shared" si="23"/>
        <v>#DIV/0!</v>
      </c>
      <c r="M296">
        <v>5</v>
      </c>
      <c r="N296" t="e">
        <f t="shared" si="24"/>
        <v>#DIV/0!</v>
      </c>
      <c r="O296">
        <v>8</v>
      </c>
      <c r="S296" t="s">
        <v>191</v>
      </c>
    </row>
    <row r="297" ht="15.75" spans="2:19">
      <c r="B297">
        <f>IFERROR(IF(OR(C297="SS",C297="S"),2,1),1)</f>
        <v>1</v>
      </c>
      <c r="C297" t="e">
        <f>VLOOKUP(D297,Sheet4!$K$9:$L$110,2,0)</f>
        <v>#N/A</v>
      </c>
      <c r="D297" t="s">
        <v>159</v>
      </c>
      <c r="E297" t="str">
        <f>VLOOKUP(D297,'50欧洲库存'!C28:V139,2,0)</f>
        <v>MianJu-BaiSe-1001-FBA</v>
      </c>
      <c r="F297">
        <f>VLOOKUP(D297,'50欧洲库存'!$C$2:$V$113,20,0)</f>
        <v>0</v>
      </c>
      <c r="G297">
        <f>COUNTIF('50欧洲库存'!$C$2:$C$199,D297)</f>
        <v>1</v>
      </c>
      <c r="H297">
        <f>VLOOKUP(D297,'50欧洲库存'!$C$2:$V$113,20,0)</f>
        <v>0</v>
      </c>
      <c r="I297" s="26" t="s">
        <v>16</v>
      </c>
      <c r="J297" t="e">
        <f t="shared" si="22"/>
        <v>#DIV/0!</v>
      </c>
      <c r="K297">
        <v>3</v>
      </c>
      <c r="L297" t="e">
        <f t="shared" si="23"/>
        <v>#DIV/0!</v>
      </c>
      <c r="M297">
        <v>5</v>
      </c>
      <c r="N297" t="e">
        <f t="shared" si="24"/>
        <v>#DIV/0!</v>
      </c>
      <c r="O297">
        <v>8</v>
      </c>
      <c r="S297" t="s">
        <v>192</v>
      </c>
    </row>
    <row r="298" ht="15.75" spans="2:19">
      <c r="B298">
        <f t="shared" ref="B298:B329" si="25">IFERROR(IF(OR(C298="SS",C298="S"),2,1),1)</f>
        <v>1</v>
      </c>
      <c r="C298" t="e">
        <f>VLOOKUP(D298,Sheet4!$K$9:$L$110,2,0)</f>
        <v>#N/A</v>
      </c>
      <c r="D298" t="s">
        <v>160</v>
      </c>
      <c r="E298" t="str">
        <f>VLOOKUP(D298,'50欧洲库存'!C29:V140,2,0)</f>
        <v>FBM-BaiHuangMoFang-0001</v>
      </c>
      <c r="F298">
        <f>VLOOKUP(D298,'50欧洲库存'!$C$2:$V$113,20,0)</f>
        <v>0</v>
      </c>
      <c r="G298">
        <f>COUNTIF('50欧洲库存'!$C$2:$C$199,D298)</f>
        <v>1</v>
      </c>
      <c r="H298">
        <f>VLOOKUP(D298,'50欧洲库存'!$C$2:$V$113,20,0)</f>
        <v>0</v>
      </c>
      <c r="I298" s="26" t="s">
        <v>16</v>
      </c>
      <c r="J298" t="e">
        <f t="shared" ref="J298:J329" si="26">CEILING($J$13*B298/H298,1)</f>
        <v>#DIV/0!</v>
      </c>
      <c r="K298">
        <v>3</v>
      </c>
      <c r="L298" t="e">
        <f t="shared" ref="L298:L329" si="27">CEILING($L$13*B298/H298,1)</f>
        <v>#DIV/0!</v>
      </c>
      <c r="M298">
        <v>5</v>
      </c>
      <c r="N298" t="e">
        <f t="shared" ref="N298:N329" si="28">CEILING($N$13*B298/H298,1)</f>
        <v>#DIV/0!</v>
      </c>
      <c r="O298">
        <v>8</v>
      </c>
      <c r="S298" t="s">
        <v>193</v>
      </c>
    </row>
    <row r="299" ht="15.75" spans="2:19">
      <c r="B299">
        <f t="shared" si="25"/>
        <v>1</v>
      </c>
      <c r="C299" t="e">
        <f>VLOOKUP(D299,Sheet4!$K$9:$L$110,2,0)</f>
        <v>#N/A</v>
      </c>
      <c r="D299" t="s">
        <v>161</v>
      </c>
      <c r="E299" t="str">
        <f>VLOOKUP(D299,'50欧洲库存'!C30:V141,2,0)</f>
        <v>50DE-24SiliconeSoftBlock</v>
      </c>
      <c r="F299">
        <f>VLOOKUP(D299,'50欧洲库存'!$C$2:$V$113,20,0)</f>
        <v>0</v>
      </c>
      <c r="G299">
        <f>COUNTIF('50欧洲库存'!$C$2:$C$199,D299)</f>
        <v>1</v>
      </c>
      <c r="H299">
        <f>VLOOKUP(D299,'50欧洲库存'!$C$2:$V$113,20,0)</f>
        <v>0</v>
      </c>
      <c r="I299" s="26" t="s">
        <v>16</v>
      </c>
      <c r="J299" t="e">
        <f t="shared" si="26"/>
        <v>#DIV/0!</v>
      </c>
      <c r="K299">
        <v>3</v>
      </c>
      <c r="L299" t="e">
        <f t="shared" si="27"/>
        <v>#DIV/0!</v>
      </c>
      <c r="M299">
        <v>5</v>
      </c>
      <c r="N299" t="e">
        <f t="shared" si="28"/>
        <v>#DIV/0!</v>
      </c>
      <c r="O299">
        <v>8</v>
      </c>
      <c r="S299" t="s">
        <v>194</v>
      </c>
    </row>
    <row r="300" ht="15.75" spans="2:19">
      <c r="B300">
        <f t="shared" si="25"/>
        <v>1</v>
      </c>
      <c r="C300" t="e">
        <f>VLOOKUP(D300,Sheet4!$K$9:$L$110,2,0)</f>
        <v>#N/A</v>
      </c>
      <c r="D300" t="s">
        <v>127</v>
      </c>
      <c r="E300" t="str">
        <f>VLOOKUP(D300,'50欧洲库存'!C31:V142,2,0)</f>
        <v>50UK-XiaoZuQiuX8H</v>
      </c>
      <c r="F300">
        <f>VLOOKUP(D300,'50欧洲库存'!$C$2:$V$113,20,0)</f>
        <v>0</v>
      </c>
      <c r="G300">
        <f>COUNTIF('50欧洲库存'!$C$2:$C$199,D300)</f>
        <v>2</v>
      </c>
      <c r="H300">
        <f>VLOOKUP(D300,'50欧洲库存'!$C$2:$V$113,20,0)</f>
        <v>0</v>
      </c>
      <c r="I300" s="26" t="s">
        <v>16</v>
      </c>
      <c r="J300" t="e">
        <f t="shared" si="26"/>
        <v>#DIV/0!</v>
      </c>
      <c r="K300">
        <v>3</v>
      </c>
      <c r="L300" t="e">
        <f t="shared" si="27"/>
        <v>#DIV/0!</v>
      </c>
      <c r="M300">
        <v>5</v>
      </c>
      <c r="N300" t="e">
        <f t="shared" si="28"/>
        <v>#DIV/0!</v>
      </c>
      <c r="O300">
        <v>8</v>
      </c>
      <c r="S300" t="s">
        <v>195</v>
      </c>
    </row>
    <row r="301" ht="15.75" spans="2:19">
      <c r="B301">
        <f t="shared" si="25"/>
        <v>1</v>
      </c>
      <c r="C301" t="e">
        <f>VLOOKUP(D301,Sheet4!$K$9:$L$110,2,0)</f>
        <v>#N/A</v>
      </c>
      <c r="D301" t="s">
        <v>162</v>
      </c>
      <c r="E301" t="str">
        <f>VLOOKUP(D301,'50欧洲库存'!C32:V143,2,0)</f>
        <v>FBA-BaiLan-YouHeZi</v>
      </c>
      <c r="F301">
        <f>VLOOKUP(D301,'50欧洲库存'!$C$2:$V$113,20,0)</f>
        <v>0</v>
      </c>
      <c r="G301">
        <f>COUNTIF('50欧洲库存'!$C$2:$C$199,D301)</f>
        <v>1</v>
      </c>
      <c r="H301">
        <f>VLOOKUP(D301,'50欧洲库存'!$C$2:$V$113,20,0)</f>
        <v>0</v>
      </c>
      <c r="I301" s="26" t="s">
        <v>16</v>
      </c>
      <c r="J301" t="e">
        <f t="shared" si="26"/>
        <v>#DIV/0!</v>
      </c>
      <c r="K301">
        <v>3</v>
      </c>
      <c r="L301" t="e">
        <f t="shared" si="27"/>
        <v>#DIV/0!</v>
      </c>
      <c r="M301">
        <v>5</v>
      </c>
      <c r="N301" t="e">
        <f t="shared" si="28"/>
        <v>#DIV/0!</v>
      </c>
      <c r="O301">
        <v>8</v>
      </c>
      <c r="S301" t="s">
        <v>196</v>
      </c>
    </row>
    <row r="302" ht="15.75" spans="2:19">
      <c r="B302">
        <f t="shared" si="25"/>
        <v>1</v>
      </c>
      <c r="C302" t="e">
        <f>VLOOKUP(D302,Sheet4!$K$9:$L$110,2,0)</f>
        <v>#N/A</v>
      </c>
      <c r="D302" t="s">
        <v>163</v>
      </c>
      <c r="E302" t="str">
        <f>VLOOKUP(D302,'50欧洲库存'!C33:V144,2,0)</f>
        <v>MoFang-Black+BlackRed</v>
      </c>
      <c r="F302">
        <f>VLOOKUP(D302,'50欧洲库存'!$C$2:$V$113,20,0)</f>
        <v>0</v>
      </c>
      <c r="G302">
        <f>COUNTIF('50欧洲库存'!$C$2:$C$199,D302)</f>
        <v>1</v>
      </c>
      <c r="H302">
        <f>VLOOKUP(D302,'50欧洲库存'!$C$2:$V$113,20,0)</f>
        <v>0</v>
      </c>
      <c r="I302" s="26" t="s">
        <v>16</v>
      </c>
      <c r="J302" t="e">
        <f t="shared" si="26"/>
        <v>#DIV/0!</v>
      </c>
      <c r="K302">
        <v>3</v>
      </c>
      <c r="L302" t="e">
        <f t="shared" si="27"/>
        <v>#DIV/0!</v>
      </c>
      <c r="M302">
        <v>5</v>
      </c>
      <c r="N302" t="e">
        <f t="shared" si="28"/>
        <v>#DIV/0!</v>
      </c>
      <c r="O302">
        <v>8</v>
      </c>
      <c r="S302" t="s">
        <v>197</v>
      </c>
    </row>
    <row r="303" ht="14.25" spans="2:19">
      <c r="B303">
        <f t="shared" si="25"/>
        <v>1</v>
      </c>
      <c r="C303" t="e">
        <f>VLOOKUP(D303,Sheet4!$K$9:$L$110,2,0)</f>
        <v>#N/A</v>
      </c>
      <c r="D303" t="s">
        <v>164</v>
      </c>
      <c r="E303" t="str">
        <f>VLOOKUP(D303,'50欧洲库存'!C34:V145,2,0)</f>
        <v>50DE-80HeZhuangSoftBlock</v>
      </c>
      <c r="F303">
        <f>VLOOKUP(D303,'50欧洲库存'!$C$2:$V$113,20,0)</f>
        <v>0</v>
      </c>
      <c r="G303">
        <f>COUNTIF('50欧洲库存'!$C$2:$C$199,D303)</f>
        <v>1</v>
      </c>
      <c r="H303">
        <f>VLOOKUP(D303,'50欧洲库存'!$C$2:$V$113,20,0)</f>
        <v>0</v>
      </c>
      <c r="I303" s="26" t="s">
        <v>16</v>
      </c>
      <c r="J303" t="e">
        <f t="shared" si="26"/>
        <v>#DIV/0!</v>
      </c>
      <c r="K303">
        <v>3</v>
      </c>
      <c r="L303" t="e">
        <f t="shared" si="27"/>
        <v>#DIV/0!</v>
      </c>
      <c r="M303">
        <v>5</v>
      </c>
      <c r="N303" t="e">
        <f t="shared" si="28"/>
        <v>#DIV/0!</v>
      </c>
      <c r="O303">
        <v>8</v>
      </c>
      <c r="S303" t="s">
        <v>198</v>
      </c>
    </row>
    <row r="304" ht="14.25" spans="2:19">
      <c r="B304">
        <f t="shared" si="25"/>
        <v>1</v>
      </c>
      <c r="C304" t="e">
        <f>VLOOKUP(D304,Sheet4!$K$9:$L$110,2,0)</f>
        <v>#N/A</v>
      </c>
      <c r="D304" t="s">
        <v>165</v>
      </c>
      <c r="E304" t="str">
        <f>VLOOKUP(D304,'50欧洲库存'!C35:V146,2,0)</f>
        <v>50UK-LiujiantaoRV</v>
      </c>
      <c r="F304">
        <f>VLOOKUP(D304,'50欧洲库存'!$C$2:$V$113,20,0)</f>
        <v>24.99</v>
      </c>
      <c r="G304">
        <f>COUNTIF('50欧洲库存'!$C$2:$C$199,D304)</f>
        <v>1</v>
      </c>
      <c r="H304">
        <f>VLOOKUP(D304,'50欧洲库存'!$C$2:$V$113,20,0)</f>
        <v>24.99</v>
      </c>
      <c r="I304" s="26" t="s">
        <v>16</v>
      </c>
      <c r="J304">
        <f t="shared" si="26"/>
        <v>21</v>
      </c>
      <c r="K304">
        <v>3</v>
      </c>
      <c r="L304">
        <f t="shared" si="27"/>
        <v>29</v>
      </c>
      <c r="M304">
        <v>5</v>
      </c>
      <c r="N304">
        <f t="shared" si="28"/>
        <v>49</v>
      </c>
      <c r="O304">
        <v>8</v>
      </c>
      <c r="S304" t="s">
        <v>199</v>
      </c>
    </row>
    <row r="305" ht="14.25" spans="2:19">
      <c r="B305">
        <f t="shared" si="25"/>
        <v>1</v>
      </c>
      <c r="C305" t="e">
        <f>VLOOKUP(D305,Sheet4!$K$9:$L$110,2,0)</f>
        <v>#N/A</v>
      </c>
      <c r="D305" t="s">
        <v>166</v>
      </c>
      <c r="E305" t="str">
        <f>VLOOKUP(D305,'50欧洲库存'!C36:V147,2,0)</f>
        <v>ShouZhuaQiu-6Ge-1002-FBA</v>
      </c>
      <c r="F305">
        <f>VLOOKUP(D305,'50欧洲库存'!$C$2:$V$113,20,0)</f>
        <v>0</v>
      </c>
      <c r="G305">
        <f>COUNTIF('50欧洲库存'!$C$2:$C$199,D305)</f>
        <v>1</v>
      </c>
      <c r="H305">
        <f>VLOOKUP(D305,'50欧洲库存'!$C$2:$V$113,20,0)</f>
        <v>0</v>
      </c>
      <c r="I305" s="26" t="s">
        <v>16</v>
      </c>
      <c r="J305" t="e">
        <f t="shared" si="26"/>
        <v>#DIV/0!</v>
      </c>
      <c r="K305">
        <v>3</v>
      </c>
      <c r="L305" t="e">
        <f t="shared" si="27"/>
        <v>#DIV/0!</v>
      </c>
      <c r="M305">
        <v>5</v>
      </c>
      <c r="N305" t="e">
        <f t="shared" si="28"/>
        <v>#DIV/0!</v>
      </c>
      <c r="O305">
        <v>8</v>
      </c>
      <c r="S305" t="s">
        <v>200</v>
      </c>
    </row>
    <row r="306" ht="15.75" spans="2:19">
      <c r="B306">
        <f t="shared" si="25"/>
        <v>1</v>
      </c>
      <c r="C306" t="e">
        <f>VLOOKUP(D306,Sheet4!$K$9:$L$110,2,0)</f>
        <v>#N/A</v>
      </c>
      <c r="D306" t="s">
        <v>167</v>
      </c>
      <c r="E306" t="str">
        <f>VLOOKUP(D306,'50欧洲库存'!C37:V148,2,0)</f>
        <v>MianJu-LED-Hong-1001-FBA</v>
      </c>
      <c r="F306">
        <f>VLOOKUP(D306,'50欧洲库存'!$C$2:$V$113,20,0)</f>
        <v>0</v>
      </c>
      <c r="G306">
        <f>COUNTIF('50欧洲库存'!$C$2:$C$199,D306)</f>
        <v>1</v>
      </c>
      <c r="H306">
        <f>VLOOKUP(D306,'50欧洲库存'!$C$2:$V$113,20,0)</f>
        <v>0</v>
      </c>
      <c r="I306" s="26" t="s">
        <v>16</v>
      </c>
      <c r="J306" t="e">
        <f t="shared" si="26"/>
        <v>#DIV/0!</v>
      </c>
      <c r="K306">
        <v>3</v>
      </c>
      <c r="L306" t="e">
        <f t="shared" si="27"/>
        <v>#DIV/0!</v>
      </c>
      <c r="M306">
        <v>5</v>
      </c>
      <c r="N306" t="e">
        <f t="shared" si="28"/>
        <v>#DIV/0!</v>
      </c>
      <c r="O306">
        <v>8</v>
      </c>
      <c r="S306" t="s">
        <v>201</v>
      </c>
    </row>
    <row r="307" ht="15.75" spans="2:19">
      <c r="B307">
        <f t="shared" si="25"/>
        <v>1</v>
      </c>
      <c r="C307" t="e">
        <f>VLOOKUP(D307,Sheet4!$K$9:$L$110,2,0)</f>
        <v>#N/A</v>
      </c>
      <c r="D307" t="s">
        <v>168</v>
      </c>
      <c r="E307" t="str">
        <f>VLOOKUP(D307,'50欧洲库存'!C38:V149,2,0)</f>
        <v>FBA-DengTou-LaLian-Hei</v>
      </c>
      <c r="F307">
        <f>VLOOKUP(D307,'50欧洲库存'!$C$2:$V$113,20,0)</f>
        <v>0</v>
      </c>
      <c r="G307">
        <f>COUNTIF('50欧洲库存'!$C$2:$C$199,D307)</f>
        <v>1</v>
      </c>
      <c r="H307">
        <f>VLOOKUP(D307,'50欧洲库存'!$C$2:$V$113,20,0)</f>
        <v>0</v>
      </c>
      <c r="I307" s="26" t="s">
        <v>16</v>
      </c>
      <c r="J307" t="e">
        <f t="shared" si="26"/>
        <v>#DIV/0!</v>
      </c>
      <c r="K307">
        <v>3</v>
      </c>
      <c r="L307" t="e">
        <f t="shared" si="27"/>
        <v>#DIV/0!</v>
      </c>
      <c r="M307">
        <v>5</v>
      </c>
      <c r="N307" t="e">
        <f t="shared" si="28"/>
        <v>#DIV/0!</v>
      </c>
      <c r="O307">
        <v>8</v>
      </c>
      <c r="S307" t="s">
        <v>202</v>
      </c>
    </row>
    <row r="308" ht="14.25" spans="2:19">
      <c r="B308">
        <f t="shared" si="25"/>
        <v>1</v>
      </c>
      <c r="C308" t="e">
        <f>VLOOKUP(D308,Sheet4!$K$9:$L$110,2,0)</f>
        <v>#N/A</v>
      </c>
      <c r="D308" t="s">
        <v>169</v>
      </c>
      <c r="E308" t="str">
        <f>VLOOKUP(D308,'50欧洲库存'!C39:V150,2,0)</f>
        <v>50UK-MaiGanQiu6</v>
      </c>
      <c r="F308">
        <f>VLOOKUP(D308,'50欧洲库存'!$C$2:$V$113,20,0)</f>
        <v>0</v>
      </c>
      <c r="G308">
        <f>COUNTIF('50欧洲库存'!$C$2:$C$199,D308)</f>
        <v>1</v>
      </c>
      <c r="H308">
        <f>VLOOKUP(D308,'50欧洲库存'!$C$2:$V$113,20,0)</f>
        <v>0</v>
      </c>
      <c r="I308" s="26" t="s">
        <v>16</v>
      </c>
      <c r="J308" t="e">
        <f t="shared" si="26"/>
        <v>#DIV/0!</v>
      </c>
      <c r="K308">
        <v>3</v>
      </c>
      <c r="L308" t="e">
        <f t="shared" si="27"/>
        <v>#DIV/0!</v>
      </c>
      <c r="M308">
        <v>5</v>
      </c>
      <c r="N308" t="e">
        <f t="shared" si="28"/>
        <v>#DIV/0!</v>
      </c>
      <c r="O308">
        <v>8</v>
      </c>
      <c r="S308" t="s">
        <v>203</v>
      </c>
    </row>
    <row r="309" ht="14.25" spans="2:19">
      <c r="B309">
        <f t="shared" si="25"/>
        <v>1</v>
      </c>
      <c r="C309" t="e">
        <f>VLOOKUP(D309,Sheet4!$K$9:$L$110,2,0)</f>
        <v>#N/A</v>
      </c>
      <c r="D309" t="s">
        <v>122</v>
      </c>
      <c r="E309" t="str">
        <f>VLOOKUP(D309,'50欧洲库存'!C40:V151,2,0)</f>
        <v>50UK-BlueMaiGanQiuLing</v>
      </c>
      <c r="F309">
        <f>VLOOKUP(D309,'50欧洲库存'!$C$2:$V$113,20,0)</f>
        <v>41.32</v>
      </c>
      <c r="G309">
        <f>COUNTIF('50欧洲库存'!$C$2:$C$199,D309)</f>
        <v>1</v>
      </c>
      <c r="H309">
        <f>VLOOKUP(D309,'50欧洲库存'!$C$2:$V$113,20,0)</f>
        <v>41.32</v>
      </c>
      <c r="I309" s="26" t="s">
        <v>16</v>
      </c>
      <c r="J309">
        <f t="shared" si="26"/>
        <v>13</v>
      </c>
      <c r="K309">
        <v>3</v>
      </c>
      <c r="L309">
        <f t="shared" si="27"/>
        <v>17</v>
      </c>
      <c r="M309">
        <v>5</v>
      </c>
      <c r="N309">
        <f t="shared" si="28"/>
        <v>30</v>
      </c>
      <c r="O309">
        <v>8</v>
      </c>
      <c r="S309" t="s">
        <v>204</v>
      </c>
    </row>
    <row r="310" ht="14.25" spans="2:19">
      <c r="B310">
        <f t="shared" si="25"/>
        <v>1</v>
      </c>
      <c r="C310" t="e">
        <f>VLOOKUP(D310,Sheet4!$K$9:$L$110,2,0)</f>
        <v>#N/A</v>
      </c>
      <c r="D310" t="s">
        <v>170</v>
      </c>
      <c r="E310" t="str">
        <f>VLOOKUP(D310,'50欧洲库存'!C41:V152,2,0)</f>
        <v>ShouZhuaQiu-10Ge-1001-FBA</v>
      </c>
      <c r="F310">
        <f>VLOOKUP(D310,'50欧洲库存'!$C$2:$V$113,20,0)</f>
        <v>0</v>
      </c>
      <c r="G310">
        <f>COUNTIF('50欧洲库存'!$C$2:$C$199,D310)</f>
        <v>1</v>
      </c>
      <c r="H310">
        <f>VLOOKUP(D310,'50欧洲库存'!$C$2:$V$113,20,0)</f>
        <v>0</v>
      </c>
      <c r="I310" s="26" t="s">
        <v>16</v>
      </c>
      <c r="J310" t="e">
        <f t="shared" si="26"/>
        <v>#DIV/0!</v>
      </c>
      <c r="K310">
        <v>3</v>
      </c>
      <c r="L310" t="e">
        <f t="shared" si="27"/>
        <v>#DIV/0!</v>
      </c>
      <c r="M310">
        <v>5</v>
      </c>
      <c r="N310" t="e">
        <f t="shared" si="28"/>
        <v>#DIV/0!</v>
      </c>
      <c r="O310">
        <v>8</v>
      </c>
      <c r="S310" t="s">
        <v>205</v>
      </c>
    </row>
    <row r="311" ht="15.75" spans="2:19">
      <c r="B311">
        <f t="shared" si="25"/>
        <v>1</v>
      </c>
      <c r="C311" t="e">
        <f>VLOOKUP(D311,Sheet4!$K$9:$L$110,2,0)</f>
        <v>#N/A</v>
      </c>
      <c r="D311" t="s">
        <v>171</v>
      </c>
      <c r="E311" t="str">
        <f>VLOOKUP(D311,'50欧洲库存'!C42:V153,2,0)</f>
        <v>YanSeFenLei-DE 02</v>
      </c>
      <c r="F311">
        <f>VLOOKUP(D311,'50欧洲库存'!$C$2:$V$113,20,0)</f>
        <v>0</v>
      </c>
      <c r="G311">
        <f>COUNTIF('50欧洲库存'!$C$2:$C$199,D311)</f>
        <v>1</v>
      </c>
      <c r="H311">
        <f>VLOOKUP(D311,'50欧洲库存'!$C$2:$V$113,20,0)</f>
        <v>0</v>
      </c>
      <c r="I311" s="26" t="s">
        <v>16</v>
      </c>
      <c r="J311" t="e">
        <f t="shared" si="26"/>
        <v>#DIV/0!</v>
      </c>
      <c r="K311">
        <v>3</v>
      </c>
      <c r="L311" t="e">
        <f t="shared" si="27"/>
        <v>#DIV/0!</v>
      </c>
      <c r="M311">
        <v>5</v>
      </c>
      <c r="N311" t="e">
        <f t="shared" si="28"/>
        <v>#DIV/0!</v>
      </c>
      <c r="O311">
        <v>8</v>
      </c>
      <c r="S311" t="s">
        <v>206</v>
      </c>
    </row>
    <row r="312" ht="15.75" spans="2:19">
      <c r="B312">
        <f t="shared" si="25"/>
        <v>1</v>
      </c>
      <c r="C312" t="e">
        <f>VLOOKUP(D312,Sheet4!$K$9:$L$110,2,0)</f>
        <v>#N/A</v>
      </c>
      <c r="D312" t="s">
        <v>172</v>
      </c>
      <c r="E312" t="str">
        <f>VLOOKUP(D312,'50欧洲库存'!C43:V154,2,0)</f>
        <v>50DE-XiaoCheJiMu</v>
      </c>
      <c r="F312">
        <f>VLOOKUP(D312,'50欧洲库存'!$C$2:$V$113,20,0)</f>
        <v>0</v>
      </c>
      <c r="G312">
        <f>COUNTIF('50欧洲库存'!$C$2:$C$199,D312)</f>
        <v>1</v>
      </c>
      <c r="H312">
        <f>VLOOKUP(D312,'50欧洲库存'!$C$2:$V$113,20,0)</f>
        <v>0</v>
      </c>
      <c r="I312" s="26" t="s">
        <v>16</v>
      </c>
      <c r="J312" t="e">
        <f t="shared" si="26"/>
        <v>#DIV/0!</v>
      </c>
      <c r="K312">
        <v>3</v>
      </c>
      <c r="L312" t="e">
        <f t="shared" si="27"/>
        <v>#DIV/0!</v>
      </c>
      <c r="M312">
        <v>5</v>
      </c>
      <c r="N312" t="e">
        <f t="shared" si="28"/>
        <v>#DIV/0!</v>
      </c>
      <c r="O312">
        <v>8</v>
      </c>
      <c r="S312" t="s">
        <v>207</v>
      </c>
    </row>
    <row r="313" ht="15.75" spans="2:19">
      <c r="B313">
        <f t="shared" si="25"/>
        <v>1</v>
      </c>
      <c r="C313" t="e">
        <f>VLOOKUP(D313,Sheet4!$K$9:$L$110,2,0)</f>
        <v>#N/A</v>
      </c>
      <c r="D313" t="s">
        <v>121</v>
      </c>
      <c r="E313" t="str">
        <f>VLOOKUP(D313,'50欧洲库存'!C44:V155,2,0)</f>
        <v>15yuer</v>
      </c>
      <c r="F313">
        <f>VLOOKUP(D313,'50欧洲库存'!$C$2:$V$113,20,0)</f>
        <v>0</v>
      </c>
      <c r="G313">
        <f>COUNTIF('50欧洲库存'!$C$2:$C$199,D313)</f>
        <v>1</v>
      </c>
      <c r="H313">
        <f>VLOOKUP(D313,'50欧洲库存'!$C$2:$V$113,20,0)</f>
        <v>0</v>
      </c>
      <c r="I313" s="26" t="s">
        <v>16</v>
      </c>
      <c r="J313" t="e">
        <f t="shared" si="26"/>
        <v>#DIV/0!</v>
      </c>
      <c r="K313">
        <v>3</v>
      </c>
      <c r="L313" t="e">
        <f t="shared" si="27"/>
        <v>#DIV/0!</v>
      </c>
      <c r="M313">
        <v>5</v>
      </c>
      <c r="N313" t="e">
        <f t="shared" si="28"/>
        <v>#DIV/0!</v>
      </c>
      <c r="O313">
        <v>8</v>
      </c>
      <c r="S313" t="s">
        <v>208</v>
      </c>
    </row>
    <row r="314" ht="14.25" spans="2:19">
      <c r="B314">
        <f t="shared" si="25"/>
        <v>1</v>
      </c>
      <c r="C314" t="e">
        <f>VLOOKUP(D314,Sheet4!$K$9:$L$110,2,0)</f>
        <v>#N/A</v>
      </c>
      <c r="D314" t="s">
        <v>173</v>
      </c>
      <c r="E314" t="str">
        <f>VLOOKUP(D314,'50欧洲库存'!C45:V156,2,0)</f>
        <v>MoFang-Rainbow-0722</v>
      </c>
      <c r="F314">
        <f>VLOOKUP(D314,'50欧洲库存'!$C$2:$V$113,20,0)</f>
        <v>0</v>
      </c>
      <c r="G314">
        <f>COUNTIF('50欧洲库存'!$C$2:$C$199,D314)</f>
        <v>1</v>
      </c>
      <c r="H314">
        <f>VLOOKUP(D314,'50欧洲库存'!$C$2:$V$113,20,0)</f>
        <v>0</v>
      </c>
      <c r="I314" s="26" t="s">
        <v>16</v>
      </c>
      <c r="J314" t="e">
        <f t="shared" si="26"/>
        <v>#DIV/0!</v>
      </c>
      <c r="K314">
        <v>3</v>
      </c>
      <c r="L314" t="e">
        <f t="shared" si="27"/>
        <v>#DIV/0!</v>
      </c>
      <c r="M314">
        <v>5</v>
      </c>
      <c r="N314" t="e">
        <f t="shared" si="28"/>
        <v>#DIV/0!</v>
      </c>
      <c r="O314">
        <v>8</v>
      </c>
      <c r="S314" t="s">
        <v>209</v>
      </c>
    </row>
    <row r="315" ht="14.25" spans="2:19">
      <c r="B315">
        <f t="shared" si="25"/>
        <v>1</v>
      </c>
      <c r="C315" t="e">
        <f>VLOOKUP(D315,Sheet4!$K$9:$L$110,2,0)</f>
        <v>#N/A</v>
      </c>
      <c r="D315" t="s">
        <v>105</v>
      </c>
      <c r="E315" t="str">
        <f>VLOOKUP(D315,'50欧洲库存'!C46:V157,2,0)</f>
        <v>50UK-WheatStrawRattle-Blue</v>
      </c>
      <c r="F315">
        <f>VLOOKUP(D315,'50欧洲库存'!$C$2:$V$113,20,0)</f>
        <v>35.81</v>
      </c>
      <c r="G315">
        <f>COUNTIF('50欧洲库存'!$C$2:$C$199,D315)</f>
        <v>2</v>
      </c>
      <c r="H315">
        <f>VLOOKUP(D315,'50欧洲库存'!$C$2:$V$113,20,0)</f>
        <v>35.81</v>
      </c>
      <c r="I315" s="26" t="s">
        <v>16</v>
      </c>
      <c r="J315">
        <f t="shared" si="26"/>
        <v>14</v>
      </c>
      <c r="K315">
        <v>3</v>
      </c>
      <c r="L315">
        <f t="shared" si="27"/>
        <v>20</v>
      </c>
      <c r="M315">
        <v>5</v>
      </c>
      <c r="N315">
        <f t="shared" si="28"/>
        <v>34</v>
      </c>
      <c r="O315">
        <v>8</v>
      </c>
      <c r="S315" t="s">
        <v>210</v>
      </c>
    </row>
    <row r="316" ht="14.25" spans="2:19">
      <c r="B316">
        <f t="shared" si="25"/>
        <v>1</v>
      </c>
      <c r="C316" t="e">
        <f>VLOOKUP(D316,Sheet4!$K$9:$L$110,2,0)</f>
        <v>#N/A</v>
      </c>
      <c r="D316" t="s">
        <v>174</v>
      </c>
      <c r="E316" t="str">
        <f>VLOOKUP(D316,'50欧洲库存'!C47:V158,2,0)</f>
        <v>50UK-QiuLingBlue01</v>
      </c>
      <c r="F316">
        <f>VLOOKUP(D316,'50欧洲库存'!$C$2:$V$113,20,0)</f>
        <v>0</v>
      </c>
      <c r="G316">
        <f>COUNTIF('50欧洲库存'!$C$2:$C$199,D316)</f>
        <v>1</v>
      </c>
      <c r="H316">
        <f>VLOOKUP(D316,'50欧洲库存'!$C$2:$V$113,20,0)</f>
        <v>0</v>
      </c>
      <c r="I316" s="26" t="s">
        <v>16</v>
      </c>
      <c r="J316" t="e">
        <f t="shared" si="26"/>
        <v>#DIV/0!</v>
      </c>
      <c r="K316">
        <v>3</v>
      </c>
      <c r="L316" t="e">
        <f t="shared" si="27"/>
        <v>#DIV/0!</v>
      </c>
      <c r="M316">
        <v>5</v>
      </c>
      <c r="N316" t="e">
        <f t="shared" si="28"/>
        <v>#DIV/0!</v>
      </c>
      <c r="O316">
        <v>8</v>
      </c>
      <c r="S316" t="s">
        <v>211</v>
      </c>
    </row>
    <row r="317" ht="15.75" spans="2:19">
      <c r="B317">
        <f t="shared" si="25"/>
        <v>1</v>
      </c>
      <c r="C317" t="e">
        <f>VLOOKUP(D317,Sheet4!$K$9:$L$110,2,0)</f>
        <v>#N/A</v>
      </c>
      <c r="D317" t="s">
        <v>175</v>
      </c>
      <c r="E317" t="str">
        <f>VLOOKUP(D317,'50欧洲库存'!C48:V159,2,0)</f>
        <v>miCaiLv-Mofang-Hezi</v>
      </c>
      <c r="F317">
        <f>VLOOKUP(D317,'50欧洲库存'!$C$2:$V$113,20,0)</f>
        <v>0</v>
      </c>
      <c r="G317">
        <f>COUNTIF('50欧洲库存'!$C$2:$C$199,D317)</f>
        <v>1</v>
      </c>
      <c r="H317">
        <f>VLOOKUP(D317,'50欧洲库存'!$C$2:$V$113,20,0)</f>
        <v>0</v>
      </c>
      <c r="I317" s="26" t="s">
        <v>16</v>
      </c>
      <c r="J317" t="e">
        <f t="shared" si="26"/>
        <v>#DIV/0!</v>
      </c>
      <c r="K317">
        <v>3</v>
      </c>
      <c r="L317" t="e">
        <f t="shared" si="27"/>
        <v>#DIV/0!</v>
      </c>
      <c r="M317">
        <v>5</v>
      </c>
      <c r="N317" t="e">
        <f t="shared" si="28"/>
        <v>#DIV/0!</v>
      </c>
      <c r="O317">
        <v>8</v>
      </c>
      <c r="S317" t="s">
        <v>212</v>
      </c>
    </row>
    <row r="318" ht="15.75" spans="2:19">
      <c r="B318">
        <f t="shared" si="25"/>
        <v>1</v>
      </c>
      <c r="C318" t="e">
        <f>VLOOKUP(D318,Sheet4!$K$9:$L$110,2,0)</f>
        <v>#N/A</v>
      </c>
      <c r="D318" t="s">
        <v>176</v>
      </c>
      <c r="E318" t="str">
        <f>VLOOKUP(D318,'50欧洲库存'!C49:V160,2,0)</f>
        <v>ShouZhuaQiu-6Ge-1006-FBA</v>
      </c>
      <c r="F318">
        <f>VLOOKUP(D318,'50欧洲库存'!$C$2:$V$113,20,0)</f>
        <v>0</v>
      </c>
      <c r="G318">
        <f>COUNTIF('50欧洲库存'!$C$2:$C$199,D318)</f>
        <v>1</v>
      </c>
      <c r="H318">
        <f>VLOOKUP(D318,'50欧洲库存'!$C$2:$V$113,20,0)</f>
        <v>0</v>
      </c>
      <c r="I318" s="26" t="s">
        <v>16</v>
      </c>
      <c r="J318" t="e">
        <f t="shared" si="26"/>
        <v>#DIV/0!</v>
      </c>
      <c r="K318">
        <v>3</v>
      </c>
      <c r="L318" t="e">
        <f t="shared" si="27"/>
        <v>#DIV/0!</v>
      </c>
      <c r="M318">
        <v>5</v>
      </c>
      <c r="N318" t="e">
        <f t="shared" si="28"/>
        <v>#DIV/0!</v>
      </c>
      <c r="O318">
        <v>8</v>
      </c>
      <c r="S318" t="s">
        <v>213</v>
      </c>
    </row>
    <row r="319" ht="15.75" spans="2:19">
      <c r="B319">
        <f t="shared" si="25"/>
        <v>1</v>
      </c>
      <c r="C319" t="str">
        <f>VLOOKUP(D319,Sheet4!$K$9:$L$110,2,0)</f>
        <v>A</v>
      </c>
      <c r="D319" t="s">
        <v>117</v>
      </c>
      <c r="E319" t="str">
        <f>VLOOKUP(D319,'50欧洲库存'!C50:V161,2,0)</f>
        <v>honghejimu-12</v>
      </c>
      <c r="F319">
        <f>VLOOKUP(D319,'50欧洲库存'!$C$2:$V$113,20,0)</f>
        <v>0</v>
      </c>
      <c r="G319">
        <f>COUNTIF('50欧洲库存'!$C$2:$C$199,D319)</f>
        <v>1</v>
      </c>
      <c r="H319">
        <f>VLOOKUP(D319,'50欧洲库存'!$C$2:$V$113,20,0)</f>
        <v>0</v>
      </c>
      <c r="I319" s="26" t="s">
        <v>16</v>
      </c>
      <c r="J319" t="e">
        <f t="shared" si="26"/>
        <v>#DIV/0!</v>
      </c>
      <c r="K319">
        <v>3</v>
      </c>
      <c r="L319" t="e">
        <f t="shared" si="27"/>
        <v>#DIV/0!</v>
      </c>
      <c r="M319">
        <v>5</v>
      </c>
      <c r="N319" t="e">
        <f t="shared" si="28"/>
        <v>#DIV/0!</v>
      </c>
      <c r="O319">
        <v>8</v>
      </c>
      <c r="S319" t="s">
        <v>214</v>
      </c>
    </row>
    <row r="320" ht="15.75" spans="2:19">
      <c r="B320">
        <f t="shared" si="25"/>
        <v>1</v>
      </c>
      <c r="C320" t="e">
        <f>VLOOKUP(D320,Sheet4!$K$9:$L$110,2,0)</f>
        <v>#N/A</v>
      </c>
      <c r="D320" t="s">
        <v>177</v>
      </c>
      <c r="E320" t="str">
        <f>VLOOKUP(D320,'50欧洲库存'!C51:V162,2,0)</f>
        <v>50DE-BabyBall-001</v>
      </c>
      <c r="F320">
        <f>VLOOKUP(D320,'50欧洲库存'!$C$2:$V$113,20,0)</f>
        <v>0</v>
      </c>
      <c r="G320">
        <f>COUNTIF('50欧洲库存'!$C$2:$C$199,D320)</f>
        <v>1</v>
      </c>
      <c r="H320">
        <f>VLOOKUP(D320,'50欧洲库存'!$C$2:$V$113,20,0)</f>
        <v>0</v>
      </c>
      <c r="I320" s="26" t="s">
        <v>16</v>
      </c>
      <c r="J320" t="e">
        <f t="shared" si="26"/>
        <v>#DIV/0!</v>
      </c>
      <c r="K320">
        <v>3</v>
      </c>
      <c r="L320" t="e">
        <f t="shared" si="27"/>
        <v>#DIV/0!</v>
      </c>
      <c r="M320">
        <v>5</v>
      </c>
      <c r="N320" t="e">
        <f t="shared" si="28"/>
        <v>#DIV/0!</v>
      </c>
      <c r="O320">
        <v>8</v>
      </c>
      <c r="S320" t="s">
        <v>215</v>
      </c>
    </row>
    <row r="321" ht="15.75" spans="2:19">
      <c r="B321">
        <f t="shared" si="25"/>
        <v>1</v>
      </c>
      <c r="C321" t="e">
        <f>VLOOKUP(D321,Sheet4!$K$9:$L$110,2,0)</f>
        <v>#N/A</v>
      </c>
      <c r="D321" t="s">
        <v>108</v>
      </c>
      <c r="E321" t="str">
        <f>VLOOKUP(D321,'50欧洲库存'!C52:V163,2,0)</f>
        <v>FengRenJi-Bai-1001-FBA</v>
      </c>
      <c r="F321">
        <f>VLOOKUP(D321,'50欧洲库存'!$C$2:$V$113,20,0)</f>
        <v>0</v>
      </c>
      <c r="G321">
        <f>COUNTIF('50欧洲库存'!$C$2:$C$199,D321)</f>
        <v>2</v>
      </c>
      <c r="H321">
        <f>VLOOKUP(D321,'50欧洲库存'!$C$2:$V$113,20,0)</f>
        <v>0</v>
      </c>
      <c r="I321" s="26" t="s">
        <v>16</v>
      </c>
      <c r="J321" t="e">
        <f t="shared" si="26"/>
        <v>#DIV/0!</v>
      </c>
      <c r="K321">
        <v>3</v>
      </c>
      <c r="L321" t="e">
        <f t="shared" si="27"/>
        <v>#DIV/0!</v>
      </c>
      <c r="M321">
        <v>5</v>
      </c>
      <c r="N321" t="e">
        <f t="shared" si="28"/>
        <v>#DIV/0!</v>
      </c>
      <c r="O321">
        <v>8</v>
      </c>
      <c r="S321" t="s">
        <v>216</v>
      </c>
    </row>
    <row r="322" ht="15.75" spans="2:19">
      <c r="B322">
        <f t="shared" si="25"/>
        <v>1</v>
      </c>
      <c r="C322" t="e">
        <f>VLOOKUP(D322,Sheet4!$K$9:$L$110,2,0)</f>
        <v>#N/A</v>
      </c>
      <c r="D322" t="s">
        <v>178</v>
      </c>
      <c r="E322" t="str">
        <f>VLOOKUP(D322,'50欧洲库存'!C53:V164,2,0)</f>
        <v>ShouZhuaQiu-4Ge-1004-FBA</v>
      </c>
      <c r="F322">
        <f>VLOOKUP(D322,'50欧洲库存'!$C$2:$V$113,20,0)</f>
        <v>0</v>
      </c>
      <c r="G322">
        <f>COUNTIF('50欧洲库存'!$C$2:$C$199,D322)</f>
        <v>1</v>
      </c>
      <c r="H322">
        <f>VLOOKUP(D322,'50欧洲库存'!$C$2:$V$113,20,0)</f>
        <v>0</v>
      </c>
      <c r="I322" s="26" t="s">
        <v>16</v>
      </c>
      <c r="J322" t="e">
        <f t="shared" si="26"/>
        <v>#DIV/0!</v>
      </c>
      <c r="K322">
        <v>3</v>
      </c>
      <c r="L322" t="e">
        <f t="shared" si="27"/>
        <v>#DIV/0!</v>
      </c>
      <c r="M322">
        <v>5</v>
      </c>
      <c r="N322" t="e">
        <f t="shared" si="28"/>
        <v>#DIV/0!</v>
      </c>
      <c r="O322">
        <v>8</v>
      </c>
      <c r="S322" t="s">
        <v>217</v>
      </c>
    </row>
    <row r="323" ht="15.75" spans="2:19">
      <c r="B323">
        <f t="shared" si="25"/>
        <v>1</v>
      </c>
      <c r="C323" t="e">
        <f>VLOOKUP(D323,Sheet4!$K$9:$L$110,2,0)</f>
        <v>#N/A</v>
      </c>
      <c r="D323" t="s">
        <v>179</v>
      </c>
      <c r="E323" t="str">
        <f>VLOOKUP(D323,'50欧洲库存'!C54:V165,2,0)</f>
        <v>50DE-70SoftBlock</v>
      </c>
      <c r="F323">
        <f>VLOOKUP(D323,'50欧洲库存'!$C$2:$V$113,20,0)</f>
        <v>0</v>
      </c>
      <c r="G323">
        <f>COUNTIF('50欧洲库存'!$C$2:$C$199,D323)</f>
        <v>1</v>
      </c>
      <c r="H323">
        <f>VLOOKUP(D323,'50欧洲库存'!$C$2:$V$113,20,0)</f>
        <v>0</v>
      </c>
      <c r="I323" s="26" t="s">
        <v>16</v>
      </c>
      <c r="J323" t="e">
        <f t="shared" si="26"/>
        <v>#DIV/0!</v>
      </c>
      <c r="K323">
        <v>3</v>
      </c>
      <c r="L323" t="e">
        <f t="shared" si="27"/>
        <v>#DIV/0!</v>
      </c>
      <c r="M323">
        <v>5</v>
      </c>
      <c r="N323" t="e">
        <f t="shared" si="28"/>
        <v>#DIV/0!</v>
      </c>
      <c r="O323">
        <v>8</v>
      </c>
      <c r="S323" t="s">
        <v>218</v>
      </c>
    </row>
    <row r="324" ht="15.75" spans="2:19">
      <c r="B324">
        <f t="shared" si="25"/>
        <v>1</v>
      </c>
      <c r="C324" t="e">
        <f>VLOOKUP(D324,Sheet4!$K$9:$L$110,2,0)</f>
        <v>#N/A</v>
      </c>
      <c r="D324" t="s">
        <v>180</v>
      </c>
      <c r="E324" t="str">
        <f>VLOOKUP(D324,'50欧洲库存'!C55:V166,2,0)</f>
        <v>MoFang-BaiHei-WuHe-FBA</v>
      </c>
      <c r="F324">
        <f>VLOOKUP(D324,'50欧洲库存'!$C$2:$V$113,20,0)</f>
        <v>0</v>
      </c>
      <c r="G324">
        <f>COUNTIF('50欧洲库存'!$C$2:$C$199,D324)</f>
        <v>1</v>
      </c>
      <c r="H324">
        <f>VLOOKUP(D324,'50欧洲库存'!$C$2:$V$113,20,0)</f>
        <v>0</v>
      </c>
      <c r="I324" s="26" t="s">
        <v>16</v>
      </c>
      <c r="J324" t="e">
        <f t="shared" si="26"/>
        <v>#DIV/0!</v>
      </c>
      <c r="K324">
        <v>3</v>
      </c>
      <c r="L324" t="e">
        <f t="shared" si="27"/>
        <v>#DIV/0!</v>
      </c>
      <c r="M324">
        <v>5</v>
      </c>
      <c r="N324" t="e">
        <f t="shared" si="28"/>
        <v>#DIV/0!</v>
      </c>
      <c r="O324">
        <v>8</v>
      </c>
      <c r="S324" t="s">
        <v>219</v>
      </c>
    </row>
    <row r="325" ht="15.75" spans="2:19">
      <c r="B325">
        <f t="shared" si="25"/>
        <v>1</v>
      </c>
      <c r="C325" t="e">
        <f>VLOOKUP(D325,Sheet4!$K$9:$L$110,2,0)</f>
        <v>#N/A</v>
      </c>
      <c r="D325" t="s">
        <v>181</v>
      </c>
      <c r="E325" t="str">
        <f>VLOOKUP(D325,'50欧洲库存'!C56:V167,2,0)</f>
        <v>50DE-MaoCiQiu001</v>
      </c>
      <c r="F325">
        <f>VLOOKUP(D325,'50欧洲库存'!$C$2:$V$113,20,0)</f>
        <v>0</v>
      </c>
      <c r="G325">
        <f>COUNTIF('50欧洲库存'!$C$2:$C$199,D325)</f>
        <v>1</v>
      </c>
      <c r="H325">
        <f>VLOOKUP(D325,'50欧洲库存'!$C$2:$V$113,20,0)</f>
        <v>0</v>
      </c>
      <c r="I325" s="26" t="s">
        <v>16</v>
      </c>
      <c r="J325" t="e">
        <f t="shared" si="26"/>
        <v>#DIV/0!</v>
      </c>
      <c r="K325">
        <v>3</v>
      </c>
      <c r="L325" t="e">
        <f t="shared" si="27"/>
        <v>#DIV/0!</v>
      </c>
      <c r="M325">
        <v>5</v>
      </c>
      <c r="N325" t="e">
        <f t="shared" si="28"/>
        <v>#DIV/0!</v>
      </c>
      <c r="O325">
        <v>8</v>
      </c>
      <c r="S325" t="s">
        <v>116</v>
      </c>
    </row>
    <row r="326" ht="15.75" spans="2:19">
      <c r="B326">
        <f t="shared" si="25"/>
        <v>1</v>
      </c>
      <c r="C326" t="e">
        <f>VLOOKUP(D326,Sheet4!$K$9:$L$110,2,0)</f>
        <v>#N/A</v>
      </c>
      <c r="D326" t="s">
        <v>182</v>
      </c>
      <c r="E326" t="str">
        <f>VLOOKUP(D326,'50欧洲库存'!C57:V168,2,0)</f>
        <v>MoFang-HeiHong-DaiHe-1002-FBA</v>
      </c>
      <c r="F326">
        <f>VLOOKUP(D326,'50欧洲库存'!$C$2:$V$113,20,0)</f>
        <v>0</v>
      </c>
      <c r="G326">
        <f>COUNTIF('50欧洲库存'!$C$2:$C$199,D326)</f>
        <v>1</v>
      </c>
      <c r="H326">
        <f>VLOOKUP(D326,'50欧洲库存'!$C$2:$V$113,20,0)</f>
        <v>0</v>
      </c>
      <c r="I326" s="26" t="s">
        <v>16</v>
      </c>
      <c r="J326" t="e">
        <f t="shared" si="26"/>
        <v>#DIV/0!</v>
      </c>
      <c r="K326">
        <v>3</v>
      </c>
      <c r="L326" t="e">
        <f t="shared" si="27"/>
        <v>#DIV/0!</v>
      </c>
      <c r="M326">
        <v>5</v>
      </c>
      <c r="N326" t="e">
        <f t="shared" si="28"/>
        <v>#DIV/0!</v>
      </c>
      <c r="O326">
        <v>8</v>
      </c>
      <c r="S326" t="s">
        <v>220</v>
      </c>
    </row>
    <row r="327" ht="15.75" spans="2:19">
      <c r="B327">
        <f t="shared" si="25"/>
        <v>1</v>
      </c>
      <c r="C327" t="e">
        <f>VLOOKUP(D327,Sheet4!$K$9:$L$110,2,0)</f>
        <v>#N/A</v>
      </c>
      <c r="D327" t="s">
        <v>183</v>
      </c>
      <c r="E327" t="str">
        <f>VLOOKUP(D327,'50欧洲库存'!C58:V169,2,0)</f>
        <v>GuTouDengTou-Niu</v>
      </c>
      <c r="F327">
        <f>VLOOKUP(D327,'50欧洲库存'!$C$2:$V$113,20,0)</f>
        <v>0</v>
      </c>
      <c r="G327">
        <f>COUNTIF('50欧洲库存'!$C$2:$C$199,D327)</f>
        <v>1</v>
      </c>
      <c r="H327">
        <f>VLOOKUP(D327,'50欧洲库存'!$C$2:$V$113,20,0)</f>
        <v>0</v>
      </c>
      <c r="I327" s="26" t="s">
        <v>16</v>
      </c>
      <c r="J327" t="e">
        <f t="shared" si="26"/>
        <v>#DIV/0!</v>
      </c>
      <c r="K327">
        <v>3</v>
      </c>
      <c r="L327" t="e">
        <f t="shared" si="27"/>
        <v>#DIV/0!</v>
      </c>
      <c r="M327">
        <v>5</v>
      </c>
      <c r="N327" t="e">
        <f t="shared" si="28"/>
        <v>#DIV/0!</v>
      </c>
      <c r="O327">
        <v>8</v>
      </c>
      <c r="S327" t="s">
        <v>221</v>
      </c>
    </row>
    <row r="328" ht="15.75" spans="2:19">
      <c r="B328">
        <f t="shared" si="25"/>
        <v>1</v>
      </c>
      <c r="C328" t="e">
        <f>VLOOKUP(D328,Sheet4!$K$9:$L$110,2,0)</f>
        <v>#N/A</v>
      </c>
      <c r="D328" t="s">
        <v>184</v>
      </c>
      <c r="E328" t="str">
        <f>VLOOKUP(D328,'50欧洲库存'!C59:V170,2,0)</f>
        <v>50UK-MuDaiShuBaoJiMu-Fen</v>
      </c>
      <c r="F328">
        <f>VLOOKUP(D328,'50欧洲库存'!$C$2:$V$113,20,0)</f>
        <v>0</v>
      </c>
      <c r="G328">
        <f>COUNTIF('50欧洲库存'!$C$2:$C$199,D328)</f>
        <v>2</v>
      </c>
      <c r="H328">
        <f>VLOOKUP(D328,'50欧洲库存'!$C$2:$V$113,20,0)</f>
        <v>0</v>
      </c>
      <c r="I328" s="26" t="s">
        <v>16</v>
      </c>
      <c r="J328" t="e">
        <f t="shared" si="26"/>
        <v>#DIV/0!</v>
      </c>
      <c r="K328">
        <v>3</v>
      </c>
      <c r="L328" t="e">
        <f t="shared" si="27"/>
        <v>#DIV/0!</v>
      </c>
      <c r="M328">
        <v>5</v>
      </c>
      <c r="N328" t="e">
        <f t="shared" si="28"/>
        <v>#DIV/0!</v>
      </c>
      <c r="O328">
        <v>8</v>
      </c>
      <c r="S328" t="s">
        <v>107</v>
      </c>
    </row>
    <row r="329" ht="15.75" spans="2:19">
      <c r="B329">
        <f t="shared" si="25"/>
        <v>1</v>
      </c>
      <c r="C329" t="e">
        <f>VLOOKUP(D329,Sheet4!$K$9:$L$110,2,0)</f>
        <v>#N/A</v>
      </c>
      <c r="D329" t="s">
        <v>185</v>
      </c>
      <c r="E329" t="str">
        <f>VLOOKUP(D329,'50欧洲库存'!C60:V171,2,0)</f>
        <v>MianJu-LED-LanSe-FBA</v>
      </c>
      <c r="F329">
        <f>VLOOKUP(D329,'50欧洲库存'!$C$2:$V$113,20,0)</f>
        <v>0</v>
      </c>
      <c r="G329">
        <f>COUNTIF('50欧洲库存'!$C$2:$C$199,D329)</f>
        <v>1</v>
      </c>
      <c r="H329">
        <f>VLOOKUP(D329,'50欧洲库存'!$C$2:$V$113,20,0)</f>
        <v>0</v>
      </c>
      <c r="I329" s="26" t="s">
        <v>16</v>
      </c>
      <c r="J329" t="e">
        <f t="shared" si="26"/>
        <v>#DIV/0!</v>
      </c>
      <c r="K329">
        <v>3</v>
      </c>
      <c r="L329" t="e">
        <f t="shared" si="27"/>
        <v>#DIV/0!</v>
      </c>
      <c r="M329">
        <v>5</v>
      </c>
      <c r="N329" t="e">
        <f t="shared" si="28"/>
        <v>#DIV/0!</v>
      </c>
      <c r="O329">
        <v>8</v>
      </c>
      <c r="S329" t="s">
        <v>222</v>
      </c>
    </row>
    <row r="330" ht="15.75" spans="2:19">
      <c r="B330">
        <f t="shared" ref="B330:B361" si="29">IFERROR(IF(OR(C330="SS",C330="S"),2,1),1)</f>
        <v>1</v>
      </c>
      <c r="C330" t="e">
        <f>VLOOKUP(D330,Sheet4!$K$9:$L$110,2,0)</f>
        <v>#N/A</v>
      </c>
      <c r="D330" t="s">
        <v>186</v>
      </c>
      <c r="E330" t="str">
        <f>VLOOKUP(D330,'50欧洲库存'!C61:V172,2,0)</f>
        <v>FBA-DengTou-FuShangPin-LuoWen-LaLian-Jin</v>
      </c>
      <c r="F330">
        <f>VLOOKUP(D330,'50欧洲库存'!$C$2:$V$113,20,0)</f>
        <v>0</v>
      </c>
      <c r="G330">
        <f>COUNTIF('50欧洲库存'!$C$2:$C$199,D330)</f>
        <v>1</v>
      </c>
      <c r="H330">
        <f>VLOOKUP(D330,'50欧洲库存'!$C$2:$V$113,20,0)</f>
        <v>0</v>
      </c>
      <c r="I330" s="26" t="s">
        <v>16</v>
      </c>
      <c r="J330" t="e">
        <f t="shared" ref="J330:J361" si="30">CEILING($J$13*B330/H330,1)</f>
        <v>#DIV/0!</v>
      </c>
      <c r="K330">
        <v>3</v>
      </c>
      <c r="L330" t="e">
        <f t="shared" ref="L330:L361" si="31">CEILING($L$13*B330/H330,1)</f>
        <v>#DIV/0!</v>
      </c>
      <c r="M330">
        <v>5</v>
      </c>
      <c r="N330" t="e">
        <f t="shared" ref="N330:N361" si="32">CEILING($N$13*B330/H330,1)</f>
        <v>#DIV/0!</v>
      </c>
      <c r="O330">
        <v>8</v>
      </c>
      <c r="S330" t="s">
        <v>223</v>
      </c>
    </row>
    <row r="331" ht="15.75" spans="2:19">
      <c r="B331">
        <f t="shared" si="29"/>
        <v>1</v>
      </c>
      <c r="C331" t="e">
        <f>VLOOKUP(D331,Sheet4!$K$9:$L$110,2,0)</f>
        <v>#N/A</v>
      </c>
      <c r="D331" t="s">
        <v>187</v>
      </c>
      <c r="E331" t="str">
        <f>VLOOKUP(D331,'50欧洲库存'!C62:V173,2,0)</f>
        <v>FBA-DengTou-GanNiu-Black</v>
      </c>
      <c r="F331">
        <f>VLOOKUP(D331,'50欧洲库存'!$C$2:$V$113,20,0)</f>
        <v>0</v>
      </c>
      <c r="G331">
        <f>COUNTIF('50欧洲库存'!$C$2:$C$199,D331)</f>
        <v>1</v>
      </c>
      <c r="H331">
        <f>VLOOKUP(D331,'50欧洲库存'!$C$2:$V$113,20,0)</f>
        <v>0</v>
      </c>
      <c r="I331" s="26" t="s">
        <v>16</v>
      </c>
      <c r="J331" t="e">
        <f t="shared" si="30"/>
        <v>#DIV/0!</v>
      </c>
      <c r="K331">
        <v>3</v>
      </c>
      <c r="L331" t="e">
        <f t="shared" si="31"/>
        <v>#DIV/0!</v>
      </c>
      <c r="M331">
        <v>5</v>
      </c>
      <c r="N331" t="e">
        <f t="shared" si="32"/>
        <v>#DIV/0!</v>
      </c>
      <c r="O331">
        <v>8</v>
      </c>
      <c r="S331" t="s">
        <v>224</v>
      </c>
    </row>
    <row r="332" ht="15.75" spans="2:19">
      <c r="B332">
        <f t="shared" si="29"/>
        <v>1</v>
      </c>
      <c r="C332" t="e">
        <f>VLOOKUP(D332,Sheet4!$K$9:$L$110,2,0)</f>
        <v>#N/A</v>
      </c>
      <c r="D332" t="s">
        <v>188</v>
      </c>
      <c r="E332" t="str">
        <f>VLOOKUP(D332,'50欧洲库存'!C63:V174,2,0)</f>
        <v>FBM-BaiLanMoFang-0001</v>
      </c>
      <c r="F332">
        <f>VLOOKUP(D332,'50欧洲库存'!$C$2:$V$113,20,0)</f>
        <v>0</v>
      </c>
      <c r="G332">
        <f>COUNTIF('50欧洲库存'!$C$2:$C$199,D332)</f>
        <v>1</v>
      </c>
      <c r="H332">
        <f>VLOOKUP(D332,'50欧洲库存'!$C$2:$V$113,20,0)</f>
        <v>0</v>
      </c>
      <c r="I332" s="26" t="s">
        <v>16</v>
      </c>
      <c r="J332" t="e">
        <f t="shared" si="30"/>
        <v>#DIV/0!</v>
      </c>
      <c r="K332">
        <v>3</v>
      </c>
      <c r="L332" t="e">
        <f t="shared" si="31"/>
        <v>#DIV/0!</v>
      </c>
      <c r="M332">
        <v>5</v>
      </c>
      <c r="N332" t="e">
        <f t="shared" si="32"/>
        <v>#DIV/0!</v>
      </c>
      <c r="O332">
        <v>8</v>
      </c>
      <c r="S332" t="s">
        <v>225</v>
      </c>
    </row>
    <row r="333" ht="15.75" spans="2:19">
      <c r="B333">
        <f t="shared" si="29"/>
        <v>1</v>
      </c>
      <c r="C333" t="e">
        <f>VLOOKUP(D333,Sheet4!$K$9:$L$110,2,0)</f>
        <v>#N/A</v>
      </c>
      <c r="D333" t="s">
        <v>189</v>
      </c>
      <c r="E333" t="str">
        <f>VLOOKUP(D333,'50欧洲库存'!C64:V175,2,0)</f>
        <v>ShouZhuaQiu-4Ge-1003-FBA</v>
      </c>
      <c r="F333">
        <f>VLOOKUP(D333,'50欧洲库存'!$C$2:$V$113,20,0)</f>
        <v>0</v>
      </c>
      <c r="G333">
        <f>COUNTIF('50欧洲库存'!$C$2:$C$199,D333)</f>
        <v>1</v>
      </c>
      <c r="H333">
        <f>VLOOKUP(D333,'50欧洲库存'!$C$2:$V$113,20,0)</f>
        <v>0</v>
      </c>
      <c r="I333" s="26" t="s">
        <v>16</v>
      </c>
      <c r="J333" t="e">
        <f t="shared" si="30"/>
        <v>#DIV/0!</v>
      </c>
      <c r="K333">
        <v>3</v>
      </c>
      <c r="L333" t="e">
        <f t="shared" si="31"/>
        <v>#DIV/0!</v>
      </c>
      <c r="M333">
        <v>5</v>
      </c>
      <c r="N333" t="e">
        <f t="shared" si="32"/>
        <v>#DIV/0!</v>
      </c>
      <c r="O333">
        <v>8</v>
      </c>
      <c r="S333" t="s">
        <v>226</v>
      </c>
    </row>
    <row r="334" ht="15.75" spans="2:19">
      <c r="B334">
        <f t="shared" si="29"/>
        <v>1</v>
      </c>
      <c r="C334" t="e">
        <f>VLOOKUP(D334,Sheet4!$K$9:$L$110,2,0)</f>
        <v>#N/A</v>
      </c>
      <c r="D334" t="s">
        <v>190</v>
      </c>
      <c r="E334" t="str">
        <f>VLOOKUP(D334,'50欧洲库存'!C65:V176,2,0)</f>
        <v>MianJu-LED-BaiSe-1001-FBA</v>
      </c>
      <c r="F334">
        <f>VLOOKUP(D334,'50欧洲库存'!$C$2:$V$113,20,0)</f>
        <v>0</v>
      </c>
      <c r="G334">
        <f>COUNTIF('50欧洲库存'!$C$2:$C$199,D334)</f>
        <v>1</v>
      </c>
      <c r="H334">
        <f>VLOOKUP(D334,'50欧洲库存'!$C$2:$V$113,20,0)</f>
        <v>0</v>
      </c>
      <c r="I334" s="26" t="s">
        <v>16</v>
      </c>
      <c r="J334" t="e">
        <f t="shared" si="30"/>
        <v>#DIV/0!</v>
      </c>
      <c r="K334">
        <v>3</v>
      </c>
      <c r="L334" t="e">
        <f t="shared" si="31"/>
        <v>#DIV/0!</v>
      </c>
      <c r="M334">
        <v>5</v>
      </c>
      <c r="N334" t="e">
        <f t="shared" si="32"/>
        <v>#DIV/0!</v>
      </c>
      <c r="O334">
        <v>8</v>
      </c>
      <c r="S334" t="s">
        <v>227</v>
      </c>
    </row>
    <row r="335" ht="15.75" spans="2:19">
      <c r="B335">
        <f t="shared" si="29"/>
        <v>1</v>
      </c>
      <c r="C335" t="e">
        <f>VLOOKUP(D335,Sheet4!$K$9:$L$110,2,0)</f>
        <v>#N/A</v>
      </c>
      <c r="D335" t="s">
        <v>191</v>
      </c>
      <c r="E335" t="str">
        <f>VLOOKUP(D335,'50欧洲库存'!C66:V177,2,0)</f>
        <v>CaoMaoDengTou-GuJinSe-FBA</v>
      </c>
      <c r="F335">
        <f>VLOOKUP(D335,'50欧洲库存'!$C$2:$V$113,20,0)</f>
        <v>0</v>
      </c>
      <c r="G335">
        <f>COUNTIF('50欧洲库存'!$C$2:$C$199,D335)</f>
        <v>1</v>
      </c>
      <c r="H335">
        <f>VLOOKUP(D335,'50欧洲库存'!$C$2:$V$113,20,0)</f>
        <v>0</v>
      </c>
      <c r="I335" s="26" t="s">
        <v>16</v>
      </c>
      <c r="J335" t="e">
        <f t="shared" si="30"/>
        <v>#DIV/0!</v>
      </c>
      <c r="K335">
        <v>3</v>
      </c>
      <c r="L335" t="e">
        <f t="shared" si="31"/>
        <v>#DIV/0!</v>
      </c>
      <c r="M335">
        <v>5</v>
      </c>
      <c r="N335" t="e">
        <f t="shared" si="32"/>
        <v>#DIV/0!</v>
      </c>
      <c r="O335">
        <v>8</v>
      </c>
      <c r="S335" t="s">
        <v>228</v>
      </c>
    </row>
    <row r="336" ht="15.75" spans="2:19">
      <c r="B336">
        <f t="shared" si="29"/>
        <v>1</v>
      </c>
      <c r="C336" t="e">
        <f>VLOOKUP(D336,Sheet4!$K$9:$L$110,2,0)</f>
        <v>#N/A</v>
      </c>
      <c r="D336" t="s">
        <v>192</v>
      </c>
      <c r="E336" t="str">
        <f>VLOOKUP(D336,'50欧洲库存'!C67:V178,2,0)</f>
        <v>MianJu-JinSe-1001-FBA</v>
      </c>
      <c r="F336">
        <f>VLOOKUP(D336,'50欧洲库存'!$C$2:$V$113,20,0)</f>
        <v>0</v>
      </c>
      <c r="G336">
        <f>COUNTIF('50欧洲库存'!$C$2:$C$199,D336)</f>
        <v>1</v>
      </c>
      <c r="H336">
        <f>VLOOKUP(D336,'50欧洲库存'!$C$2:$V$113,20,0)</f>
        <v>0</v>
      </c>
      <c r="I336" s="26" t="s">
        <v>16</v>
      </c>
      <c r="J336" t="e">
        <f t="shared" si="30"/>
        <v>#DIV/0!</v>
      </c>
      <c r="K336">
        <v>3</v>
      </c>
      <c r="L336" t="e">
        <f t="shared" si="31"/>
        <v>#DIV/0!</v>
      </c>
      <c r="M336">
        <v>5</v>
      </c>
      <c r="N336" t="e">
        <f t="shared" si="32"/>
        <v>#DIV/0!</v>
      </c>
      <c r="O336">
        <v>8</v>
      </c>
      <c r="S336" t="s">
        <v>229</v>
      </c>
    </row>
    <row r="337" ht="15.75" spans="2:15">
      <c r="B337">
        <f t="shared" si="29"/>
        <v>1</v>
      </c>
      <c r="C337" t="e">
        <f>VLOOKUP(D337,Sheet4!$K$9:$L$110,2,0)</f>
        <v>#N/A</v>
      </c>
      <c r="D337" t="s">
        <v>193</v>
      </c>
      <c r="E337" t="str">
        <f>VLOOKUP(D337,'50欧洲库存'!C68:V179,2,0)</f>
        <v>MoFang-Hei-1001-FBA</v>
      </c>
      <c r="F337">
        <f>VLOOKUP(D337,'50欧洲库存'!$C$2:$V$113,20,0)</f>
        <v>0</v>
      </c>
      <c r="G337">
        <f>COUNTIF('50欧洲库存'!$C$2:$C$199,D337)</f>
        <v>1</v>
      </c>
      <c r="H337">
        <f>VLOOKUP(D337,'50欧洲库存'!$C$2:$V$113,20,0)</f>
        <v>0</v>
      </c>
      <c r="I337" s="26" t="s">
        <v>16</v>
      </c>
      <c r="J337" t="e">
        <f t="shared" si="30"/>
        <v>#DIV/0!</v>
      </c>
      <c r="K337">
        <v>3</v>
      </c>
      <c r="L337" t="e">
        <f t="shared" si="31"/>
        <v>#DIV/0!</v>
      </c>
      <c r="M337">
        <v>5</v>
      </c>
      <c r="N337" t="e">
        <f t="shared" si="32"/>
        <v>#DIV/0!</v>
      </c>
      <c r="O337">
        <v>8</v>
      </c>
    </row>
    <row r="338" ht="15.75" spans="2:15">
      <c r="B338">
        <f t="shared" si="29"/>
        <v>1</v>
      </c>
      <c r="C338" t="e">
        <f>VLOOKUP(D338,Sheet4!$K$9:$L$110,2,0)</f>
        <v>#N/A</v>
      </c>
      <c r="D338" t="s">
        <v>194</v>
      </c>
      <c r="E338" t="str">
        <f>VLOOKUP(D338,'50欧洲库存'!C69:V180,2,0)</f>
        <v>FBA-HongTongSeDengTou-Niu</v>
      </c>
      <c r="F338">
        <f>VLOOKUP(D338,'50欧洲库存'!$C$2:$V$113,20,0)</f>
        <v>0</v>
      </c>
      <c r="G338">
        <f>COUNTIF('50欧洲库存'!$C$2:$C$199,D338)</f>
        <v>1</v>
      </c>
      <c r="H338">
        <f>VLOOKUP(D338,'50欧洲库存'!$C$2:$V$113,20,0)</f>
        <v>0</v>
      </c>
      <c r="I338" s="26" t="s">
        <v>16</v>
      </c>
      <c r="J338" t="e">
        <f t="shared" si="30"/>
        <v>#DIV/0!</v>
      </c>
      <c r="K338">
        <v>3</v>
      </c>
      <c r="L338" t="e">
        <f t="shared" si="31"/>
        <v>#DIV/0!</v>
      </c>
      <c r="M338">
        <v>5</v>
      </c>
      <c r="N338" t="e">
        <f t="shared" si="32"/>
        <v>#DIV/0!</v>
      </c>
      <c r="O338">
        <v>8</v>
      </c>
    </row>
    <row r="339" ht="15.75" spans="2:15">
      <c r="B339">
        <f t="shared" si="29"/>
        <v>1</v>
      </c>
      <c r="C339" t="e">
        <f>VLOOKUP(D339,Sheet4!$K$9:$L$110,2,0)</f>
        <v>#N/A</v>
      </c>
      <c r="D339" t="s">
        <v>195</v>
      </c>
      <c r="E339" t="str">
        <f>VLOOKUP(D339,'50欧洲库存'!C70:V181,2,0)</f>
        <v>FidgetCube-HeiLv-YanJun</v>
      </c>
      <c r="F339">
        <f>VLOOKUP(D339,'50欧洲库存'!$C$2:$V$113,20,0)</f>
        <v>0</v>
      </c>
      <c r="G339">
        <f>COUNTIF('50欧洲库存'!$C$2:$C$199,D339)</f>
        <v>1</v>
      </c>
      <c r="H339">
        <f>VLOOKUP(D339,'50欧洲库存'!$C$2:$V$113,20,0)</f>
        <v>0</v>
      </c>
      <c r="I339" s="26" t="s">
        <v>16</v>
      </c>
      <c r="J339" t="e">
        <f t="shared" si="30"/>
        <v>#DIV/0!</v>
      </c>
      <c r="K339">
        <v>3</v>
      </c>
      <c r="L339" t="e">
        <f t="shared" si="31"/>
        <v>#DIV/0!</v>
      </c>
      <c r="M339">
        <v>5</v>
      </c>
      <c r="N339" t="e">
        <f t="shared" si="32"/>
        <v>#DIV/0!</v>
      </c>
      <c r="O339">
        <v>8</v>
      </c>
    </row>
    <row r="340" ht="15.75" spans="2:15">
      <c r="B340">
        <f t="shared" si="29"/>
        <v>1</v>
      </c>
      <c r="C340" t="e">
        <f>VLOOKUP(D340,Sheet4!$K$9:$L$110,2,0)</f>
        <v>#N/A</v>
      </c>
      <c r="D340" t="s">
        <v>196</v>
      </c>
      <c r="E340" t="str">
        <f>VLOOKUP(D340,'50欧洲库存'!C71:V182,2,0)</f>
        <v>50DE-BabyBall-005</v>
      </c>
      <c r="F340">
        <f>VLOOKUP(D340,'50欧洲库存'!$C$2:$V$113,20,0)</f>
        <v>0</v>
      </c>
      <c r="G340">
        <f>COUNTIF('50欧洲库存'!$C$2:$C$199,D340)</f>
        <v>1</v>
      </c>
      <c r="H340">
        <f>VLOOKUP(D340,'50欧洲库存'!$C$2:$V$113,20,0)</f>
        <v>0</v>
      </c>
      <c r="I340" s="26" t="s">
        <v>16</v>
      </c>
      <c r="J340" t="e">
        <f t="shared" si="30"/>
        <v>#DIV/0!</v>
      </c>
      <c r="K340">
        <v>3</v>
      </c>
      <c r="L340" t="e">
        <f t="shared" si="31"/>
        <v>#DIV/0!</v>
      </c>
      <c r="M340">
        <v>5</v>
      </c>
      <c r="N340" t="e">
        <f t="shared" si="32"/>
        <v>#DIV/0!</v>
      </c>
      <c r="O340">
        <v>8</v>
      </c>
    </row>
    <row r="341" ht="15.75" spans="2:15">
      <c r="B341">
        <f t="shared" si="29"/>
        <v>1</v>
      </c>
      <c r="C341" t="e">
        <f>VLOOKUP(D341,Sheet4!$K$9:$L$110,2,0)</f>
        <v>#N/A</v>
      </c>
      <c r="D341" t="s">
        <v>197</v>
      </c>
      <c r="E341" t="str">
        <f>VLOOKUP(D341,'50欧洲库存'!C72:V183,2,0)</f>
        <v>MianJu-BaiSe-1002-FBA</v>
      </c>
      <c r="F341">
        <f>VLOOKUP(D341,'50欧洲库存'!$C$2:$V$113,20,0)</f>
        <v>0</v>
      </c>
      <c r="G341">
        <f>COUNTIF('50欧洲库存'!$C$2:$C$199,D341)</f>
        <v>1</v>
      </c>
      <c r="H341">
        <f>VLOOKUP(D341,'50欧洲库存'!$C$2:$V$113,20,0)</f>
        <v>0</v>
      </c>
      <c r="I341" s="26" t="s">
        <v>16</v>
      </c>
      <c r="J341" t="e">
        <f t="shared" si="30"/>
        <v>#DIV/0!</v>
      </c>
      <c r="K341">
        <v>3</v>
      </c>
      <c r="L341" t="e">
        <f t="shared" si="31"/>
        <v>#DIV/0!</v>
      </c>
      <c r="M341">
        <v>5</v>
      </c>
      <c r="N341" t="e">
        <f t="shared" si="32"/>
        <v>#DIV/0!</v>
      </c>
      <c r="O341">
        <v>8</v>
      </c>
    </row>
    <row r="342" ht="15.75" spans="2:15">
      <c r="B342">
        <f t="shared" si="29"/>
        <v>1</v>
      </c>
      <c r="C342" t="e">
        <f>VLOOKUP(D342,Sheet4!$K$9:$L$110,2,0)</f>
        <v>#N/A</v>
      </c>
      <c r="D342" t="s">
        <v>198</v>
      </c>
      <c r="E342" t="str">
        <f>VLOOKUP(D342,'50欧洲库存'!C73:V184,2,0)</f>
        <v>MoFang-BaiHong-DaiHe-1001-FBA</v>
      </c>
      <c r="F342">
        <f>VLOOKUP(D342,'50欧洲库存'!$C$2:$V$113,20,0)</f>
        <v>0</v>
      </c>
      <c r="G342">
        <f>COUNTIF('50欧洲库存'!$C$2:$C$199,D342)</f>
        <v>1</v>
      </c>
      <c r="H342">
        <f>VLOOKUP(D342,'50欧洲库存'!$C$2:$V$113,20,0)</f>
        <v>0</v>
      </c>
      <c r="I342" s="26" t="s">
        <v>16</v>
      </c>
      <c r="J342" t="e">
        <f t="shared" si="30"/>
        <v>#DIV/0!</v>
      </c>
      <c r="K342">
        <v>3</v>
      </c>
      <c r="L342" t="e">
        <f t="shared" si="31"/>
        <v>#DIV/0!</v>
      </c>
      <c r="M342">
        <v>5</v>
      </c>
      <c r="N342" t="e">
        <f t="shared" si="32"/>
        <v>#DIV/0!</v>
      </c>
      <c r="O342">
        <v>8</v>
      </c>
    </row>
    <row r="343" ht="14.25" spans="2:15">
      <c r="B343">
        <f t="shared" si="29"/>
        <v>1</v>
      </c>
      <c r="C343" t="e">
        <f>VLOOKUP(D343,Sheet4!$K$9:$L$110,2,0)</f>
        <v>#N/A</v>
      </c>
      <c r="D343" t="s">
        <v>199</v>
      </c>
      <c r="E343" t="str">
        <f>VLOOKUP(D343,'50欧洲库存'!C74:V185,2,0)</f>
        <v>HeiLv-MoFang-WuHe</v>
      </c>
      <c r="F343">
        <f>VLOOKUP(D343,'50欧洲库存'!$C$2:$V$113,20,0)</f>
        <v>0</v>
      </c>
      <c r="G343">
        <f>COUNTIF('50欧洲库存'!$C$2:$C$199,D343)</f>
        <v>1</v>
      </c>
      <c r="H343">
        <f>VLOOKUP(D343,'50欧洲库存'!$C$2:$V$113,20,0)</f>
        <v>0</v>
      </c>
      <c r="I343" s="26" t="s">
        <v>16</v>
      </c>
      <c r="J343" t="e">
        <f t="shared" si="30"/>
        <v>#DIV/0!</v>
      </c>
      <c r="K343">
        <v>3</v>
      </c>
      <c r="L343" t="e">
        <f t="shared" si="31"/>
        <v>#DIV/0!</v>
      </c>
      <c r="M343">
        <v>5</v>
      </c>
      <c r="N343" t="e">
        <f t="shared" si="32"/>
        <v>#DIV/0!</v>
      </c>
      <c r="O343">
        <v>8</v>
      </c>
    </row>
    <row r="344" ht="14.25" spans="2:15">
      <c r="B344">
        <f t="shared" si="29"/>
        <v>1</v>
      </c>
      <c r="C344" t="e">
        <f>VLOOKUP(D344,Sheet4!$K$9:$L$110,2,0)</f>
        <v>#N/A</v>
      </c>
      <c r="D344" t="s">
        <v>200</v>
      </c>
      <c r="E344" t="str">
        <f>VLOOKUP(D344,'50欧洲库存'!C75:V186,2,0)</f>
        <v>50UK-Shouzhuaqiu-3JQ</v>
      </c>
      <c r="F344">
        <f>VLOOKUP(D344,'50欧洲库存'!$C$2:$V$113,20,0)</f>
        <v>25.99</v>
      </c>
      <c r="G344">
        <f>COUNTIF('50欧洲库存'!$C$2:$C$199,D344)</f>
        <v>1</v>
      </c>
      <c r="H344">
        <f>VLOOKUP(D344,'50欧洲库存'!$C$2:$V$113,20,0)</f>
        <v>25.99</v>
      </c>
      <c r="I344" s="26" t="s">
        <v>16</v>
      </c>
      <c r="J344">
        <f t="shared" si="30"/>
        <v>20</v>
      </c>
      <c r="K344">
        <v>3</v>
      </c>
      <c r="L344">
        <f t="shared" si="31"/>
        <v>27</v>
      </c>
      <c r="M344">
        <v>5</v>
      </c>
      <c r="N344">
        <f t="shared" si="32"/>
        <v>47</v>
      </c>
      <c r="O344">
        <v>8</v>
      </c>
    </row>
    <row r="345" ht="14.25" spans="2:15">
      <c r="B345">
        <f t="shared" si="29"/>
        <v>1</v>
      </c>
      <c r="C345" t="e">
        <f>VLOOKUP(D345,Sheet4!$K$9:$L$110,2,0)</f>
        <v>#N/A</v>
      </c>
      <c r="D345" t="s">
        <v>201</v>
      </c>
      <c r="E345" t="str">
        <f>VLOOKUP(D345,'50欧洲库存'!C76:V187,2,0)</f>
        <v>50UK-ShouZhuaQiu6ZSL</v>
      </c>
      <c r="F345">
        <f>VLOOKUP(D345,'50欧洲库存'!$C$2:$V$113,20,0)</f>
        <v>0</v>
      </c>
      <c r="G345">
        <f>COUNTIF('50欧洲库存'!$C$2:$C$199,D345)</f>
        <v>1</v>
      </c>
      <c r="H345">
        <f>VLOOKUP(D345,'50欧洲库存'!$C$2:$V$113,20,0)</f>
        <v>0</v>
      </c>
      <c r="I345" s="26" t="s">
        <v>16</v>
      </c>
      <c r="J345" t="e">
        <f t="shared" si="30"/>
        <v>#DIV/0!</v>
      </c>
      <c r="K345">
        <v>3</v>
      </c>
      <c r="L345" t="e">
        <f t="shared" si="31"/>
        <v>#DIV/0!</v>
      </c>
      <c r="M345">
        <v>5</v>
      </c>
      <c r="N345" t="e">
        <f t="shared" si="32"/>
        <v>#DIV/0!</v>
      </c>
      <c r="O345">
        <v>8</v>
      </c>
    </row>
    <row r="346" ht="15.75" spans="2:15">
      <c r="B346">
        <f t="shared" si="29"/>
        <v>1</v>
      </c>
      <c r="C346" t="e">
        <f>VLOOKUP(D346,Sheet4!$K$9:$L$110,2,0)</f>
        <v>#N/A</v>
      </c>
      <c r="D346" t="s">
        <v>202</v>
      </c>
      <c r="E346" t="str">
        <f>VLOOKUP(D346,'50欧洲库存'!C77:V188,2,0)</f>
        <v>FBM-BaiFenMoFang-0001</v>
      </c>
      <c r="F346">
        <f>VLOOKUP(D346,'50欧洲库存'!$C$2:$V$113,20,0)</f>
        <v>0</v>
      </c>
      <c r="G346">
        <f>COUNTIF('50欧洲库存'!$C$2:$C$199,D346)</f>
        <v>1</v>
      </c>
      <c r="H346">
        <f>VLOOKUP(D346,'50欧洲库存'!$C$2:$V$113,20,0)</f>
        <v>0</v>
      </c>
      <c r="I346" s="26" t="s">
        <v>16</v>
      </c>
      <c r="J346" t="e">
        <f t="shared" si="30"/>
        <v>#DIV/0!</v>
      </c>
      <c r="K346">
        <v>3</v>
      </c>
      <c r="L346" t="e">
        <f t="shared" si="31"/>
        <v>#DIV/0!</v>
      </c>
      <c r="M346">
        <v>5</v>
      </c>
      <c r="N346" t="e">
        <f t="shared" si="32"/>
        <v>#DIV/0!</v>
      </c>
      <c r="O346">
        <v>8</v>
      </c>
    </row>
    <row r="347" ht="15.75" spans="2:15">
      <c r="B347">
        <f t="shared" si="29"/>
        <v>1</v>
      </c>
      <c r="C347" t="e">
        <f>VLOOKUP(D347,Sheet4!$K$9:$L$110,2,0)</f>
        <v>#N/A</v>
      </c>
      <c r="D347" t="s">
        <v>203</v>
      </c>
      <c r="E347" t="str">
        <f>VLOOKUP(D347,'50欧洲库存'!C78:V189,2,0)</f>
        <v>MoFang-BaiLv-1001-WuHe-FBA</v>
      </c>
      <c r="F347">
        <f>VLOOKUP(D347,'50欧洲库存'!$C$2:$V$113,20,0)</f>
        <v>0</v>
      </c>
      <c r="G347">
        <f>COUNTIF('50欧洲库存'!$C$2:$C$199,D347)</f>
        <v>1</v>
      </c>
      <c r="H347">
        <f>VLOOKUP(D347,'50欧洲库存'!$C$2:$V$113,20,0)</f>
        <v>0</v>
      </c>
      <c r="I347" s="26" t="s">
        <v>16</v>
      </c>
      <c r="J347" t="e">
        <f t="shared" si="30"/>
        <v>#DIV/0!</v>
      </c>
      <c r="K347">
        <v>3</v>
      </c>
      <c r="L347" t="e">
        <f t="shared" si="31"/>
        <v>#DIV/0!</v>
      </c>
      <c r="M347">
        <v>5</v>
      </c>
      <c r="N347" t="e">
        <f t="shared" si="32"/>
        <v>#DIV/0!</v>
      </c>
      <c r="O347">
        <v>8</v>
      </c>
    </row>
    <row r="348" ht="15.75" spans="2:15">
      <c r="B348">
        <f t="shared" si="29"/>
        <v>1</v>
      </c>
      <c r="C348" t="e">
        <f>VLOOKUP(D348,Sheet4!$K$9:$L$110,2,0)</f>
        <v>#N/A</v>
      </c>
      <c r="D348" t="s">
        <v>204</v>
      </c>
      <c r="E348" t="str">
        <f>VLOOKUP(D348,'50欧洲库存'!C79:V190,2,0)</f>
        <v>MianJu-LED-Cheng-1002-FBA</v>
      </c>
      <c r="F348">
        <f>VLOOKUP(D348,'50欧洲库存'!$C$2:$V$113,20,0)</f>
        <v>0</v>
      </c>
      <c r="G348">
        <f>COUNTIF('50欧洲库存'!$C$2:$C$199,D348)</f>
        <v>1</v>
      </c>
      <c r="H348">
        <f>VLOOKUP(D348,'50欧洲库存'!$C$2:$V$113,20,0)</f>
        <v>0</v>
      </c>
      <c r="I348" s="26" t="s">
        <v>16</v>
      </c>
      <c r="J348" t="e">
        <f t="shared" si="30"/>
        <v>#DIV/0!</v>
      </c>
      <c r="K348">
        <v>3</v>
      </c>
      <c r="L348" t="e">
        <f t="shared" si="31"/>
        <v>#DIV/0!</v>
      </c>
      <c r="M348">
        <v>5</v>
      </c>
      <c r="N348" t="e">
        <f t="shared" si="32"/>
        <v>#DIV/0!</v>
      </c>
      <c r="O348">
        <v>8</v>
      </c>
    </row>
    <row r="349" ht="15.75" spans="2:15">
      <c r="B349">
        <f t="shared" si="29"/>
        <v>1</v>
      </c>
      <c r="C349" t="e">
        <f>VLOOKUP(D349,Sheet4!$K$9:$L$110,2,0)</f>
        <v>#N/A</v>
      </c>
      <c r="D349" t="s">
        <v>205</v>
      </c>
      <c r="E349" t="str">
        <f>VLOOKUP(D349,'50欧洲库存'!C80:V191,2,0)</f>
        <v>DengTou-JinSe-1002-FBA</v>
      </c>
      <c r="F349">
        <f>VLOOKUP(D349,'50欧洲库存'!$C$2:$V$113,20,0)</f>
        <v>0</v>
      </c>
      <c r="G349">
        <f>COUNTIF('50欧洲库存'!$C$2:$C$199,D349)</f>
        <v>1</v>
      </c>
      <c r="H349">
        <f>VLOOKUP(D349,'50欧洲库存'!$C$2:$V$113,20,0)</f>
        <v>0</v>
      </c>
      <c r="I349" s="26" t="s">
        <v>16</v>
      </c>
      <c r="J349" t="e">
        <f t="shared" si="30"/>
        <v>#DIV/0!</v>
      </c>
      <c r="K349">
        <v>3</v>
      </c>
      <c r="L349" t="e">
        <f t="shared" si="31"/>
        <v>#DIV/0!</v>
      </c>
      <c r="M349">
        <v>5</v>
      </c>
      <c r="N349" t="e">
        <f t="shared" si="32"/>
        <v>#DIV/0!</v>
      </c>
      <c r="O349">
        <v>8</v>
      </c>
    </row>
    <row r="350" ht="15.75" spans="2:15">
      <c r="B350">
        <f t="shared" si="29"/>
        <v>1</v>
      </c>
      <c r="C350" t="e">
        <f>VLOOKUP(D350,Sheet4!$K$9:$L$110,2,0)</f>
        <v>#N/A</v>
      </c>
      <c r="D350" t="s">
        <v>206</v>
      </c>
      <c r="E350" t="str">
        <f>VLOOKUP(D350,'50欧洲库存'!C81:V192,2,0)</f>
        <v>MoFang-Galaxy-DaiHe-1001-FBA</v>
      </c>
      <c r="F350">
        <f>VLOOKUP(D350,'50欧洲库存'!$C$2:$V$113,20,0)</f>
        <v>0</v>
      </c>
      <c r="G350">
        <f>COUNTIF('50欧洲库存'!$C$2:$C$199,D350)</f>
        <v>1</v>
      </c>
      <c r="H350">
        <f>VLOOKUP(D350,'50欧洲库存'!$C$2:$V$113,20,0)</f>
        <v>0</v>
      </c>
      <c r="I350" s="26" t="s">
        <v>16</v>
      </c>
      <c r="J350" t="e">
        <f t="shared" si="30"/>
        <v>#DIV/0!</v>
      </c>
      <c r="K350">
        <v>3</v>
      </c>
      <c r="L350" t="e">
        <f t="shared" si="31"/>
        <v>#DIV/0!</v>
      </c>
      <c r="M350">
        <v>5</v>
      </c>
      <c r="N350" t="e">
        <f t="shared" si="32"/>
        <v>#DIV/0!</v>
      </c>
      <c r="O350">
        <v>8</v>
      </c>
    </row>
    <row r="351" ht="15.75" spans="2:15">
      <c r="B351">
        <f t="shared" si="29"/>
        <v>1</v>
      </c>
      <c r="C351" t="e">
        <f>VLOOKUP(D351,Sheet4!$K$9:$L$110,2,0)</f>
        <v>#N/A</v>
      </c>
      <c r="D351" t="s">
        <v>207</v>
      </c>
      <c r="E351" t="str">
        <f>VLOOKUP(D351,'50欧洲库存'!C82:V193,2,0)</f>
        <v>MianJu-Hei-1001-FBA</v>
      </c>
      <c r="F351">
        <f>VLOOKUP(D351,'50欧洲库存'!$C$2:$V$113,20,0)</f>
        <v>0</v>
      </c>
      <c r="G351">
        <f>COUNTIF('50欧洲库存'!$C$2:$C$199,D351)</f>
        <v>1</v>
      </c>
      <c r="H351">
        <f>VLOOKUP(D351,'50欧洲库存'!$C$2:$V$113,20,0)</f>
        <v>0</v>
      </c>
      <c r="I351" s="26" t="s">
        <v>16</v>
      </c>
      <c r="J351" t="e">
        <f t="shared" si="30"/>
        <v>#DIV/0!</v>
      </c>
      <c r="K351">
        <v>3</v>
      </c>
      <c r="L351" t="e">
        <f t="shared" si="31"/>
        <v>#DIV/0!</v>
      </c>
      <c r="M351">
        <v>5</v>
      </c>
      <c r="N351" t="e">
        <f t="shared" si="32"/>
        <v>#DIV/0!</v>
      </c>
      <c r="O351">
        <v>8</v>
      </c>
    </row>
    <row r="352" ht="15.75" spans="2:15">
      <c r="B352">
        <f t="shared" si="29"/>
        <v>1</v>
      </c>
      <c r="C352" t="e">
        <f>VLOOKUP(D352,Sheet4!$K$9:$L$110,2,0)</f>
        <v>#N/A</v>
      </c>
      <c r="D352" t="s">
        <v>208</v>
      </c>
      <c r="E352" t="str">
        <f>VLOOKUP(D352,'50欧洲库存'!C83:V194,2,0)</f>
        <v>FBA-MeiguiSeDengTou-Niu</v>
      </c>
      <c r="F352">
        <f>VLOOKUP(D352,'50欧洲库存'!$C$2:$V$113,20,0)</f>
        <v>0</v>
      </c>
      <c r="G352">
        <f>COUNTIF('50欧洲库存'!$C$2:$C$199,D352)</f>
        <v>1</v>
      </c>
      <c r="H352">
        <f>VLOOKUP(D352,'50欧洲库存'!$C$2:$V$113,20,0)</f>
        <v>0</v>
      </c>
      <c r="I352" s="26" t="s">
        <v>16</v>
      </c>
      <c r="J352" t="e">
        <f t="shared" si="30"/>
        <v>#DIV/0!</v>
      </c>
      <c r="K352">
        <v>3</v>
      </c>
      <c r="L352" t="e">
        <f t="shared" si="31"/>
        <v>#DIV/0!</v>
      </c>
      <c r="M352">
        <v>5</v>
      </c>
      <c r="N352" t="e">
        <f t="shared" si="32"/>
        <v>#DIV/0!</v>
      </c>
      <c r="O352">
        <v>8</v>
      </c>
    </row>
    <row r="353" ht="15.75" spans="2:15">
      <c r="B353">
        <f t="shared" si="29"/>
        <v>1</v>
      </c>
      <c r="C353" t="e">
        <f>VLOOKUP(D353,Sheet4!$K$9:$L$110,2,0)</f>
        <v>#N/A</v>
      </c>
      <c r="D353" t="s">
        <v>209</v>
      </c>
      <c r="E353" t="str">
        <f>VLOOKUP(D353,'50欧洲库存'!C84:V195,2,0)</f>
        <v>FBA-DengTou-GanNiu-Yin</v>
      </c>
      <c r="F353">
        <f>VLOOKUP(D353,'50欧洲库存'!$C$2:$V$113,20,0)</f>
        <v>0</v>
      </c>
      <c r="G353">
        <f>COUNTIF('50欧洲库存'!$C$2:$C$199,D353)</f>
        <v>1</v>
      </c>
      <c r="H353">
        <f>VLOOKUP(D353,'50欧洲库存'!$C$2:$V$113,20,0)</f>
        <v>0</v>
      </c>
      <c r="I353" s="26" t="s">
        <v>16</v>
      </c>
      <c r="J353" t="e">
        <f t="shared" si="30"/>
        <v>#DIV/0!</v>
      </c>
      <c r="K353">
        <v>3</v>
      </c>
      <c r="L353" t="e">
        <f t="shared" si="31"/>
        <v>#DIV/0!</v>
      </c>
      <c r="M353">
        <v>5</v>
      </c>
      <c r="N353" t="e">
        <f t="shared" si="32"/>
        <v>#DIV/0!</v>
      </c>
      <c r="O353">
        <v>8</v>
      </c>
    </row>
    <row r="354" ht="15.75" spans="2:15">
      <c r="B354">
        <f t="shared" si="29"/>
        <v>1</v>
      </c>
      <c r="C354" t="e">
        <f>VLOOKUP(D354,Sheet4!$K$9:$L$110,2,0)</f>
        <v>#N/A</v>
      </c>
      <c r="D354" t="s">
        <v>210</v>
      </c>
      <c r="E354" t="str">
        <f>VLOOKUP(D354,'50欧洲库存'!C85:V196,2,0)</f>
        <v>FBM-MiCaiLvMoFang-0001</v>
      </c>
      <c r="F354">
        <f>VLOOKUP(D354,'50欧洲库存'!$C$2:$V$113,20,0)</f>
        <v>0</v>
      </c>
      <c r="G354">
        <f>COUNTIF('50欧洲库存'!$C$2:$C$199,D354)</f>
        <v>1</v>
      </c>
      <c r="H354">
        <f>VLOOKUP(D354,'50欧洲库存'!$C$2:$V$113,20,0)</f>
        <v>0</v>
      </c>
      <c r="I354" s="26" t="s">
        <v>16</v>
      </c>
      <c r="J354" t="e">
        <f t="shared" si="30"/>
        <v>#DIV/0!</v>
      </c>
      <c r="K354">
        <v>3</v>
      </c>
      <c r="L354" t="e">
        <f t="shared" si="31"/>
        <v>#DIV/0!</v>
      </c>
      <c r="M354">
        <v>5</v>
      </c>
      <c r="N354" t="e">
        <f t="shared" si="32"/>
        <v>#DIV/0!</v>
      </c>
      <c r="O354">
        <v>8</v>
      </c>
    </row>
    <row r="355" ht="15.75" spans="2:15">
      <c r="B355">
        <f t="shared" si="29"/>
        <v>1</v>
      </c>
      <c r="C355" t="e">
        <f>VLOOKUP(D355,Sheet4!$K$9:$L$110,2,0)</f>
        <v>#N/A</v>
      </c>
      <c r="D355" t="s">
        <v>211</v>
      </c>
      <c r="E355" t="str">
        <f>VLOOKUP(D355,'50欧洲库存'!C86:V197,2,0)</f>
        <v>FBA-JinSeDengTou-Lalian-WuLuoWen</v>
      </c>
      <c r="F355">
        <f>VLOOKUP(D355,'50欧洲库存'!$C$2:$V$113,20,0)</f>
        <v>0</v>
      </c>
      <c r="G355">
        <f>COUNTIF('50欧洲库存'!$C$2:$C$199,D355)</f>
        <v>1</v>
      </c>
      <c r="H355">
        <f>VLOOKUP(D355,'50欧洲库存'!$C$2:$V$113,20,0)</f>
        <v>0</v>
      </c>
      <c r="I355" s="26" t="s">
        <v>16</v>
      </c>
      <c r="J355" t="e">
        <f t="shared" si="30"/>
        <v>#DIV/0!</v>
      </c>
      <c r="K355">
        <v>3</v>
      </c>
      <c r="L355" t="e">
        <f t="shared" si="31"/>
        <v>#DIV/0!</v>
      </c>
      <c r="M355">
        <v>5</v>
      </c>
      <c r="N355" t="e">
        <f t="shared" si="32"/>
        <v>#DIV/0!</v>
      </c>
      <c r="O355">
        <v>8</v>
      </c>
    </row>
    <row r="356" ht="15.75" spans="2:15">
      <c r="B356">
        <f t="shared" si="29"/>
        <v>1</v>
      </c>
      <c r="C356" t="e">
        <f>VLOOKUP(D356,Sheet4!$K$9:$L$110,2,0)</f>
        <v>#N/A</v>
      </c>
      <c r="D356" t="s">
        <v>212</v>
      </c>
      <c r="E356" t="str">
        <f>VLOOKUP(D356,'50欧洲库存'!C87:V198,2,0)</f>
        <v>MoFang-12Mian-Lv-FBA</v>
      </c>
      <c r="F356">
        <f>VLOOKUP(D356,'50欧洲库存'!$C$2:$V$113,20,0)</f>
        <v>0</v>
      </c>
      <c r="G356">
        <f>COUNTIF('50欧洲库存'!$C$2:$C$199,D356)</f>
        <v>1</v>
      </c>
      <c r="H356">
        <f>VLOOKUP(D356,'50欧洲库存'!$C$2:$V$113,20,0)</f>
        <v>0</v>
      </c>
      <c r="I356" s="26" t="s">
        <v>16</v>
      </c>
      <c r="J356" t="e">
        <f t="shared" si="30"/>
        <v>#DIV/0!</v>
      </c>
      <c r="K356">
        <v>3</v>
      </c>
      <c r="L356" t="e">
        <f t="shared" si="31"/>
        <v>#DIV/0!</v>
      </c>
      <c r="M356">
        <v>5</v>
      </c>
      <c r="N356" t="e">
        <f t="shared" si="32"/>
        <v>#DIV/0!</v>
      </c>
      <c r="O356">
        <v>8</v>
      </c>
    </row>
    <row r="357" ht="15.75" spans="2:15">
      <c r="B357">
        <f t="shared" si="29"/>
        <v>1</v>
      </c>
      <c r="C357" t="e">
        <f>VLOOKUP(D357,Sheet4!$K$9:$L$110,2,0)</f>
        <v>#N/A</v>
      </c>
      <c r="D357" t="s">
        <v>213</v>
      </c>
      <c r="E357" t="str">
        <f>VLOOKUP(D357,'50欧洲库存'!C88:V199,2,0)</f>
        <v>MianJu-LED-LanSe-1001-FBA</v>
      </c>
      <c r="F357">
        <f>VLOOKUP(D357,'50欧洲库存'!$C$2:$V$113,20,0)</f>
        <v>0</v>
      </c>
      <c r="G357">
        <f>COUNTIF('50欧洲库存'!$C$2:$C$199,D357)</f>
        <v>1</v>
      </c>
      <c r="H357">
        <f>VLOOKUP(D357,'50欧洲库存'!$C$2:$V$113,20,0)</f>
        <v>0</v>
      </c>
      <c r="I357" s="26" t="s">
        <v>16</v>
      </c>
      <c r="J357" t="e">
        <f t="shared" si="30"/>
        <v>#DIV/0!</v>
      </c>
      <c r="K357">
        <v>3</v>
      </c>
      <c r="L357" t="e">
        <f t="shared" si="31"/>
        <v>#DIV/0!</v>
      </c>
      <c r="M357">
        <v>5</v>
      </c>
      <c r="N357" t="e">
        <f t="shared" si="32"/>
        <v>#DIV/0!</v>
      </c>
      <c r="O357">
        <v>8</v>
      </c>
    </row>
    <row r="358" ht="15.75" spans="2:15">
      <c r="B358">
        <f t="shared" si="29"/>
        <v>1</v>
      </c>
      <c r="C358" t="e">
        <f>VLOOKUP(D358,Sheet4!$K$9:$L$110,2,0)</f>
        <v>#N/A</v>
      </c>
      <c r="D358" t="s">
        <v>214</v>
      </c>
      <c r="E358" t="str">
        <f>VLOOKUP(D358,'50欧洲库存'!C89:V200,2,0)</f>
        <v>heiHong-Mofang-Hezi</v>
      </c>
      <c r="F358">
        <f>VLOOKUP(D358,'50欧洲库存'!$C$2:$V$113,20,0)</f>
        <v>0</v>
      </c>
      <c r="G358">
        <f>COUNTIF('50欧洲库存'!$C$2:$C$199,D358)</f>
        <v>1</v>
      </c>
      <c r="H358">
        <f>VLOOKUP(D358,'50欧洲库存'!$C$2:$V$113,20,0)</f>
        <v>0</v>
      </c>
      <c r="I358" s="26" t="s">
        <v>16</v>
      </c>
      <c r="J358" t="e">
        <f t="shared" si="30"/>
        <v>#DIV/0!</v>
      </c>
      <c r="K358">
        <v>3</v>
      </c>
      <c r="L358" t="e">
        <f t="shared" si="31"/>
        <v>#DIV/0!</v>
      </c>
      <c r="M358">
        <v>5</v>
      </c>
      <c r="N358" t="e">
        <f t="shared" si="32"/>
        <v>#DIV/0!</v>
      </c>
      <c r="O358">
        <v>8</v>
      </c>
    </row>
    <row r="359" ht="15.75" spans="2:15">
      <c r="B359">
        <f t="shared" si="29"/>
        <v>1</v>
      </c>
      <c r="C359" t="e">
        <f>VLOOKUP(D359,Sheet4!$K$9:$L$110,2,0)</f>
        <v>#N/A</v>
      </c>
      <c r="D359" t="s">
        <v>215</v>
      </c>
      <c r="E359" t="str">
        <f>VLOOKUP(D359,'50欧洲库存'!C90:V201,2,0)</f>
        <v>FBA-JinSeDengTou-Niu-LuoWen</v>
      </c>
      <c r="F359">
        <f>VLOOKUP(D359,'50欧洲库存'!$C$2:$V$113,20,0)</f>
        <v>0</v>
      </c>
      <c r="G359">
        <f>COUNTIF('50欧洲库存'!$C$2:$C$199,D359)</f>
        <v>1</v>
      </c>
      <c r="H359">
        <f>VLOOKUP(D359,'50欧洲库存'!$C$2:$V$113,20,0)</f>
        <v>0</v>
      </c>
      <c r="I359" s="26" t="s">
        <v>16</v>
      </c>
      <c r="J359" t="e">
        <f t="shared" si="30"/>
        <v>#DIV/0!</v>
      </c>
      <c r="K359">
        <v>3</v>
      </c>
      <c r="L359" t="e">
        <f t="shared" si="31"/>
        <v>#DIV/0!</v>
      </c>
      <c r="M359">
        <v>5</v>
      </c>
      <c r="N359" t="e">
        <f t="shared" si="32"/>
        <v>#DIV/0!</v>
      </c>
      <c r="O359">
        <v>8</v>
      </c>
    </row>
    <row r="360" ht="15.75" spans="2:15">
      <c r="B360">
        <f t="shared" si="29"/>
        <v>1</v>
      </c>
      <c r="C360" t="e">
        <f>VLOOKUP(D360,Sheet4!$K$9:$L$110,2,0)</f>
        <v>#N/A</v>
      </c>
      <c r="D360" t="s">
        <v>216</v>
      </c>
      <c r="E360" t="str">
        <f>VLOOKUP(D360,'50欧洲库存'!C91:V202,2,0)</f>
        <v>MoFang-Galaxy-1002-FBA</v>
      </c>
      <c r="F360">
        <f>VLOOKUP(D360,'50欧洲库存'!$C$2:$V$113,20,0)</f>
        <v>0</v>
      </c>
      <c r="G360">
        <f>COUNTIF('50欧洲库存'!$C$2:$C$199,D360)</f>
        <v>1</v>
      </c>
      <c r="H360">
        <f>VLOOKUP(D360,'50欧洲库存'!$C$2:$V$113,20,0)</f>
        <v>0</v>
      </c>
      <c r="I360" s="26" t="s">
        <v>16</v>
      </c>
      <c r="J360" t="e">
        <f t="shared" si="30"/>
        <v>#DIV/0!</v>
      </c>
      <c r="K360">
        <v>3</v>
      </c>
      <c r="L360" t="e">
        <f t="shared" si="31"/>
        <v>#DIV/0!</v>
      </c>
      <c r="M360">
        <v>5</v>
      </c>
      <c r="N360" t="e">
        <f t="shared" si="32"/>
        <v>#DIV/0!</v>
      </c>
      <c r="O360">
        <v>8</v>
      </c>
    </row>
    <row r="361" ht="15.75" spans="2:15">
      <c r="B361">
        <f t="shared" si="29"/>
        <v>1</v>
      </c>
      <c r="C361" t="e">
        <f>VLOOKUP(D361,Sheet4!$K$9:$L$110,2,0)</f>
        <v>#N/A</v>
      </c>
      <c r="D361" t="s">
        <v>217</v>
      </c>
      <c r="E361" t="str">
        <f>VLOOKUP(D361,'50欧洲库存'!C92:V203,2,0)</f>
        <v>50DE-80TongZhuangSoftBlock</v>
      </c>
      <c r="F361">
        <f>VLOOKUP(D361,'50欧洲库存'!$C$2:$V$113,20,0)</f>
        <v>0</v>
      </c>
      <c r="G361">
        <f>COUNTIF('50欧洲库存'!$C$2:$C$199,D361)</f>
        <v>2</v>
      </c>
      <c r="H361">
        <f>VLOOKUP(D361,'50欧洲库存'!$C$2:$V$113,20,0)</f>
        <v>0</v>
      </c>
      <c r="I361" s="26" t="s">
        <v>16</v>
      </c>
      <c r="J361" t="e">
        <f t="shared" si="30"/>
        <v>#DIV/0!</v>
      </c>
      <c r="K361">
        <v>3</v>
      </c>
      <c r="L361" t="e">
        <f t="shared" si="31"/>
        <v>#DIV/0!</v>
      </c>
      <c r="M361">
        <v>5</v>
      </c>
      <c r="N361" t="e">
        <f t="shared" si="32"/>
        <v>#DIV/0!</v>
      </c>
      <c r="O361">
        <v>8</v>
      </c>
    </row>
    <row r="362" ht="15.75" spans="2:15">
      <c r="B362">
        <f>IFERROR(IF(OR(C362="SS",C362="S"),2,1),1)</f>
        <v>1</v>
      </c>
      <c r="C362" t="e">
        <f>VLOOKUP(D362,Sheet4!$K$9:$L$110,2,0)</f>
        <v>#N/A</v>
      </c>
      <c r="D362" t="s">
        <v>218</v>
      </c>
      <c r="E362" t="str">
        <f>VLOOKUP(D362,'50欧洲库存'!C93:V204,2,0)</f>
        <v>50UK-40BlocksYWM</v>
      </c>
      <c r="F362">
        <f>VLOOKUP(D362,'50欧洲库存'!$C$2:$V$113,20,0)</f>
        <v>0</v>
      </c>
      <c r="G362">
        <f>COUNTIF('50欧洲库存'!$C$2:$C$199,D362)</f>
        <v>1</v>
      </c>
      <c r="H362">
        <f>VLOOKUP(D362,'50欧洲库存'!$C$2:$V$113,20,0)</f>
        <v>0</v>
      </c>
      <c r="I362" s="26" t="s">
        <v>16</v>
      </c>
      <c r="J362" t="e">
        <f>CEILING($J$13*B362/H362,1)</f>
        <v>#DIV/0!</v>
      </c>
      <c r="K362">
        <v>3</v>
      </c>
      <c r="L362" t="e">
        <f>CEILING($L$13*B362/H362,1)</f>
        <v>#DIV/0!</v>
      </c>
      <c r="M362">
        <v>5</v>
      </c>
      <c r="N362" t="e">
        <f>CEILING($N$13*B362/H362,1)</f>
        <v>#DIV/0!</v>
      </c>
      <c r="O362">
        <v>8</v>
      </c>
    </row>
    <row r="363" ht="15.75" spans="2:15">
      <c r="B363">
        <f>IFERROR(IF(OR(C363="SS",C363="S"),2,1),1)</f>
        <v>1</v>
      </c>
      <c r="C363" t="e">
        <f>VLOOKUP(D363,Sheet4!$K$9:$L$110,2,0)</f>
        <v>#N/A</v>
      </c>
      <c r="D363" t="s">
        <v>219</v>
      </c>
      <c r="E363" t="str">
        <f>VLOOKUP(D363,'50欧洲库存'!C94:V205,2,0)</f>
        <v>GuaTan-ZiSe-FBA</v>
      </c>
      <c r="F363">
        <f>VLOOKUP(D363,'50欧洲库存'!$C$2:$V$113,20,0)</f>
        <v>0</v>
      </c>
      <c r="G363">
        <f>COUNTIF('50欧洲库存'!$C$2:$C$199,D363)</f>
        <v>1</v>
      </c>
      <c r="H363">
        <f>VLOOKUP(D363,'50欧洲库存'!$C$2:$V$113,20,0)</f>
        <v>0</v>
      </c>
      <c r="I363" s="26" t="s">
        <v>16</v>
      </c>
      <c r="J363" t="e">
        <f>CEILING($J$13*B363/H363,1)</f>
        <v>#DIV/0!</v>
      </c>
      <c r="K363">
        <v>3</v>
      </c>
      <c r="L363" t="e">
        <f>CEILING($L$13*B363/H363,1)</f>
        <v>#DIV/0!</v>
      </c>
      <c r="M363">
        <v>5</v>
      </c>
      <c r="N363" t="e">
        <f>CEILING($N$13*B363/H363,1)</f>
        <v>#DIV/0!</v>
      </c>
      <c r="O363">
        <v>8</v>
      </c>
    </row>
    <row r="364" ht="15.75" spans="2:15">
      <c r="B364">
        <f>IFERROR(IF(OR(C364="SS",C364="S"),2,1),1)</f>
        <v>1</v>
      </c>
      <c r="C364" t="e">
        <f>VLOOKUP(D364,Sheet4!$K$9:$L$110,2,0)</f>
        <v>#N/A</v>
      </c>
      <c r="D364" t="s">
        <v>116</v>
      </c>
      <c r="E364" t="str">
        <f>VLOOKUP(D364,'50欧洲库存'!C95:V206,2,0)</f>
        <v>50DE-SiJianTaoBalls-2M</v>
      </c>
      <c r="F364">
        <f>VLOOKUP(D364,'50欧洲库存'!$C$2:$V$113,20,0)</f>
        <v>0</v>
      </c>
      <c r="G364">
        <f>COUNTIF('50欧洲库存'!$C$2:$C$199,D364)</f>
        <v>1</v>
      </c>
      <c r="H364">
        <f>VLOOKUP(D364,'50欧洲库存'!$C$2:$V$113,20,0)</f>
        <v>0</v>
      </c>
      <c r="I364" s="26" t="s">
        <v>16</v>
      </c>
      <c r="J364" t="e">
        <f>CEILING($J$13*B364/H364,1)</f>
        <v>#DIV/0!</v>
      </c>
      <c r="K364">
        <v>3</v>
      </c>
      <c r="L364" t="e">
        <f>CEILING($L$13*B364/H364,1)</f>
        <v>#DIV/0!</v>
      </c>
      <c r="M364">
        <v>5</v>
      </c>
      <c r="N364" t="e">
        <f>CEILING($N$13*B364/H364,1)</f>
        <v>#DIV/0!</v>
      </c>
      <c r="O364">
        <v>8</v>
      </c>
    </row>
    <row r="365" ht="15.75" spans="2:15">
      <c r="B365">
        <f>IFERROR(IF(OR(C365="SS",C365="S"),2,1),1)</f>
        <v>1</v>
      </c>
      <c r="C365" t="e">
        <f>VLOOKUP(D365,Sheet4!$K$9:$L$110,2,0)</f>
        <v>#N/A</v>
      </c>
      <c r="D365" t="s">
        <v>220</v>
      </c>
      <c r="E365" t="str">
        <f>VLOOKUP(D365,'50欧洲库存'!C96:V207,2,0)</f>
        <v>50DE-BabyBall-002</v>
      </c>
      <c r="F365">
        <f>VLOOKUP(D365,'50欧洲库存'!$C$2:$V$113,20,0)</f>
        <v>0</v>
      </c>
      <c r="G365">
        <f>COUNTIF('50欧洲库存'!$C$2:$C$199,D365)</f>
        <v>1</v>
      </c>
      <c r="H365">
        <f>VLOOKUP(D365,'50欧洲库存'!$C$2:$V$113,20,0)</f>
        <v>0</v>
      </c>
      <c r="I365" s="26" t="s">
        <v>16</v>
      </c>
      <c r="J365" t="e">
        <f>CEILING($J$13*B365/H365,1)</f>
        <v>#DIV/0!</v>
      </c>
      <c r="K365">
        <v>3</v>
      </c>
      <c r="L365" t="e">
        <f>CEILING($L$13*B365/H365,1)</f>
        <v>#DIV/0!</v>
      </c>
      <c r="M365">
        <v>5</v>
      </c>
      <c r="N365" t="e">
        <f>CEILING($N$13*B365/H365,1)</f>
        <v>#DIV/0!</v>
      </c>
      <c r="O365">
        <v>8</v>
      </c>
    </row>
    <row r="366" ht="15.75" spans="2:15">
      <c r="B366">
        <f>IFERROR(IF(OR(C366="SS",C366="S"),2,1),1)</f>
        <v>1</v>
      </c>
      <c r="C366" t="e">
        <f>VLOOKUP(D366,Sheet4!$K$9:$L$110,2,0)</f>
        <v>#N/A</v>
      </c>
      <c r="D366" t="s">
        <v>221</v>
      </c>
      <c r="E366" t="str">
        <f>VLOOKUP(D366,'50欧洲库存'!C97:V208,2,0)</f>
        <v>XidingDengTou-ChangXian-GuTong-1001-FBA</v>
      </c>
      <c r="F366">
        <f>VLOOKUP(D366,'50欧洲库存'!$C$2:$V$113,20,0)</f>
        <v>0</v>
      </c>
      <c r="G366">
        <f>COUNTIF('50欧洲库存'!$C$2:$C$199,D366)</f>
        <v>1</v>
      </c>
      <c r="H366">
        <f>VLOOKUP(D366,'50欧洲库存'!$C$2:$V$113,20,0)</f>
        <v>0</v>
      </c>
      <c r="I366" s="26" t="s">
        <v>16</v>
      </c>
      <c r="J366" t="e">
        <f>CEILING($J$13*B366/H366,1)</f>
        <v>#DIV/0!</v>
      </c>
      <c r="K366">
        <v>3</v>
      </c>
      <c r="L366" t="e">
        <f>CEILING($L$13*B366/H366,1)</f>
        <v>#DIV/0!</v>
      </c>
      <c r="M366">
        <v>5</v>
      </c>
      <c r="N366" t="e">
        <f>CEILING($N$13*B366/H366,1)</f>
        <v>#DIV/0!</v>
      </c>
      <c r="O366">
        <v>8</v>
      </c>
    </row>
    <row r="367" ht="15.75" spans="2:15">
      <c r="B367">
        <f>IFERROR(IF(OR(C367="SS",C367="S"),2,1),1)</f>
        <v>1</v>
      </c>
      <c r="C367" t="e">
        <f>VLOOKUP(D367,Sheet4!$K$9:$L$110,2,0)</f>
        <v>#N/A</v>
      </c>
      <c r="D367" t="s">
        <v>107</v>
      </c>
      <c r="E367" t="str">
        <f>VLOOKUP(D367,'50欧洲库存'!C98:V209,2,0)</f>
        <v>50UK-YellowQiuLingSet</v>
      </c>
      <c r="F367">
        <f>VLOOKUP(D367,'50欧洲库存'!$C$2:$V$113,20,0)</f>
        <v>0</v>
      </c>
      <c r="G367">
        <f>COUNTIF('50欧洲库存'!$C$2:$C$199,D367)</f>
        <v>1</v>
      </c>
      <c r="H367">
        <f>VLOOKUP(D367,'50欧洲库存'!$C$2:$V$113,20,0)</f>
        <v>0</v>
      </c>
      <c r="I367" s="26" t="s">
        <v>16</v>
      </c>
      <c r="J367" t="e">
        <f>CEILING($J$13*B367/H367,1)</f>
        <v>#DIV/0!</v>
      </c>
      <c r="K367">
        <v>3</v>
      </c>
      <c r="L367" t="e">
        <f>CEILING($L$13*B367/H367,1)</f>
        <v>#DIV/0!</v>
      </c>
      <c r="M367">
        <v>5</v>
      </c>
      <c r="N367" t="e">
        <f>CEILING($N$13*B367/H367,1)</f>
        <v>#DIV/0!</v>
      </c>
      <c r="O367">
        <v>8</v>
      </c>
    </row>
    <row r="368" ht="15.75" spans="2:15">
      <c r="B368">
        <f>IFERROR(IF(OR(C368="SS",C368="S"),2,1),1)</f>
        <v>1</v>
      </c>
      <c r="C368" t="e">
        <f>VLOOKUP(D368,Sheet4!$K$9:$L$110,2,0)</f>
        <v>#N/A</v>
      </c>
      <c r="D368" t="s">
        <v>222</v>
      </c>
      <c r="E368" t="str">
        <f>VLOOKUP(D368,'50欧洲库存'!C99:V210,2,0)</f>
        <v>FBM-HeiHongMoFang-0001</v>
      </c>
      <c r="F368">
        <f>VLOOKUP(D368,'50欧洲库存'!$C$2:$V$113,20,0)</f>
        <v>0</v>
      </c>
      <c r="G368">
        <f>COUNTIF('50欧洲库存'!$C$2:$C$199,D368)</f>
        <v>1</v>
      </c>
      <c r="H368">
        <f>VLOOKUP(D368,'50欧洲库存'!$C$2:$V$113,20,0)</f>
        <v>0</v>
      </c>
      <c r="I368" s="26" t="s">
        <v>16</v>
      </c>
      <c r="J368" t="e">
        <f>CEILING($J$13*B368/H368,1)</f>
        <v>#DIV/0!</v>
      </c>
      <c r="K368">
        <v>3</v>
      </c>
      <c r="L368" t="e">
        <f>CEILING($L$13*B368/H368,1)</f>
        <v>#DIV/0!</v>
      </c>
      <c r="M368">
        <v>5</v>
      </c>
      <c r="N368" t="e">
        <f>CEILING($N$13*B368/H368,1)</f>
        <v>#DIV/0!</v>
      </c>
      <c r="O368">
        <v>8</v>
      </c>
    </row>
    <row r="369" ht="15.75" spans="2:15">
      <c r="B369">
        <f>IFERROR(IF(OR(C369="SS",C369="S"),2,1),1)</f>
        <v>1</v>
      </c>
      <c r="C369" t="e">
        <f>VLOOKUP(D369,Sheet4!$K$9:$L$110,2,0)</f>
        <v>#N/A</v>
      </c>
      <c r="D369" t="s">
        <v>223</v>
      </c>
      <c r="E369" t="str">
        <f>VLOOKUP(D369,'50欧洲库存'!C100:V211,2,0)</f>
        <v>MianJu-LED-Cheng-1001-FBA</v>
      </c>
      <c r="F369">
        <f>VLOOKUP(D369,'50欧洲库存'!$C$2:$V$113,20,0)</f>
        <v>0</v>
      </c>
      <c r="G369">
        <f>COUNTIF('50欧洲库存'!$C$2:$C$199,D369)</f>
        <v>1</v>
      </c>
      <c r="H369">
        <f>VLOOKUP(D369,'50欧洲库存'!$C$2:$V$113,20,0)</f>
        <v>0</v>
      </c>
      <c r="I369" s="26" t="s">
        <v>16</v>
      </c>
      <c r="J369" t="e">
        <f>CEILING($J$13*B369/H369,1)</f>
        <v>#DIV/0!</v>
      </c>
      <c r="K369">
        <v>3</v>
      </c>
      <c r="L369" t="e">
        <f>CEILING($L$13*B369/H369,1)</f>
        <v>#DIV/0!</v>
      </c>
      <c r="M369">
        <v>5</v>
      </c>
      <c r="N369" t="e">
        <f>CEILING($N$13*B369/H369,1)</f>
        <v>#DIV/0!</v>
      </c>
      <c r="O369">
        <v>8</v>
      </c>
    </row>
    <row r="370" ht="15.75" spans="2:15">
      <c r="B370">
        <f>IFERROR(IF(OR(C370="SS",C370="S"),2,1),1)</f>
        <v>1</v>
      </c>
      <c r="C370" t="e">
        <f>VLOOKUP(D370,Sheet4!$K$9:$L$110,2,0)</f>
        <v>#N/A</v>
      </c>
      <c r="D370" t="s">
        <v>224</v>
      </c>
      <c r="E370" t="str">
        <f>VLOOKUP(D370,'50欧洲库存'!C101:V212,2,0)</f>
        <v>MianJu-JinSe-FBA</v>
      </c>
      <c r="F370">
        <f>VLOOKUP(D370,'50欧洲库存'!$C$2:$V$113,20,0)</f>
        <v>0</v>
      </c>
      <c r="G370">
        <f>COUNTIF('50欧洲库存'!$C$2:$C$199,D370)</f>
        <v>1</v>
      </c>
      <c r="H370">
        <f>VLOOKUP(D370,'50欧洲库存'!$C$2:$V$113,20,0)</f>
        <v>0</v>
      </c>
      <c r="I370" s="26" t="s">
        <v>16</v>
      </c>
      <c r="J370" t="e">
        <f>CEILING($J$13*B370/H370,1)</f>
        <v>#DIV/0!</v>
      </c>
      <c r="K370">
        <v>3</v>
      </c>
      <c r="L370" t="e">
        <f>CEILING($L$13*B370/H370,1)</f>
        <v>#DIV/0!</v>
      </c>
      <c r="M370">
        <v>5</v>
      </c>
      <c r="N370" t="e">
        <f>CEILING($N$13*B370/H370,1)</f>
        <v>#DIV/0!</v>
      </c>
      <c r="O370">
        <v>8</v>
      </c>
    </row>
    <row r="371" ht="15.75" spans="2:15">
      <c r="B371">
        <f>IFERROR(IF(OR(C371="SS",C371="S"),2,1),1)</f>
        <v>1</v>
      </c>
      <c r="C371" t="e">
        <f>VLOOKUP(D371,Sheet4!$K$9:$L$110,2,0)</f>
        <v>#N/A</v>
      </c>
      <c r="D371" t="s">
        <v>225</v>
      </c>
      <c r="E371" t="str">
        <f>VLOOKUP(D371,'50欧洲库存'!C102:V213,2,0)</f>
        <v>MoFang-MiCaiLan</v>
      </c>
      <c r="F371">
        <f>VLOOKUP(D371,'50欧洲库存'!$C$2:$V$113,20,0)</f>
        <v>0</v>
      </c>
      <c r="G371">
        <f>COUNTIF('50欧洲库存'!$C$2:$C$199,D371)</f>
        <v>1</v>
      </c>
      <c r="H371">
        <f>VLOOKUP(D371,'50欧洲库存'!$C$2:$V$113,20,0)</f>
        <v>0</v>
      </c>
      <c r="I371" s="26" t="s">
        <v>16</v>
      </c>
      <c r="J371" t="e">
        <f>CEILING($J$13*B371/H371,1)</f>
        <v>#DIV/0!</v>
      </c>
      <c r="K371">
        <v>3</v>
      </c>
      <c r="L371" t="e">
        <f>CEILING($L$13*B371/H371,1)</f>
        <v>#DIV/0!</v>
      </c>
      <c r="M371">
        <v>5</v>
      </c>
      <c r="N371" t="e">
        <f>CEILING($N$13*B371/H371,1)</f>
        <v>#DIV/0!</v>
      </c>
      <c r="O371">
        <v>8</v>
      </c>
    </row>
    <row r="372" ht="15.75" spans="2:15">
      <c r="B372">
        <f>IFERROR(IF(OR(C372="SS",C372="S"),2,1),1)</f>
        <v>1</v>
      </c>
      <c r="C372" t="e">
        <f>VLOOKUP(D372,Sheet4!$K$9:$L$110,2,0)</f>
        <v>#N/A</v>
      </c>
      <c r="D372" t="s">
        <v>226</v>
      </c>
      <c r="E372" t="str">
        <f>VLOOKUP(D372,'50欧洲库存'!C103:V214,2,0)</f>
        <v>MianJu-LED-Lv-FBA</v>
      </c>
      <c r="F372">
        <f>VLOOKUP(D372,'50欧洲库存'!$C$2:$V$113,20,0)</f>
        <v>0</v>
      </c>
      <c r="G372">
        <f>COUNTIF('50欧洲库存'!$C$2:$C$199,D372)</f>
        <v>1</v>
      </c>
      <c r="H372">
        <f>VLOOKUP(D372,'50欧洲库存'!$C$2:$V$113,20,0)</f>
        <v>0</v>
      </c>
      <c r="I372" s="26" t="s">
        <v>16</v>
      </c>
      <c r="J372" t="e">
        <f>CEILING($J$13*B372/H372,1)</f>
        <v>#DIV/0!</v>
      </c>
      <c r="K372">
        <v>3</v>
      </c>
      <c r="L372" t="e">
        <f>CEILING($L$13*B372/H372,1)</f>
        <v>#DIV/0!</v>
      </c>
      <c r="M372">
        <v>5</v>
      </c>
      <c r="N372" t="e">
        <f>CEILING($N$13*B372/H372,1)</f>
        <v>#DIV/0!</v>
      </c>
      <c r="O372">
        <v>8</v>
      </c>
    </row>
    <row r="373" ht="15.75" spans="2:15">
      <c r="B373">
        <f>IFERROR(IF(OR(C373="SS",C373="S"),2,1),1)</f>
        <v>1</v>
      </c>
      <c r="C373" t="e">
        <f>VLOOKUP(D373,Sheet4!$K$9:$L$110,2,0)</f>
        <v>#N/A</v>
      </c>
      <c r="D373" t="s">
        <v>227</v>
      </c>
      <c r="E373" t="str">
        <f>VLOOKUP(D373,'50欧洲库存'!C104:V215,2,0)</f>
        <v>FBA-DengTou-LianLian-YaTong</v>
      </c>
      <c r="F373">
        <f>VLOOKUP(D373,'50欧洲库存'!$C$2:$V$113,20,0)</f>
        <v>0</v>
      </c>
      <c r="G373">
        <f>COUNTIF('50欧洲库存'!$C$2:$C$199,D373)</f>
        <v>1</v>
      </c>
      <c r="H373">
        <f>VLOOKUP(D373,'50欧洲库存'!$C$2:$V$113,20,0)</f>
        <v>0</v>
      </c>
      <c r="I373" s="26" t="s">
        <v>16</v>
      </c>
      <c r="J373" t="e">
        <f>CEILING($J$13*B373/H373,1)</f>
        <v>#DIV/0!</v>
      </c>
      <c r="K373">
        <v>3</v>
      </c>
      <c r="L373" t="e">
        <f>CEILING($L$13*B373/H373,1)</f>
        <v>#DIV/0!</v>
      </c>
      <c r="M373">
        <v>5</v>
      </c>
      <c r="N373" t="e">
        <f>CEILING($N$13*B373/H373,1)</f>
        <v>#DIV/0!</v>
      </c>
      <c r="O373">
        <v>8</v>
      </c>
    </row>
    <row r="374" ht="15.75" spans="2:15">
      <c r="B374">
        <f>IFERROR(IF(OR(C374="SS",C374="S"),2,1),1)</f>
        <v>1</v>
      </c>
      <c r="C374" t="e">
        <f>VLOOKUP(D374,Sheet4!$K$9:$L$110,2,0)</f>
        <v>#N/A</v>
      </c>
      <c r="D374" t="s">
        <v>228</v>
      </c>
      <c r="E374" t="str">
        <f>VLOOKUP(D374,'50欧洲库存'!C105:V216,2,0)</f>
        <v>MoFang-Galaxy+MiCaiLan-1001-FBA</v>
      </c>
      <c r="F374">
        <f>VLOOKUP(D374,'50欧洲库存'!$C$2:$V$113,20,0)</f>
        <v>0</v>
      </c>
      <c r="G374">
        <f>COUNTIF('50欧洲库存'!$C$2:$C$199,D374)</f>
        <v>1</v>
      </c>
      <c r="H374">
        <f>VLOOKUP(D374,'50欧洲库存'!$C$2:$V$113,20,0)</f>
        <v>0</v>
      </c>
      <c r="I374" s="26" t="s">
        <v>16</v>
      </c>
      <c r="J374" t="e">
        <f>CEILING($J$13*B374/H374,1)</f>
        <v>#DIV/0!</v>
      </c>
      <c r="K374">
        <v>3</v>
      </c>
      <c r="L374" t="e">
        <f>CEILING($L$13*B374/H374,1)</f>
        <v>#DIV/0!</v>
      </c>
      <c r="M374">
        <v>5</v>
      </c>
      <c r="N374" t="e">
        <f>CEILING($N$13*B374/H374,1)</f>
        <v>#DIV/0!</v>
      </c>
      <c r="O374">
        <v>8</v>
      </c>
    </row>
    <row r="375" ht="14.25" spans="2:15">
      <c r="B375">
        <f>IFERROR(IF(OR(C375="SS",C375="S"),2,1),1)</f>
        <v>1</v>
      </c>
      <c r="C375" t="e">
        <f>VLOOKUP(D375,Sheet4!$K$9:$L$110,2,0)</f>
        <v>#N/A</v>
      </c>
      <c r="D375" t="s">
        <v>229</v>
      </c>
      <c r="E375" t="str">
        <f>VLOOKUP(D375,'50欧洲库存'!C106:V217,2,0)</f>
        <v>50UK-WuGuiQiu</v>
      </c>
      <c r="F375">
        <f>VLOOKUP(D375,'50欧洲库存'!$C$2:$V$113,20,0)</f>
        <v>0</v>
      </c>
      <c r="G375">
        <f>COUNTIF('50欧洲库存'!$C$2:$C$199,D375)</f>
        <v>1</v>
      </c>
      <c r="H375">
        <f>VLOOKUP(D375,'50欧洲库存'!$C$2:$V$113,20,0)</f>
        <v>0</v>
      </c>
      <c r="I375" s="26" t="s">
        <v>16</v>
      </c>
      <c r="J375" t="e">
        <f>CEILING($J$13*B375/H375,1)</f>
        <v>#DIV/0!</v>
      </c>
      <c r="K375">
        <v>3</v>
      </c>
      <c r="L375" t="e">
        <f>CEILING($L$13*B375/H375,1)</f>
        <v>#DIV/0!</v>
      </c>
      <c r="M375">
        <v>5</v>
      </c>
      <c r="N375" t="e">
        <f>CEILING($N$13*B375/H375,1)</f>
        <v>#DIV/0!</v>
      </c>
      <c r="O375">
        <v>8</v>
      </c>
    </row>
    <row r="384" spans="2:15">
      <c r="B384">
        <v>1</v>
      </c>
      <c r="C384" t="e">
        <v>#N/A</v>
      </c>
      <c r="D384" t="s">
        <v>113</v>
      </c>
      <c r="E384" t="s">
        <v>230</v>
      </c>
      <c r="F384">
        <v>49.99</v>
      </c>
      <c r="G384">
        <v>2</v>
      </c>
      <c r="H384">
        <v>49.99</v>
      </c>
      <c r="I384" t="s">
        <v>16</v>
      </c>
      <c r="J384">
        <v>11</v>
      </c>
      <c r="K384">
        <v>3</v>
      </c>
      <c r="L384">
        <v>15</v>
      </c>
      <c r="M384">
        <v>5</v>
      </c>
      <c r="N384">
        <v>25</v>
      </c>
      <c r="O384">
        <v>8</v>
      </c>
    </row>
    <row r="385" spans="2:15">
      <c r="B385">
        <v>1</v>
      </c>
      <c r="C385" t="e">
        <v>#N/A</v>
      </c>
      <c r="D385" t="s">
        <v>165</v>
      </c>
      <c r="E385" t="s">
        <v>231</v>
      </c>
      <c r="F385">
        <v>24.99</v>
      </c>
      <c r="G385">
        <v>1</v>
      </c>
      <c r="H385">
        <v>24.99</v>
      </c>
      <c r="I385" t="s">
        <v>16</v>
      </c>
      <c r="J385">
        <v>21</v>
      </c>
      <c r="K385">
        <v>3</v>
      </c>
      <c r="L385">
        <v>29</v>
      </c>
      <c r="M385">
        <v>5</v>
      </c>
      <c r="N385">
        <v>49</v>
      </c>
      <c r="O385">
        <v>8</v>
      </c>
    </row>
    <row r="386" spans="2:15">
      <c r="B386">
        <v>1</v>
      </c>
      <c r="C386" t="e">
        <v>#N/A</v>
      </c>
      <c r="D386" t="s">
        <v>122</v>
      </c>
      <c r="E386" t="s">
        <v>232</v>
      </c>
      <c r="F386">
        <v>41.32</v>
      </c>
      <c r="G386">
        <v>1</v>
      </c>
      <c r="H386">
        <v>41.32</v>
      </c>
      <c r="I386" t="s">
        <v>16</v>
      </c>
      <c r="J386">
        <v>13</v>
      </c>
      <c r="K386">
        <v>3</v>
      </c>
      <c r="L386">
        <v>17</v>
      </c>
      <c r="M386">
        <v>5</v>
      </c>
      <c r="N386">
        <v>30</v>
      </c>
      <c r="O386">
        <v>8</v>
      </c>
    </row>
    <row r="387" spans="2:15">
      <c r="B387">
        <v>1</v>
      </c>
      <c r="C387" t="e">
        <v>#N/A</v>
      </c>
      <c r="D387" t="s">
        <v>105</v>
      </c>
      <c r="E387" t="s">
        <v>233</v>
      </c>
      <c r="F387">
        <v>35.81</v>
      </c>
      <c r="G387">
        <v>2</v>
      </c>
      <c r="H387">
        <v>35.81</v>
      </c>
      <c r="I387" t="s">
        <v>16</v>
      </c>
      <c r="J387">
        <v>14</v>
      </c>
      <c r="K387">
        <v>3</v>
      </c>
      <c r="L387">
        <v>20</v>
      </c>
      <c r="M387">
        <v>5</v>
      </c>
      <c r="N387">
        <v>34</v>
      </c>
      <c r="O387">
        <v>8</v>
      </c>
    </row>
    <row r="388" spans="2:15">
      <c r="B388">
        <v>1</v>
      </c>
      <c r="C388" t="e">
        <v>#N/A</v>
      </c>
      <c r="D388" t="s">
        <v>200</v>
      </c>
      <c r="E388" t="s">
        <v>234</v>
      </c>
      <c r="F388">
        <v>25.99</v>
      </c>
      <c r="G388">
        <v>1</v>
      </c>
      <c r="H388">
        <v>25.99</v>
      </c>
      <c r="I388" t="s">
        <v>16</v>
      </c>
      <c r="J388">
        <v>20</v>
      </c>
      <c r="K388">
        <v>3</v>
      </c>
      <c r="L388">
        <v>27</v>
      </c>
      <c r="M388">
        <v>5</v>
      </c>
      <c r="N388">
        <v>47</v>
      </c>
      <c r="O388">
        <v>8</v>
      </c>
    </row>
  </sheetData>
  <autoFilter xmlns:etc="http://www.wps.cn/officeDocument/2017/etCustomData" ref="A270:O375" etc:filterBottomFollowUsedRange="0">
    <extLst/>
  </autoFilter>
  <conditionalFormatting sqref="I20:I21">
    <cfRule type="expression" dxfId="0" priority="24" stopIfTrue="1">
      <formula>IF(PTList0,req_togPTList0purchasable_offermarketplace_idATVPDKIKX0DERaudienceB2B1.quantity_discount_plan1.schedule1.discount_type,0)</formula>
    </cfRule>
    <cfRule type="expression" dxfId="1" priority="23" stopIfTrue="1">
      <formula>IF(LEN(I20)&gt;0,1,0)</formula>
    </cfRule>
    <cfRule type="expression" dxfId="2" priority="22" stopIfTrue="1">
      <formula>IF(PTList0,form_rgPTList0purchasable_offermarketplace_idATVPDKIKX0DERaudienceB2B1.quantity_discount_plan1.schedule1.discount_type,0)</formula>
    </cfRule>
    <cfRule type="expression" dxfId="3" priority="21" stopIfTrue="1">
      <formula>ApplicablePTList1</formula>
    </cfRule>
  </conditionalFormatting>
  <conditionalFormatting sqref="I49:I67">
    <cfRule type="expression" dxfId="3" priority="29" stopIfTrue="1">
      <formula>ApplicablePTList1</formula>
    </cfRule>
    <cfRule type="expression" dxfId="2" priority="30" stopIfTrue="1">
      <formula>IF(PTList0,form_rgPTList0purchasable_offermarketplace_idATVPDKIKX0DERaudienceB2B1.quantity_discount_plan1.schedule1.discount_type,0)</formula>
    </cfRule>
    <cfRule type="expression" dxfId="1" priority="31" stopIfTrue="1">
      <formula>IF(LEN(I49)&gt;0,1,0)</formula>
    </cfRule>
    <cfRule type="expression" dxfId="0" priority="32" stopIfTrue="1">
      <formula>IF(PTList0,req_togPTList0purchasable_offermarketplace_idATVPDKIKX0DERaudienceB2B1.quantity_discount_plan1.schedule1.discount_type,0)</formula>
    </cfRule>
  </conditionalFormatting>
  <conditionalFormatting sqref="I102:I109">
    <cfRule type="expression" dxfId="3" priority="17" stopIfTrue="1">
      <formula>ApplicablePTList1</formula>
    </cfRule>
    <cfRule type="expression" dxfId="2" priority="18" stopIfTrue="1">
      <formula>IF(PTList0,form_rgPTList0purchasable_offermarketplace_idATVPDKIKX0DERaudienceB2B1.quantity_discount_plan1.schedule1.discount_type,0)</formula>
    </cfRule>
    <cfRule type="expression" dxfId="1" priority="19" stopIfTrue="1">
      <formula>IF(LEN(I102)&gt;0,1,0)</formula>
    </cfRule>
    <cfRule type="expression" dxfId="0" priority="20" stopIfTrue="1">
      <formula>IF(PTList0,req_togPTList0purchasable_offermarketplace_idATVPDKIKX0DERaudienceB2B1.quantity_discount_plan1.schedule1.discount_type,0)</formula>
    </cfRule>
  </conditionalFormatting>
  <conditionalFormatting sqref="I136:I141">
    <cfRule type="expression" dxfId="3" priority="9" stopIfTrue="1">
      <formula>ApplicablePTList1</formula>
    </cfRule>
    <cfRule type="expression" dxfId="2" priority="10" stopIfTrue="1">
      <formula>IF(PTList0,form_rgPTList0purchasable_offermarketplace_idATVPDKIKX0DERaudienceB2B1.quantity_discount_plan1.schedule1.discount_type,0)</formula>
    </cfRule>
    <cfRule type="expression" dxfId="1" priority="11" stopIfTrue="1">
      <formula>IF(LEN(I136)&gt;0,1,0)</formula>
    </cfRule>
    <cfRule type="expression" dxfId="0" priority="12" stopIfTrue="1">
      <formula>IF(PTList0,req_togPTList0purchasable_offermarketplace_idATVPDKIKX0DERaudienceB2B1.quantity_discount_plan1.schedule1.discount_type,0)</formula>
    </cfRule>
  </conditionalFormatting>
  <conditionalFormatting sqref="I188:I216">
    <cfRule type="expression" dxfId="0" priority="8" stopIfTrue="1">
      <formula>IF(PTList0,req_togPTList0purchasable_offermarketplace_idATVPDKIKX0DERaudienceB2B1.quantity_discount_plan1.schedule1.discount_type,0)</formula>
    </cfRule>
    <cfRule type="expression" dxfId="1" priority="7" stopIfTrue="1">
      <formula>IF(LEN(I188)&gt;0,1,0)</formula>
    </cfRule>
    <cfRule type="expression" dxfId="2" priority="6" stopIfTrue="1">
      <formula>IF(PTList0,form_rgPTList0purchasable_offermarketplace_idATVPDKIKX0DERaudienceB2B1.quantity_discount_plan1.schedule1.discount_type,0)</formula>
    </cfRule>
    <cfRule type="expression" dxfId="3" priority="5" stopIfTrue="1">
      <formula>ApplicablePTList1</formula>
    </cfRule>
  </conditionalFormatting>
  <conditionalFormatting sqref="I271:I375">
    <cfRule type="expression" dxfId="0" priority="4" stopIfTrue="1">
      <formula>IF(PTList0,req_togPTList0purchasable_offermarketplace_idATVPDKIKX0DERaudienceB2B1.quantity_discount_plan1.schedule1.discount_type,0)</formula>
    </cfRule>
    <cfRule type="expression" dxfId="1" priority="3" stopIfTrue="1">
      <formula>IF(LEN(I271)&gt;0,1,0)</formula>
    </cfRule>
    <cfRule type="expression" dxfId="2" priority="2" stopIfTrue="1">
      <formula>IF(PTList0,form_rgPTList0purchasable_offermarketplace_idATVPDKIKX0DERaudienceB2B1.quantity_discount_plan1.schedule1.discount_type,0)</formula>
    </cfRule>
    <cfRule type="expression" dxfId="3" priority="1" stopIfTrue="1">
      <formula>ApplicablePTList1</formula>
    </cfRule>
  </conditionalFormatting>
  <conditionalFormatting sqref="I15:I19 I22:I44">
    <cfRule type="expression" dxfId="3" priority="33" stopIfTrue="1">
      <formula>ApplicablePTList1</formula>
    </cfRule>
    <cfRule type="expression" dxfId="2" priority="34" stopIfTrue="1">
      <formula>IF(PTList0,form_rgPTList0purchasable_offermarketplace_idATVPDKIKX0DERaudienceB2B1.quantity_discount_plan1.schedule1.discount_type,0)</formula>
    </cfRule>
    <cfRule type="expression" dxfId="1" priority="35" stopIfTrue="1">
      <formula>IF(LEN(I15)&gt;0,1,0)</formula>
    </cfRule>
    <cfRule type="expression" dxfId="0" priority="36" stopIfTrue="1">
      <formula>IF(PTList0,req_togPTList0purchasable_offermarketplace_idATVPDKIKX0DERaudienceB2B1.quantity_discount_plan1.schedule1.discount_type,0)</formula>
    </cfRule>
  </conditionalFormatting>
  <dataValidations count="1">
    <dataValidation type="list" showInputMessage="1" showErrorMessage="1" sqref="I15:I44 I49:I67 I102:I109 I136:I141 I188:I216 I271:I296 I297:I375">
      <formula1>purchasable_offermarketplace_idATVPDKIKX0DERaudienceB2B1.quantity_discount_plan1.schedule1.discount_type</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T313"/>
  <sheetViews>
    <sheetView zoomScale="70" zoomScaleNormal="70" workbookViewId="0">
      <selection activeCell="D133" sqref="D133:D221"/>
    </sheetView>
  </sheetViews>
  <sheetFormatPr defaultColWidth="9" defaultRowHeight="13.5"/>
  <cols>
    <col min="1" max="1" width="27" customWidth="1"/>
    <col min="2" max="2" width="18.25" customWidth="1"/>
    <col min="3" max="3" width="20.75" customWidth="1"/>
    <col min="4" max="4" width="37" customWidth="1"/>
  </cols>
  <sheetData>
    <row r="1" spans="1:98">
      <c r="A1" t="s">
        <v>235</v>
      </c>
      <c r="B1" t="s">
        <v>236</v>
      </c>
      <c r="C1" t="s">
        <v>237</v>
      </c>
      <c r="D1" t="s">
        <v>238</v>
      </c>
      <c r="E1" t="s">
        <v>239</v>
      </c>
      <c r="F1" t="s">
        <v>240</v>
      </c>
      <c r="G1" t="s">
        <v>241</v>
      </c>
      <c r="H1" t="s">
        <v>242</v>
      </c>
      <c r="I1" t="s">
        <v>243</v>
      </c>
      <c r="J1" t="s">
        <v>244</v>
      </c>
      <c r="K1" t="s">
        <v>245</v>
      </c>
      <c r="L1" t="s">
        <v>246</v>
      </c>
      <c r="M1" t="s">
        <v>247</v>
      </c>
      <c r="N1" t="s">
        <v>248</v>
      </c>
      <c r="O1" t="s">
        <v>249</v>
      </c>
      <c r="P1" t="s">
        <v>250</v>
      </c>
      <c r="Q1" t="s">
        <v>251</v>
      </c>
      <c r="R1" t="s">
        <v>252</v>
      </c>
      <c r="S1" t="s">
        <v>253</v>
      </c>
      <c r="T1" t="s">
        <v>254</v>
      </c>
      <c r="U1" t="s">
        <v>255</v>
      </c>
      <c r="V1" t="s">
        <v>256</v>
      </c>
      <c r="W1" t="s">
        <v>257</v>
      </c>
      <c r="X1" t="s">
        <v>258</v>
      </c>
      <c r="Y1" t="s">
        <v>259</v>
      </c>
      <c r="Z1" t="s">
        <v>260</v>
      </c>
      <c r="AA1" t="s">
        <v>261</v>
      </c>
      <c r="AB1" t="s">
        <v>262</v>
      </c>
      <c r="AC1" t="s">
        <v>263</v>
      </c>
      <c r="AD1" t="s">
        <v>264</v>
      </c>
      <c r="AE1" t="s">
        <v>265</v>
      </c>
      <c r="AF1" t="s">
        <v>266</v>
      </c>
      <c r="AG1" t="s">
        <v>267</v>
      </c>
      <c r="AH1" t="s">
        <v>268</v>
      </c>
      <c r="AI1" t="s">
        <v>269</v>
      </c>
      <c r="AJ1" t="s">
        <v>270</v>
      </c>
      <c r="AK1" t="s">
        <v>271</v>
      </c>
      <c r="AL1" t="s">
        <v>272</v>
      </c>
      <c r="AM1" t="s">
        <v>273</v>
      </c>
      <c r="AN1" t="s">
        <v>274</v>
      </c>
      <c r="AO1" t="s">
        <v>275</v>
      </c>
      <c r="AP1" t="s">
        <v>276</v>
      </c>
      <c r="AQ1" t="s">
        <v>277</v>
      </c>
      <c r="AR1" t="s">
        <v>278</v>
      </c>
      <c r="AS1" t="s">
        <v>279</v>
      </c>
      <c r="AT1" t="s">
        <v>280</v>
      </c>
      <c r="AU1" t="s">
        <v>281</v>
      </c>
      <c r="AV1" t="s">
        <v>282</v>
      </c>
      <c r="AW1" t="s">
        <v>283</v>
      </c>
      <c r="AX1" t="s">
        <v>284</v>
      </c>
      <c r="AY1" t="s">
        <v>285</v>
      </c>
      <c r="AZ1" t="s">
        <v>286</v>
      </c>
      <c r="BA1" t="s">
        <v>287</v>
      </c>
      <c r="BB1" t="s">
        <v>288</v>
      </c>
      <c r="BC1" t="s">
        <v>289</v>
      </c>
      <c r="BD1" t="s">
        <v>290</v>
      </c>
      <c r="BE1" t="s">
        <v>291</v>
      </c>
      <c r="BF1" t="s">
        <v>292</v>
      </c>
      <c r="BG1" t="s">
        <v>293</v>
      </c>
      <c r="BH1" t="s">
        <v>294</v>
      </c>
      <c r="BI1" t="s">
        <v>295</v>
      </c>
      <c r="BJ1" t="s">
        <v>296</v>
      </c>
      <c r="BK1" t="s">
        <v>297</v>
      </c>
      <c r="BL1" t="s">
        <v>298</v>
      </c>
      <c r="BM1" t="s">
        <v>299</v>
      </c>
      <c r="BN1" t="s">
        <v>300</v>
      </c>
      <c r="BO1" t="s">
        <v>301</v>
      </c>
      <c r="BP1" t="s">
        <v>302</v>
      </c>
      <c r="BQ1" t="s">
        <v>303</v>
      </c>
      <c r="BR1" t="s">
        <v>304</v>
      </c>
      <c r="BS1" t="s">
        <v>305</v>
      </c>
      <c r="BT1" t="s">
        <v>306</v>
      </c>
      <c r="BU1" t="s">
        <v>307</v>
      </c>
      <c r="BV1" t="s">
        <v>308</v>
      </c>
      <c r="BW1" t="s">
        <v>309</v>
      </c>
      <c r="BX1" t="s">
        <v>310</v>
      </c>
      <c r="BY1" t="s">
        <v>311</v>
      </c>
      <c r="BZ1" t="s">
        <v>312</v>
      </c>
      <c r="CA1" t="s">
        <v>313</v>
      </c>
      <c r="CB1" t="s">
        <v>314</v>
      </c>
      <c r="CC1" t="s">
        <v>315</v>
      </c>
      <c r="CD1" t="s">
        <v>316</v>
      </c>
      <c r="CE1" t="s">
        <v>317</v>
      </c>
      <c r="CF1" t="s">
        <v>318</v>
      </c>
      <c r="CG1" t="s">
        <v>319</v>
      </c>
      <c r="CH1" t="s">
        <v>320</v>
      </c>
      <c r="CI1" t="s">
        <v>321</v>
      </c>
      <c r="CJ1" t="s">
        <v>322</v>
      </c>
      <c r="CK1" t="s">
        <v>323</v>
      </c>
      <c r="CL1" t="s">
        <v>324</v>
      </c>
      <c r="CM1" t="s">
        <v>325</v>
      </c>
      <c r="CN1" t="s">
        <v>326</v>
      </c>
      <c r="CO1" t="s">
        <v>327</v>
      </c>
      <c r="CP1" t="s">
        <v>328</v>
      </c>
      <c r="CQ1" t="s">
        <v>329</v>
      </c>
      <c r="CR1" t="s">
        <v>330</v>
      </c>
      <c r="CS1" t="s">
        <v>331</v>
      </c>
      <c r="CT1" t="s">
        <v>332</v>
      </c>
    </row>
    <row r="2" spans="1:98">
      <c r="A2" s="5">
        <v>46188</v>
      </c>
      <c r="B2" t="s">
        <v>333</v>
      </c>
      <c r="C2" t="s">
        <v>334</v>
      </c>
      <c r="D2" t="s">
        <v>335</v>
      </c>
      <c r="E2" t="s">
        <v>336</v>
      </c>
      <c r="F2" t="s">
        <v>337</v>
      </c>
      <c r="G2">
        <v>33</v>
      </c>
      <c r="H2">
        <v>0</v>
      </c>
      <c r="I2">
        <v>20</v>
      </c>
      <c r="J2">
        <v>14</v>
      </c>
      <c r="K2">
        <v>0</v>
      </c>
      <c r="L2">
        <v>0</v>
      </c>
      <c r="M2">
        <v>0</v>
      </c>
      <c r="N2">
        <v>0</v>
      </c>
      <c r="O2" t="s">
        <v>338</v>
      </c>
      <c r="P2">
        <v>3</v>
      </c>
      <c r="Q2">
        <v>10</v>
      </c>
      <c r="R2">
        <v>15</v>
      </c>
      <c r="S2">
        <v>22</v>
      </c>
      <c r="U2">
        <v>79.99</v>
      </c>
      <c r="V2">
        <v>49.99</v>
      </c>
      <c r="W2">
        <v>49.99</v>
      </c>
      <c r="X2">
        <v>0</v>
      </c>
      <c r="Y2" t="s">
        <v>339</v>
      </c>
      <c r="AA2">
        <v>0</v>
      </c>
      <c r="AB2">
        <v>0</v>
      </c>
      <c r="AC2">
        <v>0</v>
      </c>
      <c r="AD2">
        <v>0</v>
      </c>
      <c r="AE2">
        <v>0.65</v>
      </c>
      <c r="AF2">
        <v>0.744874</v>
      </c>
      <c r="AG2" t="s">
        <v>340</v>
      </c>
      <c r="AH2" t="s">
        <v>341</v>
      </c>
      <c r="AI2">
        <v>24.580842</v>
      </c>
      <c r="AJ2" t="s">
        <v>342</v>
      </c>
      <c r="AK2" t="s">
        <v>343</v>
      </c>
      <c r="AL2">
        <v>32209</v>
      </c>
      <c r="AM2">
        <v>100</v>
      </c>
      <c r="AN2">
        <v>0</v>
      </c>
      <c r="AO2">
        <v>14</v>
      </c>
      <c r="AP2">
        <v>21</v>
      </c>
      <c r="AQ2">
        <v>49.99</v>
      </c>
      <c r="AR2">
        <v>149.97</v>
      </c>
      <c r="AS2">
        <v>522.4</v>
      </c>
      <c r="AT2">
        <v>759.85</v>
      </c>
      <c r="AU2">
        <v>1097.28</v>
      </c>
      <c r="AV2">
        <v>18</v>
      </c>
      <c r="AW2">
        <v>2</v>
      </c>
      <c r="AX2">
        <v>0</v>
      </c>
      <c r="AY2">
        <v>0</v>
      </c>
      <c r="AZ2">
        <v>0</v>
      </c>
      <c r="BA2">
        <v>16.21</v>
      </c>
      <c r="BB2">
        <v>3</v>
      </c>
      <c r="BC2">
        <v>0</v>
      </c>
      <c r="BD2">
        <v>0</v>
      </c>
      <c r="BE2">
        <v>3</v>
      </c>
      <c r="BG2">
        <v>1</v>
      </c>
      <c r="BH2">
        <v>0</v>
      </c>
      <c r="BY2">
        <v>137.5</v>
      </c>
      <c r="BZ2">
        <v>38</v>
      </c>
      <c r="CA2" t="s">
        <v>344</v>
      </c>
      <c r="CB2">
        <v>24</v>
      </c>
      <c r="CC2" s="5">
        <v>46193</v>
      </c>
      <c r="CD2" s="5">
        <v>46188</v>
      </c>
      <c r="CE2" t="s">
        <v>345</v>
      </c>
      <c r="CF2" t="s">
        <v>346</v>
      </c>
      <c r="CG2">
        <v>115.7</v>
      </c>
      <c r="CH2">
        <v>137.5</v>
      </c>
      <c r="CI2" s="5">
        <v>46186</v>
      </c>
      <c r="CJ2">
        <v>36</v>
      </c>
      <c r="CK2">
        <v>0</v>
      </c>
      <c r="CL2">
        <v>1</v>
      </c>
      <c r="CM2">
        <v>0</v>
      </c>
      <c r="CN2">
        <v>0</v>
      </c>
      <c r="CO2">
        <v>102</v>
      </c>
      <c r="CP2" t="s">
        <v>347</v>
      </c>
      <c r="CQ2" t="s">
        <v>348</v>
      </c>
    </row>
    <row r="3" spans="1:98">
      <c r="A3" s="5">
        <v>46188</v>
      </c>
      <c r="B3" t="s">
        <v>349</v>
      </c>
      <c r="C3" t="s">
        <v>36</v>
      </c>
      <c r="D3" t="s">
        <v>64</v>
      </c>
      <c r="E3" t="s">
        <v>350</v>
      </c>
      <c r="F3" t="s">
        <v>337</v>
      </c>
      <c r="G3">
        <v>32</v>
      </c>
      <c r="H3">
        <v>0</v>
      </c>
      <c r="I3">
        <v>0</v>
      </c>
      <c r="J3">
        <v>32</v>
      </c>
      <c r="K3">
        <v>0</v>
      </c>
      <c r="L3">
        <v>0</v>
      </c>
      <c r="M3">
        <v>0</v>
      </c>
      <c r="N3">
        <v>0</v>
      </c>
      <c r="O3" t="s">
        <v>338</v>
      </c>
      <c r="P3">
        <v>0</v>
      </c>
      <c r="Q3">
        <v>1</v>
      </c>
      <c r="R3">
        <v>2</v>
      </c>
      <c r="S3">
        <v>4</v>
      </c>
      <c r="T3" t="s">
        <v>351</v>
      </c>
      <c r="U3">
        <v>22.99</v>
      </c>
      <c r="V3">
        <v>15.49</v>
      </c>
      <c r="W3">
        <v>15.49</v>
      </c>
      <c r="X3">
        <v>0</v>
      </c>
      <c r="Y3" t="s">
        <v>352</v>
      </c>
      <c r="AA3">
        <v>10.84</v>
      </c>
      <c r="AB3">
        <v>2</v>
      </c>
      <c r="AC3">
        <v>0</v>
      </c>
      <c r="AD3">
        <v>448.27</v>
      </c>
      <c r="AE3">
        <v>0.12</v>
      </c>
      <c r="AF3">
        <v>0.054246</v>
      </c>
      <c r="AG3" t="s">
        <v>340</v>
      </c>
      <c r="AH3" t="s">
        <v>341</v>
      </c>
      <c r="AI3">
        <v>1.735872</v>
      </c>
      <c r="AJ3" t="s">
        <v>342</v>
      </c>
      <c r="AK3" t="s">
        <v>353</v>
      </c>
      <c r="AL3">
        <v>598598</v>
      </c>
      <c r="AM3">
        <v>366</v>
      </c>
      <c r="AN3">
        <v>32</v>
      </c>
      <c r="AO3">
        <v>128</v>
      </c>
      <c r="AP3">
        <v>104</v>
      </c>
      <c r="AQ3">
        <v>15.49</v>
      </c>
      <c r="AR3">
        <v>0</v>
      </c>
      <c r="AS3">
        <v>15.49</v>
      </c>
      <c r="AT3">
        <v>31.81</v>
      </c>
      <c r="AU3">
        <v>63.53</v>
      </c>
      <c r="AV3">
        <v>0</v>
      </c>
      <c r="AW3">
        <v>0</v>
      </c>
      <c r="AX3">
        <v>0</v>
      </c>
      <c r="AY3">
        <v>0</v>
      </c>
      <c r="AZ3">
        <v>0</v>
      </c>
      <c r="BA3">
        <v>1.24</v>
      </c>
      <c r="BB3">
        <v>0</v>
      </c>
      <c r="BC3">
        <v>0</v>
      </c>
      <c r="BD3">
        <v>0</v>
      </c>
      <c r="BE3">
        <v>0</v>
      </c>
      <c r="BG3">
        <v>0</v>
      </c>
      <c r="BH3">
        <v>0</v>
      </c>
      <c r="BY3">
        <v>976</v>
      </c>
      <c r="BZ3">
        <v>3</v>
      </c>
      <c r="CA3" t="s">
        <v>354</v>
      </c>
      <c r="CD3" s="5">
        <v>46188</v>
      </c>
      <c r="CE3" t="s">
        <v>345</v>
      </c>
      <c r="CF3" t="s">
        <v>346</v>
      </c>
      <c r="CG3">
        <v>976</v>
      </c>
      <c r="CH3">
        <v>758</v>
      </c>
      <c r="CI3" s="5">
        <v>46186</v>
      </c>
      <c r="CJ3">
        <v>32</v>
      </c>
      <c r="CK3">
        <v>0</v>
      </c>
      <c r="CL3">
        <v>0</v>
      </c>
      <c r="CM3">
        <v>0</v>
      </c>
      <c r="CN3">
        <v>0</v>
      </c>
      <c r="CO3">
        <v>366</v>
      </c>
      <c r="CP3" t="s">
        <v>347</v>
      </c>
      <c r="CQ3" t="s">
        <v>348</v>
      </c>
    </row>
    <row r="4" spans="1:98">
      <c r="A4" s="5">
        <v>46188</v>
      </c>
      <c r="B4" t="s">
        <v>355</v>
      </c>
      <c r="C4" t="s">
        <v>356</v>
      </c>
      <c r="D4" t="s">
        <v>357</v>
      </c>
      <c r="E4" t="s">
        <v>358</v>
      </c>
      <c r="F4" t="s">
        <v>337</v>
      </c>
      <c r="G4">
        <v>17</v>
      </c>
      <c r="H4">
        <v>0</v>
      </c>
      <c r="I4">
        <v>20</v>
      </c>
      <c r="J4">
        <v>3</v>
      </c>
      <c r="K4">
        <v>0</v>
      </c>
      <c r="L4">
        <v>0</v>
      </c>
      <c r="M4">
        <v>0</v>
      </c>
      <c r="N4">
        <v>0</v>
      </c>
      <c r="O4" t="s">
        <v>338</v>
      </c>
      <c r="P4">
        <v>2</v>
      </c>
      <c r="Q4">
        <v>5</v>
      </c>
      <c r="R4">
        <v>14</v>
      </c>
      <c r="S4">
        <v>20</v>
      </c>
      <c r="U4">
        <v>89.99</v>
      </c>
      <c r="V4">
        <v>64.99</v>
      </c>
      <c r="W4">
        <v>64.99</v>
      </c>
      <c r="X4">
        <v>0</v>
      </c>
      <c r="Y4" t="s">
        <v>359</v>
      </c>
      <c r="AA4">
        <v>0</v>
      </c>
      <c r="AB4">
        <v>0</v>
      </c>
      <c r="AC4">
        <v>0</v>
      </c>
      <c r="AD4">
        <v>0</v>
      </c>
      <c r="AE4">
        <v>1.03</v>
      </c>
      <c r="AF4">
        <v>0.734919</v>
      </c>
      <c r="AG4" t="s">
        <v>340</v>
      </c>
      <c r="AH4" t="s">
        <v>341</v>
      </c>
      <c r="AI4">
        <v>12.493623</v>
      </c>
      <c r="AJ4" t="s">
        <v>342</v>
      </c>
      <c r="AK4" t="s">
        <v>343</v>
      </c>
      <c r="AL4">
        <v>32209</v>
      </c>
      <c r="AM4">
        <v>185</v>
      </c>
      <c r="AN4">
        <v>0</v>
      </c>
      <c r="AO4">
        <v>47</v>
      </c>
      <c r="AP4">
        <v>38</v>
      </c>
      <c r="AQ4">
        <v>64.99</v>
      </c>
      <c r="AR4">
        <v>129.98</v>
      </c>
      <c r="AS4">
        <v>324.95</v>
      </c>
      <c r="AT4">
        <v>900.86</v>
      </c>
      <c r="AU4">
        <v>1320.8</v>
      </c>
      <c r="AV4">
        <v>19</v>
      </c>
      <c r="AW4">
        <v>0</v>
      </c>
      <c r="AX4">
        <v>1</v>
      </c>
      <c r="AY4">
        <v>0</v>
      </c>
      <c r="AZ4">
        <v>0</v>
      </c>
      <c r="BA4">
        <v>32.42</v>
      </c>
      <c r="BB4">
        <v>42</v>
      </c>
      <c r="BC4">
        <v>0</v>
      </c>
      <c r="BD4">
        <v>42</v>
      </c>
      <c r="BE4">
        <v>0</v>
      </c>
      <c r="BG4">
        <v>6</v>
      </c>
      <c r="BH4">
        <v>0</v>
      </c>
      <c r="BY4">
        <v>117</v>
      </c>
      <c r="BZ4">
        <v>14</v>
      </c>
      <c r="CA4" t="s">
        <v>360</v>
      </c>
      <c r="CD4" s="5">
        <v>46188</v>
      </c>
      <c r="CE4" t="s">
        <v>345</v>
      </c>
      <c r="CF4" t="s">
        <v>346</v>
      </c>
      <c r="CG4">
        <v>117</v>
      </c>
      <c r="CH4">
        <v>75.1</v>
      </c>
      <c r="CI4" s="5">
        <v>46186</v>
      </c>
      <c r="CJ4">
        <v>59</v>
      </c>
      <c r="CK4">
        <v>0</v>
      </c>
      <c r="CL4">
        <v>0</v>
      </c>
      <c r="CM4">
        <v>0</v>
      </c>
      <c r="CN4">
        <v>6</v>
      </c>
      <c r="CO4">
        <v>189</v>
      </c>
      <c r="CP4" t="s">
        <v>347</v>
      </c>
      <c r="CQ4" t="s">
        <v>348</v>
      </c>
    </row>
    <row r="5" spans="1:98">
      <c r="A5" s="5">
        <v>46188</v>
      </c>
      <c r="B5" t="s">
        <v>361</v>
      </c>
      <c r="C5" t="s">
        <v>201</v>
      </c>
      <c r="D5" t="s">
        <v>362</v>
      </c>
      <c r="E5" t="s">
        <v>363</v>
      </c>
      <c r="F5" t="s">
        <v>337</v>
      </c>
      <c r="G5">
        <v>3462</v>
      </c>
      <c r="H5">
        <v>0</v>
      </c>
      <c r="I5">
        <v>5400</v>
      </c>
      <c r="J5">
        <v>0</v>
      </c>
      <c r="K5">
        <v>0</v>
      </c>
      <c r="L5">
        <v>0</v>
      </c>
      <c r="M5">
        <v>0</v>
      </c>
      <c r="N5">
        <v>0</v>
      </c>
      <c r="O5" t="s">
        <v>338</v>
      </c>
      <c r="P5">
        <v>495</v>
      </c>
      <c r="Q5">
        <v>1928</v>
      </c>
      <c r="R5">
        <v>3671</v>
      </c>
      <c r="S5">
        <v>5598</v>
      </c>
      <c r="U5">
        <v>15.99</v>
      </c>
      <c r="V5">
        <v>0</v>
      </c>
      <c r="W5">
        <v>15.99</v>
      </c>
      <c r="X5">
        <v>0</v>
      </c>
      <c r="Y5" t="s">
        <v>359</v>
      </c>
      <c r="AA5">
        <v>0</v>
      </c>
      <c r="AB5">
        <v>0</v>
      </c>
      <c r="AC5">
        <v>0</v>
      </c>
      <c r="AD5">
        <v>0</v>
      </c>
      <c r="AE5">
        <v>1.89</v>
      </c>
      <c r="AF5">
        <v>0.08017</v>
      </c>
      <c r="AG5" t="s">
        <v>340</v>
      </c>
      <c r="AH5" t="s">
        <v>341</v>
      </c>
      <c r="AI5">
        <v>277.54854</v>
      </c>
      <c r="AJ5" t="s">
        <v>342</v>
      </c>
      <c r="AK5" t="s">
        <v>353</v>
      </c>
      <c r="AL5">
        <v>2409</v>
      </c>
      <c r="AM5">
        <v>95</v>
      </c>
      <c r="AN5">
        <v>0</v>
      </c>
      <c r="AO5">
        <v>22</v>
      </c>
      <c r="AP5">
        <v>24</v>
      </c>
      <c r="AQ5">
        <v>15.99</v>
      </c>
      <c r="AR5">
        <v>7910.57</v>
      </c>
      <c r="AS5">
        <v>30884.24</v>
      </c>
      <c r="AT5">
        <v>58227.21</v>
      </c>
      <c r="AU5">
        <v>88067.54</v>
      </c>
      <c r="AV5">
        <v>5400</v>
      </c>
      <c r="AW5">
        <v>0</v>
      </c>
      <c r="AX5">
        <v>0</v>
      </c>
      <c r="AY5">
        <v>0</v>
      </c>
      <c r="AZ5">
        <v>0</v>
      </c>
      <c r="BA5">
        <v>296.7</v>
      </c>
      <c r="BB5">
        <v>7301</v>
      </c>
      <c r="BC5">
        <v>3744</v>
      </c>
      <c r="BD5">
        <v>3216</v>
      </c>
      <c r="BE5">
        <v>341</v>
      </c>
      <c r="BG5">
        <v>1418</v>
      </c>
      <c r="BH5">
        <v>5</v>
      </c>
      <c r="BY5">
        <v>59.4</v>
      </c>
      <c r="BZ5">
        <v>3707</v>
      </c>
      <c r="CA5" t="s">
        <v>360</v>
      </c>
      <c r="CD5" s="5">
        <v>46188</v>
      </c>
      <c r="CE5" t="s">
        <v>346</v>
      </c>
      <c r="CF5" t="s">
        <v>346</v>
      </c>
      <c r="CG5">
        <v>59.4</v>
      </c>
      <c r="CH5">
        <v>41.1</v>
      </c>
      <c r="CI5" s="5">
        <v>46185</v>
      </c>
      <c r="CJ5">
        <v>11575</v>
      </c>
      <c r="CK5">
        <v>812</v>
      </c>
      <c r="CL5">
        <v>156</v>
      </c>
      <c r="CM5">
        <v>13</v>
      </c>
      <c r="CN5">
        <v>1249</v>
      </c>
      <c r="CO5">
        <v>170</v>
      </c>
      <c r="CQ5" t="s">
        <v>348</v>
      </c>
    </row>
    <row r="6" spans="1:98">
      <c r="A6" s="5">
        <v>46188</v>
      </c>
      <c r="B6" t="s">
        <v>364</v>
      </c>
      <c r="C6" t="s">
        <v>365</v>
      </c>
      <c r="D6" t="s">
        <v>366</v>
      </c>
      <c r="E6" t="s">
        <v>367</v>
      </c>
      <c r="G6">
        <v>0</v>
      </c>
      <c r="H6">
        <v>-1</v>
      </c>
      <c r="O6" t="s">
        <v>338</v>
      </c>
      <c r="U6">
        <v>0</v>
      </c>
      <c r="V6">
        <v>0</v>
      </c>
      <c r="W6">
        <v>0</v>
      </c>
      <c r="X6">
        <v>0</v>
      </c>
      <c r="Y6" t="s">
        <v>359</v>
      </c>
      <c r="AB6">
        <v>0</v>
      </c>
      <c r="AC6">
        <v>0</v>
      </c>
      <c r="AE6">
        <v>-1</v>
      </c>
      <c r="AH6" t="s">
        <v>341</v>
      </c>
      <c r="AJ6" t="s">
        <v>342</v>
      </c>
      <c r="AK6" t="s">
        <v>353</v>
      </c>
      <c r="AM6">
        <v>0</v>
      </c>
      <c r="AN6">
        <v>0</v>
      </c>
      <c r="AQ6">
        <v>26.99</v>
      </c>
      <c r="AY6">
        <v>0</v>
      </c>
      <c r="BB6">
        <v>0</v>
      </c>
      <c r="BC6">
        <v>0</v>
      </c>
      <c r="BD6">
        <v>0</v>
      </c>
      <c r="BE6">
        <v>0</v>
      </c>
      <c r="BG6">
        <v>0</v>
      </c>
      <c r="BH6">
        <v>0</v>
      </c>
      <c r="CJ6">
        <v>0</v>
      </c>
      <c r="CK6">
        <v>0</v>
      </c>
      <c r="CL6">
        <v>0</v>
      </c>
      <c r="CM6">
        <v>0</v>
      </c>
      <c r="CN6">
        <v>0</v>
      </c>
      <c r="CO6">
        <v>0</v>
      </c>
      <c r="CP6" t="s">
        <v>347</v>
      </c>
      <c r="CQ6" t="s">
        <v>348</v>
      </c>
    </row>
    <row r="7" spans="1:98">
      <c r="A7" s="5">
        <v>46188</v>
      </c>
      <c r="B7" t="s">
        <v>368</v>
      </c>
      <c r="C7" t="s">
        <v>369</v>
      </c>
      <c r="D7" t="s">
        <v>370</v>
      </c>
      <c r="E7" t="s">
        <v>371</v>
      </c>
      <c r="F7" t="s">
        <v>337</v>
      </c>
      <c r="G7">
        <v>0</v>
      </c>
      <c r="H7">
        <v>-1</v>
      </c>
      <c r="O7" t="s">
        <v>338</v>
      </c>
      <c r="U7">
        <v>65.99</v>
      </c>
      <c r="V7">
        <v>0</v>
      </c>
      <c r="W7">
        <v>0</v>
      </c>
      <c r="X7">
        <v>0</v>
      </c>
      <c r="Y7" t="s">
        <v>372</v>
      </c>
      <c r="AB7">
        <v>0</v>
      </c>
      <c r="AC7">
        <v>0</v>
      </c>
      <c r="AE7">
        <v>-1</v>
      </c>
      <c r="AH7" t="s">
        <v>341</v>
      </c>
      <c r="AJ7" t="s">
        <v>342</v>
      </c>
      <c r="AK7" t="s">
        <v>353</v>
      </c>
      <c r="AN7">
        <v>0</v>
      </c>
      <c r="AY7">
        <v>0</v>
      </c>
      <c r="BB7">
        <v>15</v>
      </c>
      <c r="BC7">
        <v>15</v>
      </c>
      <c r="BD7">
        <v>0</v>
      </c>
      <c r="BE7">
        <v>0</v>
      </c>
      <c r="BG7">
        <v>0</v>
      </c>
      <c r="BH7">
        <v>0</v>
      </c>
      <c r="CJ7">
        <v>15</v>
      </c>
      <c r="CK7">
        <v>0</v>
      </c>
      <c r="CL7">
        <v>0</v>
      </c>
      <c r="CM7">
        <v>0</v>
      </c>
      <c r="CN7">
        <v>0</v>
      </c>
      <c r="CP7" t="s">
        <v>347</v>
      </c>
      <c r="CQ7" t="s">
        <v>348</v>
      </c>
    </row>
    <row r="8" spans="1:98">
      <c r="A8" s="5">
        <v>46188</v>
      </c>
      <c r="B8" t="s">
        <v>373</v>
      </c>
      <c r="C8" t="s">
        <v>374</v>
      </c>
      <c r="D8" t="s">
        <v>375</v>
      </c>
      <c r="E8" t="s">
        <v>376</v>
      </c>
      <c r="G8">
        <v>0</v>
      </c>
      <c r="H8">
        <v>-1</v>
      </c>
      <c r="O8" t="s">
        <v>338</v>
      </c>
      <c r="U8">
        <v>0</v>
      </c>
      <c r="V8">
        <v>0</v>
      </c>
      <c r="W8">
        <v>0</v>
      </c>
      <c r="X8">
        <v>0</v>
      </c>
      <c r="Y8" t="s">
        <v>359</v>
      </c>
      <c r="AB8">
        <v>0</v>
      </c>
      <c r="AC8">
        <v>0</v>
      </c>
      <c r="AE8">
        <v>-1</v>
      </c>
      <c r="AH8" t="s">
        <v>377</v>
      </c>
      <c r="AJ8" t="s">
        <v>342</v>
      </c>
      <c r="AK8" t="s">
        <v>378</v>
      </c>
      <c r="AN8">
        <v>0</v>
      </c>
      <c r="AY8">
        <v>0</v>
      </c>
      <c r="BB8">
        <v>0</v>
      </c>
      <c r="BG8">
        <v>0</v>
      </c>
      <c r="BH8">
        <v>0</v>
      </c>
      <c r="CJ8">
        <v>0</v>
      </c>
      <c r="CK8">
        <v>0</v>
      </c>
      <c r="CL8">
        <v>0</v>
      </c>
      <c r="CM8">
        <v>0</v>
      </c>
      <c r="CN8">
        <v>0</v>
      </c>
      <c r="CP8" t="s">
        <v>347</v>
      </c>
      <c r="CQ8" t="s">
        <v>348</v>
      </c>
    </row>
    <row r="9" spans="1:98">
      <c r="A9" s="5">
        <v>46188</v>
      </c>
      <c r="B9" t="s">
        <v>379</v>
      </c>
      <c r="C9" t="s">
        <v>380</v>
      </c>
      <c r="D9" t="s">
        <v>381</v>
      </c>
      <c r="E9" t="s">
        <v>382</v>
      </c>
      <c r="G9">
        <v>0</v>
      </c>
      <c r="H9">
        <v>-1</v>
      </c>
      <c r="O9" t="s">
        <v>338</v>
      </c>
      <c r="U9">
        <v>0</v>
      </c>
      <c r="V9">
        <v>0</v>
      </c>
      <c r="W9">
        <v>0</v>
      </c>
      <c r="X9">
        <v>0</v>
      </c>
      <c r="Y9" t="s">
        <v>359</v>
      </c>
      <c r="AB9">
        <v>0</v>
      </c>
      <c r="AC9">
        <v>0</v>
      </c>
      <c r="AE9">
        <v>-1</v>
      </c>
      <c r="AH9" t="s">
        <v>377</v>
      </c>
      <c r="AJ9" t="s">
        <v>342</v>
      </c>
      <c r="AK9" t="s">
        <v>353</v>
      </c>
      <c r="AN9">
        <v>0</v>
      </c>
      <c r="AY9">
        <v>0</v>
      </c>
      <c r="BB9">
        <v>0</v>
      </c>
      <c r="BG9">
        <v>0</v>
      </c>
      <c r="BH9">
        <v>0</v>
      </c>
      <c r="CJ9">
        <v>0</v>
      </c>
      <c r="CK9">
        <v>0</v>
      </c>
      <c r="CL9">
        <v>0</v>
      </c>
      <c r="CM9">
        <v>0</v>
      </c>
      <c r="CN9">
        <v>0</v>
      </c>
      <c r="CP9" t="s">
        <v>347</v>
      </c>
      <c r="CQ9" t="s">
        <v>348</v>
      </c>
    </row>
    <row r="10" spans="1:98">
      <c r="A10" s="5">
        <v>46188</v>
      </c>
      <c r="B10" t="s">
        <v>383</v>
      </c>
      <c r="C10" t="s">
        <v>384</v>
      </c>
      <c r="D10" t="s">
        <v>385</v>
      </c>
      <c r="E10" t="s">
        <v>386</v>
      </c>
      <c r="G10">
        <v>0</v>
      </c>
      <c r="H10">
        <v>-1</v>
      </c>
      <c r="O10" t="s">
        <v>338</v>
      </c>
      <c r="U10">
        <v>0</v>
      </c>
      <c r="V10">
        <v>0</v>
      </c>
      <c r="W10">
        <v>0</v>
      </c>
      <c r="X10">
        <v>0</v>
      </c>
      <c r="Y10" t="s">
        <v>359</v>
      </c>
      <c r="AB10">
        <v>0</v>
      </c>
      <c r="AC10">
        <v>0</v>
      </c>
      <c r="AE10">
        <v>-1</v>
      </c>
      <c r="AJ10" t="s">
        <v>342</v>
      </c>
      <c r="AK10" t="s">
        <v>343</v>
      </c>
      <c r="AN10">
        <v>0</v>
      </c>
      <c r="AY10">
        <v>0</v>
      </c>
      <c r="BB10">
        <v>0</v>
      </c>
      <c r="BG10">
        <v>0</v>
      </c>
      <c r="BH10">
        <v>0</v>
      </c>
      <c r="CJ10">
        <v>0</v>
      </c>
      <c r="CK10">
        <v>0</v>
      </c>
      <c r="CL10">
        <v>0</v>
      </c>
      <c r="CM10">
        <v>0</v>
      </c>
      <c r="CN10">
        <v>0</v>
      </c>
      <c r="CP10" t="s">
        <v>347</v>
      </c>
      <c r="CQ10" t="s">
        <v>348</v>
      </c>
    </row>
    <row r="11" spans="1:98">
      <c r="A11" s="5">
        <v>46188</v>
      </c>
      <c r="B11" t="s">
        <v>387</v>
      </c>
      <c r="C11" t="s">
        <v>388</v>
      </c>
      <c r="D11" t="s">
        <v>389</v>
      </c>
      <c r="E11" t="s">
        <v>390</v>
      </c>
      <c r="F11" t="s">
        <v>337</v>
      </c>
      <c r="G11">
        <v>9</v>
      </c>
      <c r="H11">
        <v>0</v>
      </c>
      <c r="I11">
        <v>0</v>
      </c>
      <c r="J11">
        <v>0</v>
      </c>
      <c r="K11">
        <v>0</v>
      </c>
      <c r="L11">
        <v>0</v>
      </c>
      <c r="M11">
        <v>9</v>
      </c>
      <c r="N11">
        <v>0</v>
      </c>
      <c r="O11" t="s">
        <v>338</v>
      </c>
      <c r="P11">
        <v>0</v>
      </c>
      <c r="Q11">
        <v>0</v>
      </c>
      <c r="R11">
        <v>0</v>
      </c>
      <c r="S11">
        <v>0</v>
      </c>
      <c r="T11" t="s">
        <v>351</v>
      </c>
      <c r="U11">
        <v>26.99</v>
      </c>
      <c r="V11">
        <v>0</v>
      </c>
      <c r="W11">
        <v>21.59</v>
      </c>
      <c r="X11">
        <v>0</v>
      </c>
      <c r="Y11" t="s">
        <v>391</v>
      </c>
      <c r="AA11">
        <v>0</v>
      </c>
      <c r="AB11">
        <v>0</v>
      </c>
      <c r="AC11">
        <v>0</v>
      </c>
      <c r="AD11">
        <v>323.05</v>
      </c>
      <c r="AE11">
        <v>0</v>
      </c>
      <c r="AF11">
        <v>0.112375</v>
      </c>
      <c r="AG11" t="s">
        <v>340</v>
      </c>
      <c r="AH11" t="s">
        <v>341</v>
      </c>
      <c r="AI11">
        <v>1.011375</v>
      </c>
      <c r="AJ11" t="s">
        <v>342</v>
      </c>
      <c r="AK11" t="s">
        <v>353</v>
      </c>
      <c r="AL11">
        <v>238733</v>
      </c>
      <c r="AM11">
        <v>366</v>
      </c>
      <c r="AN11">
        <v>9</v>
      </c>
      <c r="AQ11">
        <v>21.59</v>
      </c>
      <c r="AR11">
        <v>0</v>
      </c>
      <c r="AS11">
        <v>0</v>
      </c>
      <c r="AT11">
        <v>0</v>
      </c>
      <c r="AU11">
        <v>0</v>
      </c>
      <c r="AV11">
        <v>0</v>
      </c>
      <c r="AW11">
        <v>0</v>
      </c>
      <c r="AX11">
        <v>0</v>
      </c>
      <c r="AY11">
        <v>0</v>
      </c>
      <c r="AZ11">
        <v>0</v>
      </c>
      <c r="BA11">
        <v>7.64</v>
      </c>
      <c r="BB11">
        <v>0</v>
      </c>
      <c r="BC11">
        <v>0</v>
      </c>
      <c r="BD11">
        <v>0</v>
      </c>
      <c r="BE11">
        <v>0</v>
      </c>
      <c r="BG11">
        <v>0</v>
      </c>
      <c r="BH11">
        <v>0</v>
      </c>
      <c r="BI11">
        <v>0</v>
      </c>
      <c r="BJ11">
        <v>0</v>
      </c>
      <c r="BK11">
        <v>0</v>
      </c>
      <c r="BL11">
        <v>0</v>
      </c>
      <c r="BM11">
        <v>0</v>
      </c>
      <c r="BN11">
        <v>0</v>
      </c>
      <c r="BO11">
        <v>0</v>
      </c>
      <c r="BP11">
        <v>0</v>
      </c>
      <c r="BQ11">
        <v>0</v>
      </c>
      <c r="BR11">
        <v>0</v>
      </c>
      <c r="BS11">
        <v>0</v>
      </c>
      <c r="BT11">
        <v>0</v>
      </c>
      <c r="BU11">
        <v>9</v>
      </c>
      <c r="BV11">
        <v>6.99</v>
      </c>
      <c r="BW11">
        <v>0</v>
      </c>
      <c r="BX11">
        <v>0</v>
      </c>
      <c r="BZ11">
        <v>1</v>
      </c>
      <c r="CA11" t="s">
        <v>354</v>
      </c>
      <c r="CI11" s="5">
        <v>46185</v>
      </c>
      <c r="CJ11">
        <v>9</v>
      </c>
      <c r="CK11">
        <v>0</v>
      </c>
      <c r="CL11">
        <v>0</v>
      </c>
      <c r="CM11">
        <v>0</v>
      </c>
      <c r="CN11">
        <v>0</v>
      </c>
      <c r="CO11">
        <v>366</v>
      </c>
      <c r="CP11" t="s">
        <v>347</v>
      </c>
      <c r="CQ11" t="s">
        <v>348</v>
      </c>
    </row>
    <row r="12" spans="1:98">
      <c r="A12" s="5">
        <v>46188</v>
      </c>
      <c r="B12" t="s">
        <v>392</v>
      </c>
      <c r="C12" t="s">
        <v>393</v>
      </c>
      <c r="D12" t="s">
        <v>394</v>
      </c>
      <c r="E12" t="s">
        <v>395</v>
      </c>
      <c r="G12">
        <v>0</v>
      </c>
      <c r="H12">
        <v>-1</v>
      </c>
      <c r="O12" t="s">
        <v>338</v>
      </c>
      <c r="U12">
        <v>0</v>
      </c>
      <c r="V12">
        <v>0</v>
      </c>
      <c r="W12">
        <v>0</v>
      </c>
      <c r="X12">
        <v>0</v>
      </c>
      <c r="Y12" t="s">
        <v>359</v>
      </c>
      <c r="AB12">
        <v>0</v>
      </c>
      <c r="AC12">
        <v>0</v>
      </c>
      <c r="AE12">
        <v>-1</v>
      </c>
      <c r="AJ12" t="s">
        <v>342</v>
      </c>
      <c r="AK12" t="s">
        <v>353</v>
      </c>
      <c r="AN12">
        <v>0</v>
      </c>
      <c r="AY12">
        <v>0</v>
      </c>
      <c r="BB12">
        <v>0</v>
      </c>
      <c r="BG12">
        <v>0</v>
      </c>
      <c r="BH12">
        <v>0</v>
      </c>
      <c r="CJ12">
        <v>0</v>
      </c>
      <c r="CK12">
        <v>0</v>
      </c>
      <c r="CL12">
        <v>0</v>
      </c>
      <c r="CM12">
        <v>0</v>
      </c>
      <c r="CN12">
        <v>0</v>
      </c>
      <c r="CP12" t="s">
        <v>347</v>
      </c>
      <c r="CQ12" t="s">
        <v>348</v>
      </c>
    </row>
    <row r="13" spans="1:98">
      <c r="A13" s="5">
        <v>46188</v>
      </c>
      <c r="B13" t="s">
        <v>396</v>
      </c>
      <c r="C13" t="s">
        <v>397</v>
      </c>
      <c r="D13" t="s">
        <v>398</v>
      </c>
      <c r="E13" t="s">
        <v>399</v>
      </c>
      <c r="G13">
        <v>0</v>
      </c>
      <c r="H13">
        <v>-1</v>
      </c>
      <c r="O13" t="s">
        <v>338</v>
      </c>
      <c r="U13">
        <v>0</v>
      </c>
      <c r="V13">
        <v>0</v>
      </c>
      <c r="W13">
        <v>0</v>
      </c>
      <c r="X13">
        <v>0</v>
      </c>
      <c r="Y13" t="s">
        <v>359</v>
      </c>
      <c r="AB13">
        <v>0</v>
      </c>
      <c r="AC13">
        <v>0</v>
      </c>
      <c r="AE13">
        <v>-1</v>
      </c>
      <c r="AH13" t="s">
        <v>341</v>
      </c>
      <c r="AJ13" t="s">
        <v>342</v>
      </c>
      <c r="AK13" t="s">
        <v>353</v>
      </c>
      <c r="AM13">
        <v>0</v>
      </c>
      <c r="AN13">
        <v>0</v>
      </c>
      <c r="AQ13">
        <v>13.8</v>
      </c>
      <c r="AY13">
        <v>0</v>
      </c>
      <c r="BB13">
        <v>0</v>
      </c>
      <c r="BG13">
        <v>0</v>
      </c>
      <c r="BH13">
        <v>0</v>
      </c>
      <c r="CJ13">
        <v>0</v>
      </c>
      <c r="CK13">
        <v>0</v>
      </c>
      <c r="CL13">
        <v>0</v>
      </c>
      <c r="CM13">
        <v>0</v>
      </c>
      <c r="CN13">
        <v>0</v>
      </c>
      <c r="CO13">
        <v>0</v>
      </c>
      <c r="CP13" t="s">
        <v>347</v>
      </c>
      <c r="CQ13" t="s">
        <v>348</v>
      </c>
    </row>
    <row r="14" spans="1:98">
      <c r="A14" s="5">
        <v>46188</v>
      </c>
      <c r="B14" t="s">
        <v>400</v>
      </c>
      <c r="C14" t="s">
        <v>401</v>
      </c>
      <c r="D14" t="s">
        <v>402</v>
      </c>
      <c r="E14" t="s">
        <v>403</v>
      </c>
      <c r="G14">
        <v>0</v>
      </c>
      <c r="H14">
        <v>-1</v>
      </c>
      <c r="O14" t="s">
        <v>338</v>
      </c>
      <c r="U14">
        <v>0</v>
      </c>
      <c r="V14">
        <v>0</v>
      </c>
      <c r="W14">
        <v>0</v>
      </c>
      <c r="X14">
        <v>0</v>
      </c>
      <c r="Y14" t="s">
        <v>359</v>
      </c>
      <c r="AB14">
        <v>0</v>
      </c>
      <c r="AC14">
        <v>0</v>
      </c>
      <c r="AE14">
        <v>-1</v>
      </c>
      <c r="AH14" t="s">
        <v>341</v>
      </c>
      <c r="AJ14" t="s">
        <v>342</v>
      </c>
      <c r="AK14" t="s">
        <v>404</v>
      </c>
      <c r="AM14">
        <v>0</v>
      </c>
      <c r="AN14">
        <v>0</v>
      </c>
      <c r="AQ14">
        <v>5.99</v>
      </c>
      <c r="AY14">
        <v>0</v>
      </c>
      <c r="BB14">
        <v>0</v>
      </c>
      <c r="BC14">
        <v>0</v>
      </c>
      <c r="BD14">
        <v>0</v>
      </c>
      <c r="BE14">
        <v>0</v>
      </c>
      <c r="BG14">
        <v>0</v>
      </c>
      <c r="BH14">
        <v>0</v>
      </c>
      <c r="CJ14">
        <v>0</v>
      </c>
      <c r="CK14">
        <v>0</v>
      </c>
      <c r="CL14">
        <v>0</v>
      </c>
      <c r="CM14">
        <v>0</v>
      </c>
      <c r="CN14">
        <v>0</v>
      </c>
      <c r="CO14">
        <v>0</v>
      </c>
      <c r="CP14" t="s">
        <v>347</v>
      </c>
      <c r="CQ14" t="s">
        <v>348</v>
      </c>
    </row>
    <row r="15" spans="1:98">
      <c r="A15" s="5">
        <v>46188</v>
      </c>
      <c r="B15" t="s">
        <v>405</v>
      </c>
      <c r="C15" t="s">
        <v>406</v>
      </c>
      <c r="D15" t="s">
        <v>407</v>
      </c>
      <c r="E15" t="s">
        <v>408</v>
      </c>
      <c r="F15" t="s">
        <v>337</v>
      </c>
      <c r="G15">
        <v>23</v>
      </c>
      <c r="H15">
        <v>0</v>
      </c>
      <c r="I15">
        <v>0</v>
      </c>
      <c r="J15">
        <v>23</v>
      </c>
      <c r="K15">
        <v>0</v>
      </c>
      <c r="L15">
        <v>0</v>
      </c>
      <c r="M15">
        <v>0</v>
      </c>
      <c r="N15">
        <v>0</v>
      </c>
      <c r="O15" t="s">
        <v>338</v>
      </c>
      <c r="P15">
        <v>0</v>
      </c>
      <c r="Q15">
        <v>0</v>
      </c>
      <c r="R15">
        <v>0</v>
      </c>
      <c r="S15">
        <v>1</v>
      </c>
      <c r="T15" t="s">
        <v>409</v>
      </c>
      <c r="U15">
        <v>40.99</v>
      </c>
      <c r="V15">
        <v>0</v>
      </c>
      <c r="W15">
        <v>31.99</v>
      </c>
      <c r="X15">
        <v>0</v>
      </c>
      <c r="Y15" t="s">
        <v>391</v>
      </c>
      <c r="AB15">
        <v>0</v>
      </c>
      <c r="AC15">
        <v>0</v>
      </c>
      <c r="AE15">
        <v>0.32</v>
      </c>
      <c r="AF15">
        <v>0.266389</v>
      </c>
      <c r="AG15" t="s">
        <v>340</v>
      </c>
      <c r="AH15" t="s">
        <v>341</v>
      </c>
      <c r="AI15">
        <v>6.126947</v>
      </c>
      <c r="AJ15" t="s">
        <v>342</v>
      </c>
      <c r="AK15" t="s">
        <v>353</v>
      </c>
      <c r="AL15">
        <v>2409</v>
      </c>
      <c r="AM15">
        <v>87</v>
      </c>
      <c r="AN15">
        <v>0</v>
      </c>
      <c r="AP15">
        <v>299</v>
      </c>
      <c r="AQ15">
        <v>31.99</v>
      </c>
      <c r="AR15">
        <v>0</v>
      </c>
      <c r="AS15">
        <v>0</v>
      </c>
      <c r="AT15">
        <v>0</v>
      </c>
      <c r="AU15">
        <v>40.99</v>
      </c>
      <c r="AV15">
        <v>0</v>
      </c>
      <c r="AW15">
        <v>0</v>
      </c>
      <c r="AX15">
        <v>0</v>
      </c>
      <c r="AY15">
        <v>0</v>
      </c>
      <c r="AZ15">
        <v>0</v>
      </c>
      <c r="BB15">
        <v>0</v>
      </c>
      <c r="BC15">
        <v>0</v>
      </c>
      <c r="BD15">
        <v>0</v>
      </c>
      <c r="BE15">
        <v>0</v>
      </c>
      <c r="BG15">
        <v>0</v>
      </c>
      <c r="BH15">
        <v>0</v>
      </c>
      <c r="BZ15">
        <v>1</v>
      </c>
      <c r="CA15" t="s">
        <v>360</v>
      </c>
      <c r="CH15">
        <v>2080</v>
      </c>
      <c r="CI15" s="5">
        <v>46186</v>
      </c>
      <c r="CJ15">
        <v>23</v>
      </c>
      <c r="CK15">
        <v>0</v>
      </c>
      <c r="CL15">
        <v>0</v>
      </c>
      <c r="CM15">
        <v>0</v>
      </c>
      <c r="CN15">
        <v>0</v>
      </c>
      <c r="CO15">
        <v>87</v>
      </c>
      <c r="CP15" t="s">
        <v>347</v>
      </c>
      <c r="CQ15" t="s">
        <v>348</v>
      </c>
    </row>
    <row r="16" spans="1:98">
      <c r="A16" s="5">
        <v>46188</v>
      </c>
      <c r="B16" t="s">
        <v>410</v>
      </c>
      <c r="C16" t="s">
        <v>128</v>
      </c>
      <c r="D16" t="s">
        <v>411</v>
      </c>
      <c r="E16" t="s">
        <v>412</v>
      </c>
      <c r="G16">
        <v>0</v>
      </c>
      <c r="H16">
        <v>-1</v>
      </c>
      <c r="O16" t="s">
        <v>338</v>
      </c>
      <c r="U16">
        <v>0</v>
      </c>
      <c r="V16">
        <v>0</v>
      </c>
      <c r="W16">
        <v>0</v>
      </c>
      <c r="X16">
        <v>0</v>
      </c>
      <c r="Y16" t="s">
        <v>359</v>
      </c>
      <c r="AB16">
        <v>0</v>
      </c>
      <c r="AC16">
        <v>0</v>
      </c>
      <c r="AE16">
        <v>-1</v>
      </c>
      <c r="AJ16" t="s">
        <v>342</v>
      </c>
      <c r="AK16" t="s">
        <v>353</v>
      </c>
      <c r="AL16">
        <v>26497</v>
      </c>
      <c r="AM16">
        <v>0</v>
      </c>
      <c r="AN16">
        <v>0</v>
      </c>
      <c r="AQ16">
        <v>19.99</v>
      </c>
      <c r="AY16">
        <v>0</v>
      </c>
      <c r="BB16">
        <v>0</v>
      </c>
      <c r="BG16">
        <v>0</v>
      </c>
      <c r="BH16">
        <v>0</v>
      </c>
      <c r="CJ16">
        <v>0</v>
      </c>
      <c r="CK16">
        <v>0</v>
      </c>
      <c r="CL16">
        <v>0</v>
      </c>
      <c r="CM16">
        <v>0</v>
      </c>
      <c r="CN16">
        <v>0</v>
      </c>
      <c r="CO16">
        <v>0</v>
      </c>
      <c r="CQ16" t="s">
        <v>348</v>
      </c>
    </row>
    <row r="17" spans="1:95">
      <c r="A17" s="5">
        <v>46188</v>
      </c>
      <c r="B17" t="s">
        <v>413</v>
      </c>
      <c r="C17" t="s">
        <v>219</v>
      </c>
      <c r="D17" t="s">
        <v>414</v>
      </c>
      <c r="E17" t="s">
        <v>415</v>
      </c>
      <c r="G17">
        <v>0</v>
      </c>
      <c r="H17">
        <v>-1</v>
      </c>
      <c r="O17" t="s">
        <v>338</v>
      </c>
      <c r="U17">
        <v>0</v>
      </c>
      <c r="V17">
        <v>0</v>
      </c>
      <c r="W17">
        <v>0</v>
      </c>
      <c r="X17">
        <v>0</v>
      </c>
      <c r="Y17" t="s">
        <v>359</v>
      </c>
      <c r="AB17">
        <v>0</v>
      </c>
      <c r="AC17">
        <v>0</v>
      </c>
      <c r="AE17">
        <v>-1</v>
      </c>
      <c r="AH17" t="s">
        <v>341</v>
      </c>
      <c r="AJ17" t="s">
        <v>342</v>
      </c>
      <c r="AK17" t="s">
        <v>343</v>
      </c>
      <c r="AM17">
        <v>0</v>
      </c>
      <c r="AN17">
        <v>0</v>
      </c>
      <c r="AQ17">
        <v>18.85</v>
      </c>
      <c r="AY17">
        <v>0</v>
      </c>
      <c r="BB17">
        <v>0</v>
      </c>
      <c r="BC17">
        <v>0</v>
      </c>
      <c r="BD17">
        <v>0</v>
      </c>
      <c r="BE17">
        <v>0</v>
      </c>
      <c r="BG17">
        <v>0</v>
      </c>
      <c r="BH17">
        <v>0</v>
      </c>
      <c r="CJ17">
        <v>0</v>
      </c>
      <c r="CK17">
        <v>0</v>
      </c>
      <c r="CL17">
        <v>0</v>
      </c>
      <c r="CM17">
        <v>0</v>
      </c>
      <c r="CN17">
        <v>0</v>
      </c>
      <c r="CO17">
        <v>0</v>
      </c>
      <c r="CP17" t="s">
        <v>347</v>
      </c>
      <c r="CQ17" t="s">
        <v>348</v>
      </c>
    </row>
    <row r="18" spans="1:95">
      <c r="A18" s="5">
        <v>46188</v>
      </c>
      <c r="B18" t="s">
        <v>416</v>
      </c>
      <c r="C18" t="s">
        <v>417</v>
      </c>
      <c r="D18" t="s">
        <v>418</v>
      </c>
      <c r="E18" t="s">
        <v>419</v>
      </c>
      <c r="G18">
        <v>0</v>
      </c>
      <c r="H18">
        <v>0</v>
      </c>
      <c r="I18">
        <v>19</v>
      </c>
      <c r="J18">
        <v>0</v>
      </c>
      <c r="K18">
        <v>0</v>
      </c>
      <c r="L18">
        <v>0</v>
      </c>
      <c r="M18">
        <v>0</v>
      </c>
      <c r="N18">
        <v>0</v>
      </c>
      <c r="O18" t="s">
        <v>338</v>
      </c>
      <c r="U18">
        <v>0</v>
      </c>
      <c r="V18">
        <v>0</v>
      </c>
      <c r="W18">
        <v>0</v>
      </c>
      <c r="X18">
        <v>0</v>
      </c>
      <c r="Y18" t="s">
        <v>359</v>
      </c>
      <c r="AB18">
        <v>0</v>
      </c>
      <c r="AC18">
        <v>0</v>
      </c>
      <c r="AE18">
        <v>0</v>
      </c>
      <c r="AF18">
        <v>0.038098</v>
      </c>
      <c r="AG18" t="s">
        <v>340</v>
      </c>
      <c r="AH18" t="s">
        <v>341</v>
      </c>
      <c r="AI18">
        <v>0</v>
      </c>
      <c r="AJ18" t="s">
        <v>342</v>
      </c>
      <c r="AK18" t="s">
        <v>353</v>
      </c>
      <c r="AM18">
        <v>0</v>
      </c>
      <c r="AN18">
        <v>0</v>
      </c>
      <c r="AQ18">
        <v>22.99</v>
      </c>
      <c r="AV18">
        <v>0</v>
      </c>
      <c r="AW18">
        <v>19</v>
      </c>
      <c r="AX18">
        <v>0</v>
      </c>
      <c r="AY18">
        <v>0</v>
      </c>
      <c r="AZ18">
        <v>0</v>
      </c>
      <c r="BB18">
        <v>0</v>
      </c>
      <c r="BC18">
        <v>0</v>
      </c>
      <c r="BD18">
        <v>0</v>
      </c>
      <c r="BE18">
        <v>0</v>
      </c>
      <c r="BG18">
        <v>19</v>
      </c>
      <c r="BH18">
        <v>0</v>
      </c>
      <c r="CI18" s="5">
        <v>46186</v>
      </c>
      <c r="CJ18">
        <v>0</v>
      </c>
      <c r="CK18">
        <v>0</v>
      </c>
      <c r="CL18">
        <v>0</v>
      </c>
      <c r="CM18">
        <v>0</v>
      </c>
      <c r="CN18">
        <v>19</v>
      </c>
      <c r="CO18">
        <v>85</v>
      </c>
      <c r="CP18" t="s">
        <v>347</v>
      </c>
      <c r="CQ18" t="s">
        <v>348</v>
      </c>
    </row>
    <row r="19" spans="1:95">
      <c r="A19" s="5">
        <v>46188</v>
      </c>
      <c r="B19" t="s">
        <v>420</v>
      </c>
      <c r="C19" t="s">
        <v>421</v>
      </c>
      <c r="D19" t="s">
        <v>422</v>
      </c>
      <c r="E19" t="s">
        <v>423</v>
      </c>
      <c r="G19">
        <v>0</v>
      </c>
      <c r="H19">
        <v>-1</v>
      </c>
      <c r="O19" t="s">
        <v>338</v>
      </c>
      <c r="P19">
        <v>0</v>
      </c>
      <c r="Q19">
        <v>0</v>
      </c>
      <c r="R19">
        <v>0</v>
      </c>
      <c r="S19">
        <v>0</v>
      </c>
      <c r="U19">
        <v>0</v>
      </c>
      <c r="V19">
        <v>0</v>
      </c>
      <c r="W19">
        <v>0</v>
      </c>
      <c r="X19">
        <v>0</v>
      </c>
      <c r="Y19" t="s">
        <v>359</v>
      </c>
      <c r="AB19">
        <v>0</v>
      </c>
      <c r="AC19">
        <v>0</v>
      </c>
      <c r="AE19">
        <v>-1</v>
      </c>
      <c r="AH19" t="s">
        <v>424</v>
      </c>
      <c r="AJ19" t="s">
        <v>342</v>
      </c>
      <c r="AK19" t="s">
        <v>353</v>
      </c>
      <c r="AL19">
        <v>192027</v>
      </c>
      <c r="AN19">
        <v>0</v>
      </c>
      <c r="AQ19">
        <v>79.99</v>
      </c>
      <c r="AR19">
        <v>0</v>
      </c>
      <c r="AS19">
        <v>0</v>
      </c>
      <c r="AT19">
        <v>0</v>
      </c>
      <c r="AU19">
        <v>0</v>
      </c>
      <c r="AY19">
        <v>0</v>
      </c>
      <c r="BB19">
        <v>0</v>
      </c>
      <c r="BC19">
        <v>0</v>
      </c>
      <c r="BD19">
        <v>0</v>
      </c>
      <c r="BE19">
        <v>0</v>
      </c>
      <c r="BG19">
        <v>0</v>
      </c>
      <c r="BH19">
        <v>0</v>
      </c>
      <c r="CJ19">
        <v>0</v>
      </c>
      <c r="CK19">
        <v>0</v>
      </c>
      <c r="CL19">
        <v>0</v>
      </c>
      <c r="CM19">
        <v>0</v>
      </c>
      <c r="CN19">
        <v>0</v>
      </c>
      <c r="CP19" t="s">
        <v>347</v>
      </c>
      <c r="CQ19" t="s">
        <v>348</v>
      </c>
    </row>
    <row r="20" spans="1:95">
      <c r="A20" s="5">
        <v>46188</v>
      </c>
      <c r="B20" t="s">
        <v>425</v>
      </c>
      <c r="C20" t="s">
        <v>426</v>
      </c>
      <c r="D20" t="s">
        <v>427</v>
      </c>
      <c r="E20" t="s">
        <v>428</v>
      </c>
      <c r="G20">
        <v>0</v>
      </c>
      <c r="H20">
        <v>-1</v>
      </c>
      <c r="O20" t="s">
        <v>338</v>
      </c>
      <c r="P20">
        <v>0</v>
      </c>
      <c r="Q20">
        <v>0</v>
      </c>
      <c r="R20">
        <v>0</v>
      </c>
      <c r="S20">
        <v>0</v>
      </c>
      <c r="U20">
        <v>0</v>
      </c>
      <c r="V20">
        <v>0</v>
      </c>
      <c r="W20">
        <v>0</v>
      </c>
      <c r="X20">
        <v>0</v>
      </c>
      <c r="Y20" t="s">
        <v>359</v>
      </c>
      <c r="AB20">
        <v>0</v>
      </c>
      <c r="AC20">
        <v>0</v>
      </c>
      <c r="AE20">
        <v>-1</v>
      </c>
      <c r="AH20" t="s">
        <v>341</v>
      </c>
      <c r="AJ20" t="s">
        <v>342</v>
      </c>
      <c r="AK20" t="s">
        <v>353</v>
      </c>
      <c r="AM20">
        <v>0</v>
      </c>
      <c r="AN20">
        <v>0</v>
      </c>
      <c r="AQ20">
        <v>22.49</v>
      </c>
      <c r="AR20">
        <v>0</v>
      </c>
      <c r="AS20">
        <v>0</v>
      </c>
      <c r="AT20">
        <v>0</v>
      </c>
      <c r="AU20">
        <v>0</v>
      </c>
      <c r="AY20">
        <v>0</v>
      </c>
      <c r="BB20">
        <v>0</v>
      </c>
      <c r="BC20">
        <v>0</v>
      </c>
      <c r="BD20">
        <v>0</v>
      </c>
      <c r="BE20">
        <v>0</v>
      </c>
      <c r="BG20">
        <v>0</v>
      </c>
      <c r="BH20">
        <v>0</v>
      </c>
      <c r="BZ20">
        <v>1</v>
      </c>
      <c r="CA20" t="s">
        <v>429</v>
      </c>
      <c r="CJ20">
        <v>0</v>
      </c>
      <c r="CK20">
        <v>0</v>
      </c>
      <c r="CL20">
        <v>0</v>
      </c>
      <c r="CM20">
        <v>0</v>
      </c>
      <c r="CN20">
        <v>0</v>
      </c>
      <c r="CO20">
        <v>0</v>
      </c>
      <c r="CP20" t="s">
        <v>347</v>
      </c>
      <c r="CQ20" t="s">
        <v>348</v>
      </c>
    </row>
    <row r="21" spans="1:95">
      <c r="A21" s="5">
        <v>46188</v>
      </c>
      <c r="B21" t="s">
        <v>430</v>
      </c>
      <c r="C21" t="s">
        <v>431</v>
      </c>
      <c r="D21" t="s">
        <v>432</v>
      </c>
      <c r="E21" t="s">
        <v>433</v>
      </c>
      <c r="F21" t="s">
        <v>337</v>
      </c>
      <c r="G21">
        <v>20</v>
      </c>
      <c r="H21">
        <v>0</v>
      </c>
      <c r="I21">
        <v>20</v>
      </c>
      <c r="J21">
        <v>0</v>
      </c>
      <c r="K21">
        <v>0</v>
      </c>
      <c r="L21">
        <v>0</v>
      </c>
      <c r="M21">
        <v>0</v>
      </c>
      <c r="N21">
        <v>0</v>
      </c>
      <c r="O21" t="s">
        <v>338</v>
      </c>
      <c r="T21" t="s">
        <v>409</v>
      </c>
      <c r="U21">
        <v>41.99</v>
      </c>
      <c r="V21">
        <v>0</v>
      </c>
      <c r="W21">
        <v>29.99</v>
      </c>
      <c r="X21">
        <v>0</v>
      </c>
      <c r="Y21" t="s">
        <v>391</v>
      </c>
      <c r="AA21">
        <v>0</v>
      </c>
      <c r="AB21">
        <v>0</v>
      </c>
      <c r="AC21">
        <v>0</v>
      </c>
      <c r="AD21">
        <v>0</v>
      </c>
      <c r="AE21">
        <v>0</v>
      </c>
      <c r="AF21">
        <v>0.091635</v>
      </c>
      <c r="AG21" t="s">
        <v>340</v>
      </c>
      <c r="AH21" t="s">
        <v>341</v>
      </c>
      <c r="AI21">
        <v>1.8327</v>
      </c>
      <c r="AJ21" t="s">
        <v>342</v>
      </c>
      <c r="AK21" t="s">
        <v>353</v>
      </c>
      <c r="AL21">
        <v>206385</v>
      </c>
      <c r="AM21">
        <v>28</v>
      </c>
      <c r="AN21">
        <v>0</v>
      </c>
      <c r="AQ21">
        <v>29.99</v>
      </c>
      <c r="AV21">
        <v>0</v>
      </c>
      <c r="AW21">
        <v>20</v>
      </c>
      <c r="AX21">
        <v>0</v>
      </c>
      <c r="AY21">
        <v>0</v>
      </c>
      <c r="AZ21">
        <v>0</v>
      </c>
      <c r="BA21">
        <v>1.31</v>
      </c>
      <c r="BB21">
        <v>0</v>
      </c>
      <c r="BC21">
        <v>0</v>
      </c>
      <c r="BD21">
        <v>0</v>
      </c>
      <c r="BE21">
        <v>0</v>
      </c>
      <c r="BG21">
        <v>0</v>
      </c>
      <c r="BH21">
        <v>0</v>
      </c>
      <c r="CI21" s="5">
        <v>46186</v>
      </c>
      <c r="CJ21">
        <v>20</v>
      </c>
      <c r="CK21">
        <v>0</v>
      </c>
      <c r="CL21">
        <v>0</v>
      </c>
      <c r="CM21">
        <v>0</v>
      </c>
      <c r="CN21">
        <v>0</v>
      </c>
      <c r="CO21">
        <v>28</v>
      </c>
      <c r="CP21" t="s">
        <v>347</v>
      </c>
      <c r="CQ21" t="s">
        <v>348</v>
      </c>
    </row>
    <row r="22" spans="1:95">
      <c r="A22" s="5">
        <v>46188</v>
      </c>
      <c r="B22" t="s">
        <v>434</v>
      </c>
      <c r="C22" t="s">
        <v>434</v>
      </c>
      <c r="D22" t="s">
        <v>435</v>
      </c>
      <c r="E22" t="s">
        <v>436</v>
      </c>
      <c r="G22">
        <v>0</v>
      </c>
      <c r="H22">
        <v>-1</v>
      </c>
      <c r="O22" t="s">
        <v>338</v>
      </c>
      <c r="U22">
        <v>0</v>
      </c>
      <c r="V22">
        <v>0</v>
      </c>
      <c r="W22">
        <v>0</v>
      </c>
      <c r="X22">
        <v>0</v>
      </c>
      <c r="Y22" t="s">
        <v>359</v>
      </c>
      <c r="AB22">
        <v>0</v>
      </c>
      <c r="AC22">
        <v>0</v>
      </c>
      <c r="AE22">
        <v>-1</v>
      </c>
      <c r="AJ22" t="s">
        <v>342</v>
      </c>
      <c r="AK22" t="s">
        <v>437</v>
      </c>
      <c r="AN22">
        <v>0</v>
      </c>
      <c r="AY22">
        <v>0</v>
      </c>
      <c r="BB22">
        <v>0</v>
      </c>
      <c r="BG22">
        <v>0</v>
      </c>
      <c r="BH22">
        <v>0</v>
      </c>
      <c r="CJ22">
        <v>0</v>
      </c>
      <c r="CK22">
        <v>0</v>
      </c>
      <c r="CL22">
        <v>0</v>
      </c>
      <c r="CM22">
        <v>0</v>
      </c>
      <c r="CN22">
        <v>0</v>
      </c>
      <c r="CP22" t="s">
        <v>347</v>
      </c>
      <c r="CQ22" t="s">
        <v>348</v>
      </c>
    </row>
    <row r="23" spans="1:95">
      <c r="A23" s="5">
        <v>46188</v>
      </c>
      <c r="B23" t="s">
        <v>438</v>
      </c>
      <c r="C23" t="s">
        <v>439</v>
      </c>
      <c r="D23" t="s">
        <v>440</v>
      </c>
      <c r="E23" t="s">
        <v>441</v>
      </c>
      <c r="G23">
        <v>0</v>
      </c>
      <c r="H23">
        <v>-1</v>
      </c>
      <c r="O23" t="s">
        <v>338</v>
      </c>
      <c r="U23">
        <v>0</v>
      </c>
      <c r="V23">
        <v>0</v>
      </c>
      <c r="W23">
        <v>0</v>
      </c>
      <c r="X23">
        <v>0</v>
      </c>
      <c r="Y23" t="s">
        <v>359</v>
      </c>
      <c r="AB23">
        <v>0</v>
      </c>
      <c r="AC23">
        <v>0</v>
      </c>
      <c r="AE23">
        <v>-1</v>
      </c>
      <c r="AH23" t="s">
        <v>341</v>
      </c>
      <c r="AJ23" t="s">
        <v>342</v>
      </c>
      <c r="AK23" t="s">
        <v>353</v>
      </c>
      <c r="AM23">
        <v>0</v>
      </c>
      <c r="AN23">
        <v>0</v>
      </c>
      <c r="AQ23">
        <v>15.99</v>
      </c>
      <c r="AY23">
        <v>0</v>
      </c>
      <c r="BB23">
        <v>0</v>
      </c>
      <c r="BC23">
        <v>0</v>
      </c>
      <c r="BD23">
        <v>0</v>
      </c>
      <c r="BE23">
        <v>0</v>
      </c>
      <c r="BG23">
        <v>0</v>
      </c>
      <c r="BH23">
        <v>0</v>
      </c>
      <c r="CJ23">
        <v>0</v>
      </c>
      <c r="CK23">
        <v>0</v>
      </c>
      <c r="CL23">
        <v>0</v>
      </c>
      <c r="CM23">
        <v>0</v>
      </c>
      <c r="CN23">
        <v>0</v>
      </c>
      <c r="CO23">
        <v>0</v>
      </c>
      <c r="CP23" t="s">
        <v>347</v>
      </c>
      <c r="CQ23" t="s">
        <v>348</v>
      </c>
    </row>
    <row r="24" spans="1:95">
      <c r="A24" s="5">
        <v>46188</v>
      </c>
      <c r="B24" t="s">
        <v>442</v>
      </c>
      <c r="C24" t="s">
        <v>442</v>
      </c>
      <c r="D24" t="s">
        <v>443</v>
      </c>
      <c r="E24" t="s">
        <v>444</v>
      </c>
      <c r="G24">
        <v>0</v>
      </c>
      <c r="H24">
        <v>-1</v>
      </c>
      <c r="O24" t="s">
        <v>338</v>
      </c>
      <c r="U24">
        <v>0</v>
      </c>
      <c r="V24">
        <v>0</v>
      </c>
      <c r="W24">
        <v>0</v>
      </c>
      <c r="X24">
        <v>0</v>
      </c>
      <c r="Y24" t="s">
        <v>359</v>
      </c>
      <c r="AB24">
        <v>0</v>
      </c>
      <c r="AC24">
        <v>0</v>
      </c>
      <c r="AE24">
        <v>-1</v>
      </c>
      <c r="AH24" t="s">
        <v>341</v>
      </c>
      <c r="AJ24" t="s">
        <v>342</v>
      </c>
      <c r="AK24" t="s">
        <v>353</v>
      </c>
      <c r="AM24">
        <v>0</v>
      </c>
      <c r="AN24">
        <v>0</v>
      </c>
      <c r="AQ24">
        <v>9.99</v>
      </c>
      <c r="AY24">
        <v>0</v>
      </c>
      <c r="BB24">
        <v>0</v>
      </c>
      <c r="BC24">
        <v>0</v>
      </c>
      <c r="BD24">
        <v>0</v>
      </c>
      <c r="BE24">
        <v>0</v>
      </c>
      <c r="BG24">
        <v>0</v>
      </c>
      <c r="BH24">
        <v>0</v>
      </c>
      <c r="CJ24">
        <v>0</v>
      </c>
      <c r="CK24">
        <v>0</v>
      </c>
      <c r="CL24">
        <v>0</v>
      </c>
      <c r="CM24">
        <v>0</v>
      </c>
      <c r="CN24">
        <v>0</v>
      </c>
      <c r="CO24">
        <v>0</v>
      </c>
      <c r="CP24" t="s">
        <v>347</v>
      </c>
      <c r="CQ24" t="s">
        <v>348</v>
      </c>
    </row>
    <row r="25" spans="1:95">
      <c r="A25" s="5">
        <v>46188</v>
      </c>
      <c r="B25" t="s">
        <v>445</v>
      </c>
      <c r="C25" t="s">
        <v>446</v>
      </c>
      <c r="D25" t="s">
        <v>447</v>
      </c>
      <c r="E25" t="s">
        <v>448</v>
      </c>
      <c r="G25">
        <v>0</v>
      </c>
      <c r="H25">
        <v>-1</v>
      </c>
      <c r="O25" t="s">
        <v>338</v>
      </c>
      <c r="U25">
        <v>0</v>
      </c>
      <c r="V25">
        <v>0</v>
      </c>
      <c r="W25">
        <v>0</v>
      </c>
      <c r="X25">
        <v>0</v>
      </c>
      <c r="Y25" t="s">
        <v>359</v>
      </c>
      <c r="AB25">
        <v>0</v>
      </c>
      <c r="AC25">
        <v>0</v>
      </c>
      <c r="AE25">
        <v>-1</v>
      </c>
      <c r="AH25" t="s">
        <v>341</v>
      </c>
      <c r="AJ25" t="s">
        <v>342</v>
      </c>
      <c r="AK25" t="s">
        <v>353</v>
      </c>
      <c r="AM25">
        <v>0</v>
      </c>
      <c r="AN25">
        <v>0</v>
      </c>
      <c r="AQ25">
        <v>29.99</v>
      </c>
      <c r="AY25">
        <v>0</v>
      </c>
      <c r="BB25">
        <v>0</v>
      </c>
      <c r="BC25">
        <v>0</v>
      </c>
      <c r="BD25">
        <v>0</v>
      </c>
      <c r="BE25">
        <v>0</v>
      </c>
      <c r="BG25">
        <v>0</v>
      </c>
      <c r="BH25">
        <v>0</v>
      </c>
      <c r="CJ25">
        <v>0</v>
      </c>
      <c r="CK25">
        <v>0</v>
      </c>
      <c r="CL25">
        <v>0</v>
      </c>
      <c r="CM25">
        <v>0</v>
      </c>
      <c r="CN25">
        <v>0</v>
      </c>
      <c r="CO25">
        <v>0</v>
      </c>
      <c r="CP25" t="s">
        <v>347</v>
      </c>
      <c r="CQ25" t="s">
        <v>348</v>
      </c>
    </row>
    <row r="26" spans="1:95">
      <c r="A26" s="5">
        <v>46188</v>
      </c>
      <c r="B26" t="s">
        <v>449</v>
      </c>
      <c r="C26" t="s">
        <v>450</v>
      </c>
      <c r="D26" t="s">
        <v>451</v>
      </c>
      <c r="E26" t="s">
        <v>452</v>
      </c>
      <c r="F26" t="s">
        <v>337</v>
      </c>
      <c r="G26">
        <v>0</v>
      </c>
      <c r="H26">
        <v>-1</v>
      </c>
      <c r="O26" t="s">
        <v>338</v>
      </c>
      <c r="U26">
        <v>55.99</v>
      </c>
      <c r="V26">
        <v>0</v>
      </c>
      <c r="W26">
        <v>0</v>
      </c>
      <c r="X26">
        <v>0</v>
      </c>
      <c r="Y26" t="s">
        <v>372</v>
      </c>
      <c r="AB26">
        <v>0</v>
      </c>
      <c r="AC26">
        <v>0</v>
      </c>
      <c r="AE26">
        <v>-1</v>
      </c>
      <c r="AH26" t="s">
        <v>341</v>
      </c>
      <c r="AJ26" t="s">
        <v>342</v>
      </c>
      <c r="AK26" t="s">
        <v>353</v>
      </c>
      <c r="AN26">
        <v>0</v>
      </c>
      <c r="AY26">
        <v>0</v>
      </c>
      <c r="BB26">
        <v>20</v>
      </c>
      <c r="BC26">
        <v>20</v>
      </c>
      <c r="BD26">
        <v>0</v>
      </c>
      <c r="BE26">
        <v>0</v>
      </c>
      <c r="BG26">
        <v>0</v>
      </c>
      <c r="BH26">
        <v>0</v>
      </c>
      <c r="CJ26">
        <v>20</v>
      </c>
      <c r="CK26">
        <v>0</v>
      </c>
      <c r="CL26">
        <v>0</v>
      </c>
      <c r="CM26">
        <v>0</v>
      </c>
      <c r="CN26">
        <v>0</v>
      </c>
      <c r="CP26" t="s">
        <v>347</v>
      </c>
      <c r="CQ26" t="s">
        <v>348</v>
      </c>
    </row>
    <row r="27" spans="1:95">
      <c r="A27" s="5">
        <v>46188</v>
      </c>
      <c r="B27" t="s">
        <v>453</v>
      </c>
      <c r="C27" t="s">
        <v>454</v>
      </c>
      <c r="D27" t="s">
        <v>455</v>
      </c>
      <c r="E27" t="s">
        <v>456</v>
      </c>
      <c r="F27" t="s">
        <v>337</v>
      </c>
      <c r="G27">
        <v>20</v>
      </c>
      <c r="H27">
        <v>0</v>
      </c>
      <c r="I27">
        <v>0</v>
      </c>
      <c r="J27">
        <v>20</v>
      </c>
      <c r="K27">
        <v>0</v>
      </c>
      <c r="L27">
        <v>0</v>
      </c>
      <c r="M27">
        <v>0</v>
      </c>
      <c r="N27">
        <v>0</v>
      </c>
      <c r="O27" t="s">
        <v>338</v>
      </c>
      <c r="T27" t="s">
        <v>409</v>
      </c>
      <c r="U27">
        <v>28.49</v>
      </c>
      <c r="V27">
        <v>0</v>
      </c>
      <c r="W27">
        <v>22.79</v>
      </c>
      <c r="X27">
        <v>0</v>
      </c>
      <c r="Y27" t="s">
        <v>391</v>
      </c>
      <c r="AA27">
        <v>0</v>
      </c>
      <c r="AB27">
        <v>0</v>
      </c>
      <c r="AC27">
        <v>0</v>
      </c>
      <c r="AD27">
        <v>67.83</v>
      </c>
      <c r="AE27">
        <v>0</v>
      </c>
      <c r="AF27">
        <v>0.15428</v>
      </c>
      <c r="AG27" t="s">
        <v>340</v>
      </c>
      <c r="AH27" t="s">
        <v>341</v>
      </c>
      <c r="AI27">
        <v>3.0856</v>
      </c>
      <c r="AJ27" t="s">
        <v>342</v>
      </c>
      <c r="AK27" t="s">
        <v>353</v>
      </c>
      <c r="AL27">
        <v>206385</v>
      </c>
      <c r="AN27">
        <v>6</v>
      </c>
      <c r="AQ27">
        <v>22.79</v>
      </c>
      <c r="AV27">
        <v>0</v>
      </c>
      <c r="AW27">
        <v>0</v>
      </c>
      <c r="AX27">
        <v>0</v>
      </c>
      <c r="AY27">
        <v>0</v>
      </c>
      <c r="AZ27">
        <v>0</v>
      </c>
      <c r="BA27">
        <v>2.21</v>
      </c>
      <c r="BB27">
        <v>0</v>
      </c>
      <c r="BC27">
        <v>0</v>
      </c>
      <c r="BD27">
        <v>0</v>
      </c>
      <c r="BE27">
        <v>0</v>
      </c>
      <c r="BG27">
        <v>0</v>
      </c>
      <c r="BH27">
        <v>0</v>
      </c>
      <c r="CA27" t="s">
        <v>354</v>
      </c>
      <c r="CI27" s="5">
        <v>46186</v>
      </c>
      <c r="CJ27">
        <v>20</v>
      </c>
      <c r="CK27">
        <v>0</v>
      </c>
      <c r="CL27">
        <v>0</v>
      </c>
      <c r="CM27">
        <v>0</v>
      </c>
      <c r="CN27">
        <v>0</v>
      </c>
      <c r="CP27" t="s">
        <v>347</v>
      </c>
      <c r="CQ27" t="s">
        <v>348</v>
      </c>
    </row>
    <row r="28" spans="1:95">
      <c r="A28" s="5">
        <v>46188</v>
      </c>
      <c r="B28" t="s">
        <v>457</v>
      </c>
      <c r="C28" t="s">
        <v>458</v>
      </c>
      <c r="D28" t="s">
        <v>459</v>
      </c>
      <c r="E28" t="s">
        <v>460</v>
      </c>
      <c r="G28">
        <v>0</v>
      </c>
      <c r="H28">
        <v>-1</v>
      </c>
      <c r="O28" t="s">
        <v>338</v>
      </c>
      <c r="P28">
        <v>0</v>
      </c>
      <c r="Q28">
        <v>0</v>
      </c>
      <c r="R28">
        <v>0</v>
      </c>
      <c r="S28">
        <v>0</v>
      </c>
      <c r="U28">
        <v>0</v>
      </c>
      <c r="V28">
        <v>0</v>
      </c>
      <c r="W28">
        <v>0</v>
      </c>
      <c r="X28">
        <v>0</v>
      </c>
      <c r="Y28" t="s">
        <v>359</v>
      </c>
      <c r="AB28">
        <v>0</v>
      </c>
      <c r="AC28">
        <v>0</v>
      </c>
      <c r="AE28">
        <v>-1</v>
      </c>
      <c r="AH28" t="s">
        <v>341</v>
      </c>
      <c r="AJ28" t="s">
        <v>342</v>
      </c>
      <c r="AK28" t="s">
        <v>353</v>
      </c>
      <c r="AM28">
        <v>0</v>
      </c>
      <c r="AN28">
        <v>0</v>
      </c>
      <c r="AQ28">
        <v>35.99</v>
      </c>
      <c r="AR28">
        <v>0</v>
      </c>
      <c r="AS28">
        <v>0</v>
      </c>
      <c r="AT28">
        <v>0</v>
      </c>
      <c r="AU28">
        <v>0</v>
      </c>
      <c r="AY28">
        <v>0</v>
      </c>
      <c r="BB28">
        <v>0</v>
      </c>
      <c r="BC28">
        <v>0</v>
      </c>
      <c r="BD28">
        <v>0</v>
      </c>
      <c r="BE28">
        <v>0</v>
      </c>
      <c r="BG28">
        <v>0</v>
      </c>
      <c r="BH28">
        <v>1</v>
      </c>
      <c r="BZ28">
        <v>1</v>
      </c>
      <c r="CA28" t="s">
        <v>429</v>
      </c>
      <c r="CJ28">
        <v>0</v>
      </c>
      <c r="CK28">
        <v>0</v>
      </c>
      <c r="CL28">
        <v>0</v>
      </c>
      <c r="CM28">
        <v>0</v>
      </c>
      <c r="CN28">
        <v>0</v>
      </c>
      <c r="CO28">
        <v>0</v>
      </c>
      <c r="CP28" t="s">
        <v>347</v>
      </c>
      <c r="CQ28" t="s">
        <v>348</v>
      </c>
    </row>
    <row r="29" spans="1:95">
      <c r="A29" s="5">
        <v>46188</v>
      </c>
      <c r="B29" t="s">
        <v>461</v>
      </c>
      <c r="C29" t="s">
        <v>229</v>
      </c>
      <c r="D29" t="s">
        <v>462</v>
      </c>
      <c r="E29" t="s">
        <v>463</v>
      </c>
      <c r="G29">
        <v>49</v>
      </c>
      <c r="H29">
        <v>-1</v>
      </c>
      <c r="O29" t="s">
        <v>338</v>
      </c>
      <c r="P29">
        <v>0</v>
      </c>
      <c r="Q29">
        <v>10</v>
      </c>
      <c r="R29">
        <v>19</v>
      </c>
      <c r="S29">
        <v>43</v>
      </c>
      <c r="W29">
        <v>-1</v>
      </c>
      <c r="X29">
        <v>-1</v>
      </c>
      <c r="Y29" t="s">
        <v>464</v>
      </c>
      <c r="AA29">
        <v>0</v>
      </c>
      <c r="AB29">
        <v>0</v>
      </c>
      <c r="AC29">
        <v>0</v>
      </c>
      <c r="AD29">
        <v>0</v>
      </c>
      <c r="AE29">
        <v>-1</v>
      </c>
      <c r="AH29" t="s">
        <v>341</v>
      </c>
      <c r="AJ29" t="s">
        <v>342</v>
      </c>
      <c r="AK29" t="s">
        <v>465</v>
      </c>
      <c r="AL29">
        <v>9437</v>
      </c>
      <c r="AM29">
        <v>65</v>
      </c>
      <c r="AN29">
        <v>0</v>
      </c>
      <c r="AO29">
        <v>19</v>
      </c>
      <c r="AP29">
        <v>14</v>
      </c>
      <c r="AQ29">
        <v>29.99</v>
      </c>
      <c r="AR29">
        <v>0</v>
      </c>
      <c r="AS29">
        <v>249.9</v>
      </c>
      <c r="AT29">
        <v>462.42</v>
      </c>
      <c r="AU29">
        <v>1046.18</v>
      </c>
      <c r="AY29">
        <v>0</v>
      </c>
      <c r="BA29">
        <v>6.17</v>
      </c>
      <c r="BB29">
        <v>0</v>
      </c>
      <c r="BC29">
        <v>0</v>
      </c>
      <c r="BD29">
        <v>0</v>
      </c>
      <c r="BE29">
        <v>0</v>
      </c>
      <c r="BG29">
        <v>0</v>
      </c>
      <c r="BH29">
        <v>1</v>
      </c>
      <c r="BY29">
        <v>126.4</v>
      </c>
      <c r="BZ29">
        <v>48</v>
      </c>
      <c r="CA29" t="s">
        <v>360</v>
      </c>
      <c r="CB29">
        <v>54</v>
      </c>
      <c r="CC29" s="5">
        <v>46195</v>
      </c>
      <c r="CD29" s="5">
        <v>46188</v>
      </c>
      <c r="CE29" t="s">
        <v>345</v>
      </c>
      <c r="CF29" t="s">
        <v>346</v>
      </c>
      <c r="CG29">
        <v>126.4</v>
      </c>
      <c r="CH29">
        <v>77.7</v>
      </c>
      <c r="CJ29">
        <v>50</v>
      </c>
      <c r="CK29">
        <v>1</v>
      </c>
      <c r="CL29">
        <v>0</v>
      </c>
      <c r="CM29">
        <v>0</v>
      </c>
      <c r="CN29">
        <v>0</v>
      </c>
      <c r="CO29">
        <v>65</v>
      </c>
      <c r="CP29" t="s">
        <v>347</v>
      </c>
      <c r="CQ29" t="s">
        <v>348</v>
      </c>
    </row>
    <row r="30" spans="1:95">
      <c r="A30" s="5">
        <v>46188</v>
      </c>
      <c r="B30" t="s">
        <v>466</v>
      </c>
      <c r="C30" t="s">
        <v>467</v>
      </c>
      <c r="D30" t="s">
        <v>468</v>
      </c>
      <c r="E30" t="s">
        <v>469</v>
      </c>
      <c r="F30" t="s">
        <v>337</v>
      </c>
      <c r="G30">
        <v>39</v>
      </c>
      <c r="H30">
        <v>0</v>
      </c>
      <c r="I30">
        <v>11</v>
      </c>
      <c r="J30">
        <v>40</v>
      </c>
      <c r="K30">
        <v>0</v>
      </c>
      <c r="L30">
        <v>0</v>
      </c>
      <c r="M30">
        <v>0</v>
      </c>
      <c r="N30">
        <v>0</v>
      </c>
      <c r="O30" t="s">
        <v>338</v>
      </c>
      <c r="P30">
        <v>4</v>
      </c>
      <c r="Q30">
        <v>9</v>
      </c>
      <c r="R30">
        <v>22</v>
      </c>
      <c r="S30">
        <v>32</v>
      </c>
      <c r="U30">
        <v>39.99</v>
      </c>
      <c r="V30">
        <v>0</v>
      </c>
      <c r="W30">
        <v>39.99</v>
      </c>
      <c r="X30">
        <v>0</v>
      </c>
      <c r="Y30" t="s">
        <v>339</v>
      </c>
      <c r="AA30">
        <v>0</v>
      </c>
      <c r="AB30">
        <v>0</v>
      </c>
      <c r="AC30">
        <v>0</v>
      </c>
      <c r="AD30">
        <v>0</v>
      </c>
      <c r="AE30">
        <v>0.49</v>
      </c>
      <c r="AF30">
        <v>0.300229</v>
      </c>
      <c r="AG30" t="s">
        <v>340</v>
      </c>
      <c r="AH30" t="s">
        <v>341</v>
      </c>
      <c r="AI30">
        <v>11.708931</v>
      </c>
      <c r="AJ30" t="s">
        <v>342</v>
      </c>
      <c r="AK30" t="s">
        <v>353</v>
      </c>
      <c r="AL30">
        <v>203254</v>
      </c>
      <c r="AM30">
        <v>64</v>
      </c>
      <c r="AN30">
        <v>0</v>
      </c>
      <c r="AO30">
        <v>17</v>
      </c>
      <c r="AP30">
        <v>15</v>
      </c>
      <c r="AQ30">
        <v>29.99</v>
      </c>
      <c r="AR30">
        <v>131.06</v>
      </c>
      <c r="AS30">
        <v>299.51</v>
      </c>
      <c r="AT30">
        <v>729.18</v>
      </c>
      <c r="AU30">
        <v>1122.78</v>
      </c>
      <c r="AV30">
        <v>11</v>
      </c>
      <c r="AW30">
        <v>0</v>
      </c>
      <c r="AX30">
        <v>0</v>
      </c>
      <c r="AY30">
        <v>0</v>
      </c>
      <c r="AZ30">
        <v>0</v>
      </c>
      <c r="BA30">
        <v>9.49</v>
      </c>
      <c r="BB30">
        <v>0</v>
      </c>
      <c r="BC30">
        <v>0</v>
      </c>
      <c r="BD30">
        <v>0</v>
      </c>
      <c r="BE30">
        <v>0</v>
      </c>
      <c r="BG30">
        <v>8</v>
      </c>
      <c r="BH30">
        <v>4</v>
      </c>
      <c r="BY30">
        <v>159.9</v>
      </c>
      <c r="BZ30">
        <v>39</v>
      </c>
      <c r="CA30" t="s">
        <v>360</v>
      </c>
      <c r="CB30">
        <v>13</v>
      </c>
      <c r="CC30" s="5">
        <v>46194</v>
      </c>
      <c r="CD30" s="5">
        <v>46188</v>
      </c>
      <c r="CE30" t="s">
        <v>345</v>
      </c>
      <c r="CF30" t="s">
        <v>346</v>
      </c>
      <c r="CG30">
        <v>144.8</v>
      </c>
      <c r="CH30">
        <v>159.9</v>
      </c>
      <c r="CI30" s="5">
        <v>46186</v>
      </c>
      <c r="CJ30">
        <v>43</v>
      </c>
      <c r="CK30">
        <v>4</v>
      </c>
      <c r="CL30">
        <v>0</v>
      </c>
      <c r="CM30">
        <v>0</v>
      </c>
      <c r="CN30">
        <v>8</v>
      </c>
      <c r="CO30">
        <v>77</v>
      </c>
      <c r="CP30" t="s">
        <v>347</v>
      </c>
      <c r="CQ30" t="s">
        <v>348</v>
      </c>
    </row>
    <row r="31" spans="1:95">
      <c r="A31" s="5">
        <v>46188</v>
      </c>
      <c r="B31" t="s">
        <v>470</v>
      </c>
      <c r="C31" t="s">
        <v>471</v>
      </c>
      <c r="D31" t="s">
        <v>472</v>
      </c>
      <c r="E31" t="s">
        <v>473</v>
      </c>
      <c r="F31" t="s">
        <v>337</v>
      </c>
      <c r="G31">
        <v>5</v>
      </c>
      <c r="H31">
        <v>-1</v>
      </c>
      <c r="O31" t="s">
        <v>338</v>
      </c>
      <c r="P31">
        <v>1</v>
      </c>
      <c r="Q31">
        <v>10</v>
      </c>
      <c r="R31">
        <v>16</v>
      </c>
      <c r="S31">
        <v>30</v>
      </c>
      <c r="U31">
        <v>27.99</v>
      </c>
      <c r="V31">
        <v>0</v>
      </c>
      <c r="W31">
        <v>0</v>
      </c>
      <c r="X31">
        <v>0</v>
      </c>
      <c r="Y31" t="s">
        <v>464</v>
      </c>
      <c r="AB31">
        <v>0</v>
      </c>
      <c r="AC31">
        <v>0</v>
      </c>
      <c r="AE31">
        <v>-1</v>
      </c>
      <c r="AH31" t="s">
        <v>341</v>
      </c>
      <c r="AJ31" t="s">
        <v>342</v>
      </c>
      <c r="AK31" t="s">
        <v>353</v>
      </c>
      <c r="AL31">
        <v>203254</v>
      </c>
      <c r="AM31">
        <v>18</v>
      </c>
      <c r="AN31">
        <v>0</v>
      </c>
      <c r="AO31">
        <v>2</v>
      </c>
      <c r="AP31">
        <v>2</v>
      </c>
      <c r="AQ31">
        <v>27.99</v>
      </c>
      <c r="AR31">
        <v>27.99</v>
      </c>
      <c r="AS31">
        <v>279.9</v>
      </c>
      <c r="AT31">
        <v>447.84</v>
      </c>
      <c r="AU31">
        <v>831.7</v>
      </c>
      <c r="AY31">
        <v>0</v>
      </c>
      <c r="BB31">
        <v>0</v>
      </c>
      <c r="BC31">
        <v>0</v>
      </c>
      <c r="BD31">
        <v>0</v>
      </c>
      <c r="BE31">
        <v>0</v>
      </c>
      <c r="BG31">
        <v>1</v>
      </c>
      <c r="BH31">
        <v>0</v>
      </c>
      <c r="BY31">
        <v>20.7</v>
      </c>
      <c r="BZ31">
        <v>24</v>
      </c>
      <c r="CA31" t="s">
        <v>344</v>
      </c>
      <c r="CB31">
        <v>42</v>
      </c>
      <c r="CC31" s="5">
        <v>46187</v>
      </c>
      <c r="CD31" s="5">
        <v>46188</v>
      </c>
      <c r="CE31" t="s">
        <v>345</v>
      </c>
      <c r="CF31" t="s">
        <v>346</v>
      </c>
      <c r="CG31">
        <v>12.6</v>
      </c>
      <c r="CH31">
        <v>20.7</v>
      </c>
      <c r="CJ31">
        <v>9</v>
      </c>
      <c r="CK31">
        <v>4</v>
      </c>
      <c r="CL31">
        <v>0</v>
      </c>
      <c r="CM31">
        <v>1</v>
      </c>
      <c r="CN31">
        <v>0</v>
      </c>
      <c r="CO31">
        <v>20</v>
      </c>
      <c r="CP31" t="s">
        <v>347</v>
      </c>
      <c r="CQ31" t="s">
        <v>348</v>
      </c>
    </row>
    <row r="32" spans="1:95">
      <c r="A32" s="5">
        <v>46188</v>
      </c>
      <c r="B32" t="s">
        <v>474</v>
      </c>
      <c r="C32" t="s">
        <v>475</v>
      </c>
      <c r="D32" t="s">
        <v>476</v>
      </c>
      <c r="E32" t="s">
        <v>477</v>
      </c>
      <c r="G32">
        <v>0</v>
      </c>
      <c r="H32">
        <v>-1</v>
      </c>
      <c r="O32" t="s">
        <v>338</v>
      </c>
      <c r="U32">
        <v>0</v>
      </c>
      <c r="V32">
        <v>0</v>
      </c>
      <c r="W32">
        <v>0</v>
      </c>
      <c r="X32">
        <v>0</v>
      </c>
      <c r="Y32" t="s">
        <v>359</v>
      </c>
      <c r="AB32">
        <v>0</v>
      </c>
      <c r="AC32">
        <v>0</v>
      </c>
      <c r="AE32">
        <v>-1</v>
      </c>
      <c r="AH32" t="s">
        <v>341</v>
      </c>
      <c r="AJ32" t="s">
        <v>342</v>
      </c>
      <c r="AK32" t="s">
        <v>353</v>
      </c>
      <c r="AN32">
        <v>0</v>
      </c>
      <c r="AQ32">
        <v>63.99</v>
      </c>
      <c r="AY32">
        <v>0</v>
      </c>
      <c r="BB32">
        <v>0</v>
      </c>
      <c r="BC32">
        <v>0</v>
      </c>
      <c r="BD32">
        <v>0</v>
      </c>
      <c r="BE32">
        <v>0</v>
      </c>
      <c r="BG32">
        <v>0</v>
      </c>
      <c r="BH32">
        <v>0</v>
      </c>
      <c r="CJ32">
        <v>0</v>
      </c>
      <c r="CK32">
        <v>0</v>
      </c>
      <c r="CL32">
        <v>0</v>
      </c>
      <c r="CM32">
        <v>0</v>
      </c>
      <c r="CN32">
        <v>0</v>
      </c>
      <c r="CP32" t="s">
        <v>347</v>
      </c>
      <c r="CQ32" t="s">
        <v>348</v>
      </c>
    </row>
    <row r="33" spans="1:95">
      <c r="A33" s="5">
        <v>46188</v>
      </c>
      <c r="B33" t="s">
        <v>478</v>
      </c>
      <c r="C33" t="s">
        <v>479</v>
      </c>
      <c r="D33" t="s">
        <v>480</v>
      </c>
      <c r="E33" t="s">
        <v>481</v>
      </c>
      <c r="G33">
        <v>0</v>
      </c>
      <c r="H33">
        <v>-1</v>
      </c>
      <c r="O33" t="s">
        <v>338</v>
      </c>
      <c r="U33">
        <v>0</v>
      </c>
      <c r="V33">
        <v>0</v>
      </c>
      <c r="W33">
        <v>0</v>
      </c>
      <c r="X33">
        <v>0</v>
      </c>
      <c r="Y33" t="s">
        <v>359</v>
      </c>
      <c r="AB33">
        <v>0</v>
      </c>
      <c r="AC33">
        <v>0</v>
      </c>
      <c r="AE33">
        <v>-1</v>
      </c>
      <c r="AH33" t="s">
        <v>341</v>
      </c>
      <c r="AJ33" t="s">
        <v>342</v>
      </c>
      <c r="AK33" t="s">
        <v>404</v>
      </c>
      <c r="AM33">
        <v>0</v>
      </c>
      <c r="AN33">
        <v>0</v>
      </c>
      <c r="AQ33">
        <v>3.49</v>
      </c>
      <c r="AY33">
        <v>0</v>
      </c>
      <c r="BB33">
        <v>0</v>
      </c>
      <c r="BC33">
        <v>0</v>
      </c>
      <c r="BD33">
        <v>0</v>
      </c>
      <c r="BE33">
        <v>0</v>
      </c>
      <c r="BG33">
        <v>0</v>
      </c>
      <c r="BH33">
        <v>0</v>
      </c>
      <c r="CJ33">
        <v>0</v>
      </c>
      <c r="CK33">
        <v>0</v>
      </c>
      <c r="CL33">
        <v>0</v>
      </c>
      <c r="CM33">
        <v>0</v>
      </c>
      <c r="CN33">
        <v>0</v>
      </c>
      <c r="CO33">
        <v>0</v>
      </c>
      <c r="CP33" t="s">
        <v>347</v>
      </c>
      <c r="CQ33" t="s">
        <v>348</v>
      </c>
    </row>
    <row r="34" spans="1:95">
      <c r="A34" s="5">
        <v>46188</v>
      </c>
      <c r="B34" t="s">
        <v>482</v>
      </c>
      <c r="C34" t="s">
        <v>483</v>
      </c>
      <c r="D34" t="s">
        <v>484</v>
      </c>
      <c r="E34" t="s">
        <v>485</v>
      </c>
      <c r="G34">
        <v>0</v>
      </c>
      <c r="H34">
        <v>-1</v>
      </c>
      <c r="O34" t="s">
        <v>338</v>
      </c>
      <c r="U34">
        <v>0</v>
      </c>
      <c r="V34">
        <v>0</v>
      </c>
      <c r="W34">
        <v>0</v>
      </c>
      <c r="X34">
        <v>0</v>
      </c>
      <c r="Y34" t="s">
        <v>359</v>
      </c>
      <c r="AB34">
        <v>0</v>
      </c>
      <c r="AC34">
        <v>0</v>
      </c>
      <c r="AE34">
        <v>-1</v>
      </c>
      <c r="AJ34" t="s">
        <v>342</v>
      </c>
      <c r="AK34" t="s">
        <v>343</v>
      </c>
      <c r="AN34">
        <v>0</v>
      </c>
      <c r="AY34">
        <v>0</v>
      </c>
      <c r="BB34">
        <v>0</v>
      </c>
      <c r="BG34">
        <v>0</v>
      </c>
      <c r="BH34">
        <v>0</v>
      </c>
      <c r="CJ34">
        <v>0</v>
      </c>
      <c r="CK34">
        <v>0</v>
      </c>
      <c r="CL34">
        <v>0</v>
      </c>
      <c r="CM34">
        <v>0</v>
      </c>
      <c r="CN34">
        <v>0</v>
      </c>
      <c r="CP34" t="s">
        <v>347</v>
      </c>
      <c r="CQ34" t="s">
        <v>348</v>
      </c>
    </row>
    <row r="35" spans="1:95">
      <c r="A35" s="5">
        <v>46188</v>
      </c>
      <c r="B35" t="s">
        <v>486</v>
      </c>
      <c r="C35" t="s">
        <v>487</v>
      </c>
      <c r="D35" t="s">
        <v>488</v>
      </c>
      <c r="E35" t="s">
        <v>489</v>
      </c>
      <c r="G35">
        <v>0</v>
      </c>
      <c r="H35">
        <v>-1</v>
      </c>
      <c r="O35" t="s">
        <v>338</v>
      </c>
      <c r="U35">
        <v>0</v>
      </c>
      <c r="V35">
        <v>0</v>
      </c>
      <c r="W35">
        <v>0</v>
      </c>
      <c r="X35">
        <v>0</v>
      </c>
      <c r="Y35" t="s">
        <v>359</v>
      </c>
      <c r="AB35">
        <v>0</v>
      </c>
      <c r="AC35">
        <v>0</v>
      </c>
      <c r="AE35">
        <v>-1</v>
      </c>
      <c r="AJ35" t="s">
        <v>342</v>
      </c>
      <c r="AK35" t="s">
        <v>353</v>
      </c>
      <c r="AN35">
        <v>0</v>
      </c>
      <c r="AY35">
        <v>0</v>
      </c>
      <c r="BB35">
        <v>0</v>
      </c>
      <c r="BG35">
        <v>0</v>
      </c>
      <c r="BH35">
        <v>0</v>
      </c>
      <c r="CJ35">
        <v>0</v>
      </c>
      <c r="CK35">
        <v>0</v>
      </c>
      <c r="CL35">
        <v>0</v>
      </c>
      <c r="CM35">
        <v>0</v>
      </c>
      <c r="CN35">
        <v>0</v>
      </c>
      <c r="CP35" t="s">
        <v>347</v>
      </c>
      <c r="CQ35" t="s">
        <v>348</v>
      </c>
    </row>
    <row r="36" spans="1:95">
      <c r="A36" s="5">
        <v>46188</v>
      </c>
      <c r="B36" t="s">
        <v>490</v>
      </c>
      <c r="C36" t="s">
        <v>106</v>
      </c>
      <c r="D36" t="s">
        <v>491</v>
      </c>
      <c r="E36" t="s">
        <v>492</v>
      </c>
      <c r="G36">
        <v>0</v>
      </c>
      <c r="H36">
        <v>-1</v>
      </c>
      <c r="O36" t="s">
        <v>338</v>
      </c>
      <c r="U36">
        <v>0</v>
      </c>
      <c r="V36">
        <v>0</v>
      </c>
      <c r="W36">
        <v>0</v>
      </c>
      <c r="X36">
        <v>0</v>
      </c>
      <c r="Y36" t="s">
        <v>359</v>
      </c>
      <c r="AB36">
        <v>0</v>
      </c>
      <c r="AC36">
        <v>0</v>
      </c>
      <c r="AE36">
        <v>-1</v>
      </c>
      <c r="AJ36" t="s">
        <v>342</v>
      </c>
      <c r="AK36" t="s">
        <v>353</v>
      </c>
      <c r="AL36">
        <v>206385</v>
      </c>
      <c r="AM36">
        <v>0</v>
      </c>
      <c r="AN36">
        <v>0</v>
      </c>
      <c r="AQ36">
        <v>69.99</v>
      </c>
      <c r="AY36">
        <v>0</v>
      </c>
      <c r="BB36">
        <v>0</v>
      </c>
      <c r="BG36">
        <v>0</v>
      </c>
      <c r="BH36">
        <v>0</v>
      </c>
      <c r="CB36">
        <v>56</v>
      </c>
      <c r="CC36" s="5">
        <v>46187</v>
      </c>
      <c r="CJ36">
        <v>0</v>
      </c>
      <c r="CK36">
        <v>0</v>
      </c>
      <c r="CL36">
        <v>0</v>
      </c>
      <c r="CM36">
        <v>0</v>
      </c>
      <c r="CN36">
        <v>0</v>
      </c>
      <c r="CO36">
        <v>0</v>
      </c>
      <c r="CP36" t="s">
        <v>347</v>
      </c>
      <c r="CQ36" t="s">
        <v>348</v>
      </c>
    </row>
    <row r="37" spans="1:95">
      <c r="A37" s="5">
        <v>46188</v>
      </c>
      <c r="B37" t="s">
        <v>493</v>
      </c>
      <c r="C37" t="s">
        <v>19</v>
      </c>
      <c r="D37" t="s">
        <v>54</v>
      </c>
      <c r="E37" t="s">
        <v>494</v>
      </c>
      <c r="F37" t="s">
        <v>337</v>
      </c>
      <c r="G37">
        <v>12</v>
      </c>
      <c r="H37">
        <v>0</v>
      </c>
      <c r="I37">
        <v>1</v>
      </c>
      <c r="J37">
        <v>11</v>
      </c>
      <c r="K37">
        <v>0</v>
      </c>
      <c r="L37">
        <v>0</v>
      </c>
      <c r="M37">
        <v>0</v>
      </c>
      <c r="N37">
        <v>0</v>
      </c>
      <c r="O37" t="s">
        <v>338</v>
      </c>
      <c r="P37">
        <v>2</v>
      </c>
      <c r="Q37">
        <v>6</v>
      </c>
      <c r="R37">
        <v>9</v>
      </c>
      <c r="S37">
        <v>13</v>
      </c>
      <c r="T37" t="s">
        <v>351</v>
      </c>
      <c r="U37">
        <v>18.99</v>
      </c>
      <c r="V37">
        <v>15.99</v>
      </c>
      <c r="W37">
        <v>15.99</v>
      </c>
      <c r="X37">
        <v>0</v>
      </c>
      <c r="Y37" t="s">
        <v>352</v>
      </c>
      <c r="AA37">
        <v>11.19</v>
      </c>
      <c r="AB37">
        <v>2</v>
      </c>
      <c r="AC37">
        <v>0</v>
      </c>
      <c r="AD37">
        <v>238.72</v>
      </c>
      <c r="AE37">
        <v>0.74</v>
      </c>
      <c r="AF37">
        <v>0.0649</v>
      </c>
      <c r="AG37" t="s">
        <v>340</v>
      </c>
      <c r="AH37" t="s">
        <v>341</v>
      </c>
      <c r="AI37">
        <v>0.7788</v>
      </c>
      <c r="AJ37" t="s">
        <v>342</v>
      </c>
      <c r="AK37" t="s">
        <v>465</v>
      </c>
      <c r="AL37">
        <v>329212</v>
      </c>
      <c r="AM37">
        <v>114</v>
      </c>
      <c r="AN37">
        <v>12</v>
      </c>
      <c r="AO37">
        <v>14</v>
      </c>
      <c r="AP37">
        <v>22</v>
      </c>
      <c r="AQ37">
        <v>15.99</v>
      </c>
      <c r="AR37">
        <v>31.98</v>
      </c>
      <c r="AS37">
        <v>95.94</v>
      </c>
      <c r="AT37">
        <v>149.91</v>
      </c>
      <c r="AU37">
        <v>225.87</v>
      </c>
      <c r="AV37">
        <v>0</v>
      </c>
      <c r="AW37">
        <v>0</v>
      </c>
      <c r="AX37">
        <v>1</v>
      </c>
      <c r="AY37">
        <v>0</v>
      </c>
      <c r="AZ37">
        <v>0</v>
      </c>
      <c r="BA37">
        <v>0.56</v>
      </c>
      <c r="BB37">
        <v>10</v>
      </c>
      <c r="BC37">
        <v>10</v>
      </c>
      <c r="BD37">
        <v>0</v>
      </c>
      <c r="BE37">
        <v>0</v>
      </c>
      <c r="BG37">
        <v>0</v>
      </c>
      <c r="BH37">
        <v>0</v>
      </c>
      <c r="BY37">
        <v>120.9</v>
      </c>
      <c r="BZ37">
        <v>7</v>
      </c>
      <c r="CA37" t="s">
        <v>354</v>
      </c>
      <c r="CD37" s="5">
        <v>46188</v>
      </c>
      <c r="CE37" t="s">
        <v>345</v>
      </c>
      <c r="CF37" t="s">
        <v>346</v>
      </c>
      <c r="CG37">
        <v>63.3</v>
      </c>
      <c r="CH37">
        <v>120.9</v>
      </c>
      <c r="CI37" s="5">
        <v>46186</v>
      </c>
      <c r="CJ37">
        <v>22</v>
      </c>
      <c r="CK37">
        <v>0</v>
      </c>
      <c r="CL37">
        <v>0</v>
      </c>
      <c r="CM37">
        <v>0</v>
      </c>
      <c r="CN37">
        <v>0</v>
      </c>
      <c r="CO37">
        <v>192</v>
      </c>
      <c r="CP37" t="s">
        <v>347</v>
      </c>
      <c r="CQ37" t="s">
        <v>348</v>
      </c>
    </row>
    <row r="38" spans="1:95">
      <c r="A38" s="5">
        <v>46188</v>
      </c>
      <c r="B38" t="s">
        <v>495</v>
      </c>
      <c r="C38" t="s">
        <v>108</v>
      </c>
      <c r="D38" t="s">
        <v>496</v>
      </c>
      <c r="E38" t="s">
        <v>497</v>
      </c>
      <c r="G38">
        <v>0</v>
      </c>
      <c r="H38">
        <v>-1</v>
      </c>
      <c r="O38" t="s">
        <v>338</v>
      </c>
      <c r="P38">
        <v>0</v>
      </c>
      <c r="Q38">
        <v>0</v>
      </c>
      <c r="R38">
        <v>0</v>
      </c>
      <c r="S38">
        <v>0</v>
      </c>
      <c r="U38">
        <v>0</v>
      </c>
      <c r="V38">
        <v>0</v>
      </c>
      <c r="W38">
        <v>0</v>
      </c>
      <c r="X38">
        <v>0</v>
      </c>
      <c r="Y38" t="s">
        <v>359</v>
      </c>
      <c r="AB38">
        <v>0</v>
      </c>
      <c r="AC38">
        <v>0</v>
      </c>
      <c r="AE38">
        <v>-1</v>
      </c>
      <c r="AH38" t="s">
        <v>341</v>
      </c>
      <c r="AJ38" t="s">
        <v>342</v>
      </c>
      <c r="AK38" t="s">
        <v>343</v>
      </c>
      <c r="AL38">
        <v>32209</v>
      </c>
      <c r="AM38">
        <v>0</v>
      </c>
      <c r="AN38">
        <v>0</v>
      </c>
      <c r="AQ38">
        <v>34.99</v>
      </c>
      <c r="AR38">
        <v>0</v>
      </c>
      <c r="AS38">
        <v>0</v>
      </c>
      <c r="AT38">
        <v>0</v>
      </c>
      <c r="AU38">
        <v>0</v>
      </c>
      <c r="AY38">
        <v>0</v>
      </c>
      <c r="BB38">
        <v>0</v>
      </c>
      <c r="BC38">
        <v>0</v>
      </c>
      <c r="BD38">
        <v>0</v>
      </c>
      <c r="BE38">
        <v>0</v>
      </c>
      <c r="BG38">
        <v>0</v>
      </c>
      <c r="BH38">
        <v>0</v>
      </c>
      <c r="BZ38">
        <v>1</v>
      </c>
      <c r="CA38" t="s">
        <v>429</v>
      </c>
      <c r="CB38">
        <v>231</v>
      </c>
      <c r="CC38" s="5">
        <v>46188</v>
      </c>
      <c r="CJ38">
        <v>0</v>
      </c>
      <c r="CK38">
        <v>0</v>
      </c>
      <c r="CL38">
        <v>0</v>
      </c>
      <c r="CM38">
        <v>0</v>
      </c>
      <c r="CN38">
        <v>0</v>
      </c>
      <c r="CO38">
        <v>0</v>
      </c>
      <c r="CP38" t="s">
        <v>347</v>
      </c>
      <c r="CQ38" t="s">
        <v>348</v>
      </c>
    </row>
    <row r="39" spans="1:95">
      <c r="A39" s="5">
        <v>46188</v>
      </c>
      <c r="B39" t="s">
        <v>498</v>
      </c>
      <c r="C39" t="s">
        <v>499</v>
      </c>
      <c r="D39" t="s">
        <v>500</v>
      </c>
      <c r="E39" t="s">
        <v>501</v>
      </c>
      <c r="G39">
        <v>0</v>
      </c>
      <c r="H39">
        <v>-1</v>
      </c>
      <c r="O39" t="s">
        <v>338</v>
      </c>
      <c r="U39">
        <v>0</v>
      </c>
      <c r="V39">
        <v>0</v>
      </c>
      <c r="W39">
        <v>0</v>
      </c>
      <c r="X39">
        <v>0</v>
      </c>
      <c r="Y39" t="s">
        <v>359</v>
      </c>
      <c r="AB39">
        <v>0</v>
      </c>
      <c r="AC39">
        <v>0</v>
      </c>
      <c r="AE39">
        <v>-1</v>
      </c>
      <c r="AH39" t="s">
        <v>341</v>
      </c>
      <c r="AJ39" t="s">
        <v>342</v>
      </c>
      <c r="AK39" t="s">
        <v>404</v>
      </c>
      <c r="AM39">
        <v>0</v>
      </c>
      <c r="AN39">
        <v>0</v>
      </c>
      <c r="AQ39">
        <v>3.99</v>
      </c>
      <c r="AY39">
        <v>0</v>
      </c>
      <c r="BB39">
        <v>0</v>
      </c>
      <c r="BC39">
        <v>0</v>
      </c>
      <c r="BD39">
        <v>0</v>
      </c>
      <c r="BE39">
        <v>0</v>
      </c>
      <c r="BG39">
        <v>0</v>
      </c>
      <c r="BH39">
        <v>0</v>
      </c>
      <c r="CJ39">
        <v>0</v>
      </c>
      <c r="CK39">
        <v>0</v>
      </c>
      <c r="CL39">
        <v>0</v>
      </c>
      <c r="CM39">
        <v>0</v>
      </c>
      <c r="CN39">
        <v>0</v>
      </c>
      <c r="CO39">
        <v>0</v>
      </c>
      <c r="CP39" t="s">
        <v>347</v>
      </c>
      <c r="CQ39" t="s">
        <v>348</v>
      </c>
    </row>
    <row r="40" spans="1:95">
      <c r="A40" s="5">
        <v>46188</v>
      </c>
      <c r="B40" t="s">
        <v>502</v>
      </c>
      <c r="C40" t="s">
        <v>442</v>
      </c>
      <c r="D40" t="s">
        <v>503</v>
      </c>
      <c r="E40" t="s">
        <v>444</v>
      </c>
      <c r="G40">
        <v>0</v>
      </c>
      <c r="H40">
        <v>-1</v>
      </c>
      <c r="O40" t="s">
        <v>338</v>
      </c>
      <c r="U40">
        <v>0</v>
      </c>
      <c r="V40">
        <v>0</v>
      </c>
      <c r="W40">
        <v>0</v>
      </c>
      <c r="X40">
        <v>0</v>
      </c>
      <c r="Y40" t="s">
        <v>359</v>
      </c>
      <c r="AB40">
        <v>0</v>
      </c>
      <c r="AC40">
        <v>0</v>
      </c>
      <c r="AE40">
        <v>-1</v>
      </c>
      <c r="AH40" t="s">
        <v>341</v>
      </c>
      <c r="AJ40" t="s">
        <v>342</v>
      </c>
      <c r="AK40" t="s">
        <v>353</v>
      </c>
      <c r="AM40">
        <v>0</v>
      </c>
      <c r="AN40">
        <v>0</v>
      </c>
      <c r="AQ40">
        <v>9.99</v>
      </c>
      <c r="AY40">
        <v>0</v>
      </c>
      <c r="BB40">
        <v>0</v>
      </c>
      <c r="BC40">
        <v>0</v>
      </c>
      <c r="BD40">
        <v>0</v>
      </c>
      <c r="BE40">
        <v>0</v>
      </c>
      <c r="BG40">
        <v>0</v>
      </c>
      <c r="BH40">
        <v>0</v>
      </c>
      <c r="CJ40">
        <v>0</v>
      </c>
      <c r="CK40">
        <v>0</v>
      </c>
      <c r="CL40">
        <v>0</v>
      </c>
      <c r="CM40">
        <v>0</v>
      </c>
      <c r="CN40">
        <v>0</v>
      </c>
      <c r="CO40">
        <v>0</v>
      </c>
      <c r="CP40" t="s">
        <v>347</v>
      </c>
      <c r="CQ40" t="s">
        <v>348</v>
      </c>
    </row>
    <row r="41" spans="1:95">
      <c r="A41" s="5">
        <v>46188</v>
      </c>
      <c r="B41" t="s">
        <v>504</v>
      </c>
      <c r="C41" t="s">
        <v>505</v>
      </c>
      <c r="D41" t="s">
        <v>506</v>
      </c>
      <c r="E41" t="s">
        <v>507</v>
      </c>
      <c r="G41">
        <v>0</v>
      </c>
      <c r="H41">
        <v>-1</v>
      </c>
      <c r="O41" t="s">
        <v>338</v>
      </c>
      <c r="U41">
        <v>0</v>
      </c>
      <c r="V41">
        <v>0</v>
      </c>
      <c r="W41">
        <v>0</v>
      </c>
      <c r="X41">
        <v>0</v>
      </c>
      <c r="Y41" t="s">
        <v>359</v>
      </c>
      <c r="AB41">
        <v>0</v>
      </c>
      <c r="AC41">
        <v>0</v>
      </c>
      <c r="AE41">
        <v>-1</v>
      </c>
      <c r="AH41" t="s">
        <v>377</v>
      </c>
      <c r="AJ41" t="s">
        <v>342</v>
      </c>
      <c r="AK41" t="s">
        <v>378</v>
      </c>
      <c r="AN41">
        <v>0</v>
      </c>
      <c r="AY41">
        <v>0</v>
      </c>
      <c r="BB41">
        <v>0</v>
      </c>
      <c r="BG41">
        <v>0</v>
      </c>
      <c r="BH41">
        <v>0</v>
      </c>
      <c r="CJ41">
        <v>0</v>
      </c>
      <c r="CK41">
        <v>0</v>
      </c>
      <c r="CL41">
        <v>0</v>
      </c>
      <c r="CM41">
        <v>0</v>
      </c>
      <c r="CN41">
        <v>0</v>
      </c>
      <c r="CP41" t="s">
        <v>347</v>
      </c>
      <c r="CQ41" t="s">
        <v>348</v>
      </c>
    </row>
    <row r="42" spans="1:95">
      <c r="A42" s="5">
        <v>46188</v>
      </c>
      <c r="B42" t="s">
        <v>508</v>
      </c>
      <c r="C42" t="s">
        <v>509</v>
      </c>
      <c r="D42" t="s">
        <v>510</v>
      </c>
      <c r="E42" t="s">
        <v>511</v>
      </c>
      <c r="G42">
        <v>0</v>
      </c>
      <c r="H42">
        <v>-1</v>
      </c>
      <c r="O42" t="s">
        <v>338</v>
      </c>
      <c r="U42">
        <v>0</v>
      </c>
      <c r="V42">
        <v>0</v>
      </c>
      <c r="W42">
        <v>0</v>
      </c>
      <c r="X42">
        <v>0</v>
      </c>
      <c r="Y42" t="s">
        <v>359</v>
      </c>
      <c r="AB42">
        <v>0</v>
      </c>
      <c r="AC42">
        <v>0</v>
      </c>
      <c r="AE42">
        <v>-1</v>
      </c>
      <c r="AH42" t="s">
        <v>341</v>
      </c>
      <c r="AJ42" t="s">
        <v>342</v>
      </c>
      <c r="AK42" t="s">
        <v>353</v>
      </c>
      <c r="AM42">
        <v>0</v>
      </c>
      <c r="AN42">
        <v>0</v>
      </c>
      <c r="AQ42">
        <v>9.99</v>
      </c>
      <c r="AY42">
        <v>0</v>
      </c>
      <c r="BB42">
        <v>0</v>
      </c>
      <c r="BC42">
        <v>0</v>
      </c>
      <c r="BD42">
        <v>0</v>
      </c>
      <c r="BE42">
        <v>0</v>
      </c>
      <c r="BG42">
        <v>0</v>
      </c>
      <c r="BH42">
        <v>0</v>
      </c>
      <c r="CJ42">
        <v>0</v>
      </c>
      <c r="CK42">
        <v>0</v>
      </c>
      <c r="CL42">
        <v>0</v>
      </c>
      <c r="CM42">
        <v>0</v>
      </c>
      <c r="CN42">
        <v>0</v>
      </c>
      <c r="CO42">
        <v>0</v>
      </c>
      <c r="CP42" t="s">
        <v>347</v>
      </c>
      <c r="CQ42" t="s">
        <v>348</v>
      </c>
    </row>
    <row r="43" spans="1:95">
      <c r="A43" s="5">
        <v>46188</v>
      </c>
      <c r="B43" t="s">
        <v>512</v>
      </c>
      <c r="C43" t="s">
        <v>513</v>
      </c>
      <c r="D43" t="s">
        <v>514</v>
      </c>
      <c r="E43" t="s">
        <v>515</v>
      </c>
      <c r="F43" t="s">
        <v>337</v>
      </c>
      <c r="G43">
        <v>4</v>
      </c>
      <c r="H43">
        <v>0</v>
      </c>
      <c r="I43">
        <v>0</v>
      </c>
      <c r="J43">
        <v>0</v>
      </c>
      <c r="K43">
        <v>0</v>
      </c>
      <c r="L43">
        <v>0</v>
      </c>
      <c r="M43">
        <v>4</v>
      </c>
      <c r="N43">
        <v>0</v>
      </c>
      <c r="O43" t="s">
        <v>338</v>
      </c>
      <c r="P43">
        <v>0</v>
      </c>
      <c r="Q43">
        <v>0</v>
      </c>
      <c r="R43">
        <v>0</v>
      </c>
      <c r="S43">
        <v>0</v>
      </c>
      <c r="T43" t="s">
        <v>351</v>
      </c>
      <c r="U43">
        <v>109.99</v>
      </c>
      <c r="V43">
        <v>104.49</v>
      </c>
      <c r="W43">
        <v>104.49</v>
      </c>
      <c r="X43">
        <v>0</v>
      </c>
      <c r="Y43" t="s">
        <v>516</v>
      </c>
      <c r="AA43">
        <v>0</v>
      </c>
      <c r="AB43">
        <v>0</v>
      </c>
      <c r="AC43">
        <v>0</v>
      </c>
      <c r="AD43">
        <v>909.48</v>
      </c>
      <c r="AE43">
        <v>0</v>
      </c>
      <c r="AF43">
        <v>0.791667</v>
      </c>
      <c r="AG43" t="s">
        <v>340</v>
      </c>
      <c r="AH43" t="s">
        <v>424</v>
      </c>
      <c r="AI43">
        <v>3.166668</v>
      </c>
      <c r="AJ43" t="s">
        <v>342</v>
      </c>
      <c r="AK43" t="s">
        <v>465</v>
      </c>
      <c r="AL43">
        <v>1371949</v>
      </c>
      <c r="AM43">
        <v>366</v>
      </c>
      <c r="AN43">
        <v>4</v>
      </c>
      <c r="AQ43">
        <v>104.49</v>
      </c>
      <c r="AR43">
        <v>0</v>
      </c>
      <c r="AS43">
        <v>0</v>
      </c>
      <c r="AT43">
        <v>0</v>
      </c>
      <c r="AU43">
        <v>0</v>
      </c>
      <c r="AV43">
        <v>0</v>
      </c>
      <c r="AW43">
        <v>0</v>
      </c>
      <c r="AX43">
        <v>0</v>
      </c>
      <c r="AY43">
        <v>0</v>
      </c>
      <c r="AZ43">
        <v>0</v>
      </c>
      <c r="BA43">
        <v>23.27</v>
      </c>
      <c r="BB43">
        <v>0</v>
      </c>
      <c r="BC43">
        <v>0</v>
      </c>
      <c r="BD43">
        <v>0</v>
      </c>
      <c r="BE43">
        <v>0</v>
      </c>
      <c r="BG43">
        <v>0</v>
      </c>
      <c r="BH43">
        <v>0</v>
      </c>
      <c r="BI43">
        <v>0</v>
      </c>
      <c r="BJ43">
        <v>0</v>
      </c>
      <c r="BK43">
        <v>0</v>
      </c>
      <c r="BL43">
        <v>0</v>
      </c>
      <c r="BM43">
        <v>0</v>
      </c>
      <c r="BN43">
        <v>0</v>
      </c>
      <c r="BO43">
        <v>0</v>
      </c>
      <c r="BP43">
        <v>0</v>
      </c>
      <c r="BQ43">
        <v>0</v>
      </c>
      <c r="BR43">
        <v>0</v>
      </c>
      <c r="BS43">
        <v>0</v>
      </c>
      <c r="BT43">
        <v>0</v>
      </c>
      <c r="BU43">
        <v>4</v>
      </c>
      <c r="BV43">
        <v>21.85</v>
      </c>
      <c r="BW43">
        <v>0</v>
      </c>
      <c r="BX43">
        <v>0</v>
      </c>
      <c r="BZ43">
        <v>1</v>
      </c>
      <c r="CA43" t="s">
        <v>354</v>
      </c>
      <c r="CI43" s="5">
        <v>46186</v>
      </c>
      <c r="CJ43">
        <v>4</v>
      </c>
      <c r="CK43">
        <v>0</v>
      </c>
      <c r="CL43">
        <v>0</v>
      </c>
      <c r="CM43">
        <v>0</v>
      </c>
      <c r="CN43">
        <v>0</v>
      </c>
      <c r="CO43">
        <v>366</v>
      </c>
      <c r="CP43" t="s">
        <v>347</v>
      </c>
      <c r="CQ43" t="s">
        <v>348</v>
      </c>
    </row>
    <row r="44" spans="1:95">
      <c r="A44" s="5">
        <v>46188</v>
      </c>
      <c r="B44" t="s">
        <v>517</v>
      </c>
      <c r="C44" t="s">
        <v>518</v>
      </c>
      <c r="D44" t="s">
        <v>519</v>
      </c>
      <c r="E44" t="s">
        <v>520</v>
      </c>
      <c r="G44">
        <v>0</v>
      </c>
      <c r="H44">
        <v>-1</v>
      </c>
      <c r="O44" t="s">
        <v>338</v>
      </c>
      <c r="U44">
        <v>0</v>
      </c>
      <c r="V44">
        <v>0</v>
      </c>
      <c r="W44">
        <v>0</v>
      </c>
      <c r="X44">
        <v>0</v>
      </c>
      <c r="Y44" t="s">
        <v>359</v>
      </c>
      <c r="AB44">
        <v>0</v>
      </c>
      <c r="AC44">
        <v>0</v>
      </c>
      <c r="AE44">
        <v>-1</v>
      </c>
      <c r="AJ44" t="s">
        <v>342</v>
      </c>
      <c r="AK44" t="s">
        <v>404</v>
      </c>
      <c r="AN44">
        <v>0</v>
      </c>
      <c r="AY44">
        <v>0</v>
      </c>
      <c r="BB44">
        <v>0</v>
      </c>
      <c r="BG44">
        <v>0</v>
      </c>
      <c r="BH44">
        <v>0</v>
      </c>
      <c r="CJ44">
        <v>0</v>
      </c>
      <c r="CK44">
        <v>0</v>
      </c>
      <c r="CL44">
        <v>0</v>
      </c>
      <c r="CM44">
        <v>0</v>
      </c>
      <c r="CN44">
        <v>0</v>
      </c>
      <c r="CP44" t="s">
        <v>347</v>
      </c>
      <c r="CQ44" t="s">
        <v>348</v>
      </c>
    </row>
    <row r="45" spans="1:95">
      <c r="A45" s="5">
        <v>46188</v>
      </c>
      <c r="B45" t="s">
        <v>521</v>
      </c>
      <c r="C45" t="s">
        <v>522</v>
      </c>
      <c r="D45" t="s">
        <v>523</v>
      </c>
      <c r="E45" t="s">
        <v>524</v>
      </c>
      <c r="F45" t="s">
        <v>337</v>
      </c>
      <c r="G45">
        <v>19</v>
      </c>
      <c r="H45">
        <v>0</v>
      </c>
      <c r="I45">
        <v>19</v>
      </c>
      <c r="J45">
        <v>0</v>
      </c>
      <c r="K45">
        <v>0</v>
      </c>
      <c r="L45">
        <v>0</v>
      </c>
      <c r="M45">
        <v>0</v>
      </c>
      <c r="N45">
        <v>0</v>
      </c>
      <c r="O45" t="s">
        <v>338</v>
      </c>
      <c r="P45">
        <v>1</v>
      </c>
      <c r="Q45">
        <v>1</v>
      </c>
      <c r="R45">
        <v>1</v>
      </c>
      <c r="S45">
        <v>1</v>
      </c>
      <c r="T45" t="s">
        <v>409</v>
      </c>
      <c r="U45">
        <v>41.99</v>
      </c>
      <c r="V45">
        <v>0</v>
      </c>
      <c r="W45">
        <v>21.99</v>
      </c>
      <c r="X45">
        <v>0</v>
      </c>
      <c r="Y45" t="s">
        <v>391</v>
      </c>
      <c r="AA45">
        <v>0</v>
      </c>
      <c r="AB45">
        <v>0</v>
      </c>
      <c r="AC45">
        <v>0</v>
      </c>
      <c r="AD45">
        <v>0</v>
      </c>
      <c r="AE45">
        <v>0.08</v>
      </c>
      <c r="AF45">
        <v>0.038098</v>
      </c>
      <c r="AG45" t="s">
        <v>340</v>
      </c>
      <c r="AH45" t="s">
        <v>341</v>
      </c>
      <c r="AI45">
        <v>0.723862</v>
      </c>
      <c r="AJ45" t="s">
        <v>342</v>
      </c>
      <c r="AK45" t="s">
        <v>353</v>
      </c>
      <c r="AL45">
        <v>206385</v>
      </c>
      <c r="AM45">
        <v>64</v>
      </c>
      <c r="AN45">
        <v>0</v>
      </c>
      <c r="AO45">
        <v>76</v>
      </c>
      <c r="AP45">
        <v>247</v>
      </c>
      <c r="AQ45">
        <v>21.99</v>
      </c>
      <c r="AR45">
        <v>0</v>
      </c>
      <c r="AS45">
        <v>0</v>
      </c>
      <c r="AT45">
        <v>0</v>
      </c>
      <c r="AU45">
        <v>0</v>
      </c>
      <c r="AV45">
        <v>0</v>
      </c>
      <c r="AW45">
        <v>19</v>
      </c>
      <c r="AX45">
        <v>0</v>
      </c>
      <c r="AY45">
        <v>0</v>
      </c>
      <c r="AZ45">
        <v>0</v>
      </c>
      <c r="BA45">
        <v>0.52</v>
      </c>
      <c r="BB45">
        <v>0</v>
      </c>
      <c r="BC45">
        <v>0</v>
      </c>
      <c r="BD45">
        <v>0</v>
      </c>
      <c r="BE45">
        <v>0</v>
      </c>
      <c r="BG45">
        <v>0</v>
      </c>
      <c r="BH45">
        <v>0</v>
      </c>
      <c r="BY45">
        <v>936</v>
      </c>
      <c r="BZ45">
        <v>11</v>
      </c>
      <c r="CA45" t="s">
        <v>360</v>
      </c>
      <c r="CB45">
        <v>1</v>
      </c>
      <c r="CC45" s="5">
        <v>46195</v>
      </c>
      <c r="CD45" s="5">
        <v>46188</v>
      </c>
      <c r="CE45" t="s">
        <v>345</v>
      </c>
      <c r="CF45" t="s">
        <v>346</v>
      </c>
      <c r="CG45">
        <v>596</v>
      </c>
      <c r="CH45">
        <v>936</v>
      </c>
      <c r="CI45" s="5">
        <v>46186</v>
      </c>
      <c r="CJ45">
        <v>19</v>
      </c>
      <c r="CK45">
        <v>0</v>
      </c>
      <c r="CL45">
        <v>0</v>
      </c>
      <c r="CM45">
        <v>0</v>
      </c>
      <c r="CN45">
        <v>0</v>
      </c>
      <c r="CO45">
        <v>64</v>
      </c>
      <c r="CP45" t="s">
        <v>347</v>
      </c>
      <c r="CQ45" t="s">
        <v>348</v>
      </c>
    </row>
    <row r="46" spans="1:95">
      <c r="A46" s="5">
        <v>46188</v>
      </c>
      <c r="B46" t="s">
        <v>525</v>
      </c>
      <c r="C46" t="s">
        <v>526</v>
      </c>
      <c r="D46" t="s">
        <v>527</v>
      </c>
      <c r="E46" t="s">
        <v>528</v>
      </c>
      <c r="G46">
        <v>0</v>
      </c>
      <c r="H46">
        <v>-1</v>
      </c>
      <c r="O46" t="s">
        <v>338</v>
      </c>
      <c r="U46">
        <v>0</v>
      </c>
      <c r="V46">
        <v>0</v>
      </c>
      <c r="W46">
        <v>0</v>
      </c>
      <c r="X46">
        <v>0</v>
      </c>
      <c r="Y46" t="s">
        <v>359</v>
      </c>
      <c r="AB46">
        <v>0</v>
      </c>
      <c r="AC46">
        <v>0</v>
      </c>
      <c r="AE46">
        <v>-1</v>
      </c>
      <c r="AH46" t="s">
        <v>341</v>
      </c>
      <c r="AJ46" t="s">
        <v>342</v>
      </c>
      <c r="AK46" t="s">
        <v>353</v>
      </c>
      <c r="AM46">
        <v>0</v>
      </c>
      <c r="AN46">
        <v>0</v>
      </c>
      <c r="AQ46">
        <v>9.99</v>
      </c>
      <c r="AY46">
        <v>0</v>
      </c>
      <c r="BB46">
        <v>0</v>
      </c>
      <c r="BC46">
        <v>0</v>
      </c>
      <c r="BD46">
        <v>0</v>
      </c>
      <c r="BE46">
        <v>0</v>
      </c>
      <c r="BG46">
        <v>0</v>
      </c>
      <c r="BH46">
        <v>0</v>
      </c>
      <c r="CJ46">
        <v>0</v>
      </c>
      <c r="CK46">
        <v>0</v>
      </c>
      <c r="CL46">
        <v>0</v>
      </c>
      <c r="CM46">
        <v>0</v>
      </c>
      <c r="CN46">
        <v>0</v>
      </c>
      <c r="CO46">
        <v>0</v>
      </c>
      <c r="CP46" t="s">
        <v>347</v>
      </c>
      <c r="CQ46" t="s">
        <v>348</v>
      </c>
    </row>
    <row r="47" spans="1:95">
      <c r="A47" s="5">
        <v>46188</v>
      </c>
      <c r="B47" t="s">
        <v>529</v>
      </c>
      <c r="C47" t="s">
        <v>530</v>
      </c>
      <c r="D47" t="s">
        <v>531</v>
      </c>
      <c r="E47" t="s">
        <v>532</v>
      </c>
      <c r="G47">
        <v>0</v>
      </c>
      <c r="H47">
        <v>-1</v>
      </c>
      <c r="O47" t="s">
        <v>338</v>
      </c>
      <c r="U47">
        <v>0</v>
      </c>
      <c r="V47">
        <v>0</v>
      </c>
      <c r="W47">
        <v>0</v>
      </c>
      <c r="X47">
        <v>0</v>
      </c>
      <c r="Y47" t="s">
        <v>359</v>
      </c>
      <c r="AB47">
        <v>0</v>
      </c>
      <c r="AC47">
        <v>0</v>
      </c>
      <c r="AE47">
        <v>-1</v>
      </c>
      <c r="AH47" t="s">
        <v>341</v>
      </c>
      <c r="AJ47" t="s">
        <v>342</v>
      </c>
      <c r="AK47" t="s">
        <v>353</v>
      </c>
      <c r="AN47">
        <v>0</v>
      </c>
      <c r="AQ47">
        <v>5.99</v>
      </c>
      <c r="AY47">
        <v>0</v>
      </c>
      <c r="BB47">
        <v>0</v>
      </c>
      <c r="BC47">
        <v>0</v>
      </c>
      <c r="BD47">
        <v>0</v>
      </c>
      <c r="BE47">
        <v>0</v>
      </c>
      <c r="BG47">
        <v>0</v>
      </c>
      <c r="BH47">
        <v>0</v>
      </c>
      <c r="CJ47">
        <v>0</v>
      </c>
      <c r="CK47">
        <v>0</v>
      </c>
      <c r="CL47">
        <v>0</v>
      </c>
      <c r="CM47">
        <v>0</v>
      </c>
      <c r="CN47">
        <v>0</v>
      </c>
      <c r="CP47" t="s">
        <v>347</v>
      </c>
      <c r="CQ47" t="s">
        <v>348</v>
      </c>
    </row>
    <row r="48" spans="1:95">
      <c r="A48" s="5">
        <v>46188</v>
      </c>
      <c r="B48" t="s">
        <v>533</v>
      </c>
      <c r="C48" t="s">
        <v>534</v>
      </c>
      <c r="D48" t="s">
        <v>535</v>
      </c>
      <c r="E48" t="s">
        <v>536</v>
      </c>
      <c r="G48">
        <v>0</v>
      </c>
      <c r="H48">
        <v>-1</v>
      </c>
      <c r="O48" t="s">
        <v>338</v>
      </c>
      <c r="U48">
        <v>0</v>
      </c>
      <c r="V48">
        <v>0</v>
      </c>
      <c r="W48">
        <v>0</v>
      </c>
      <c r="X48">
        <v>0</v>
      </c>
      <c r="Y48" t="s">
        <v>359</v>
      </c>
      <c r="AB48">
        <v>0</v>
      </c>
      <c r="AC48">
        <v>0</v>
      </c>
      <c r="AE48">
        <v>-1</v>
      </c>
      <c r="AH48" t="s">
        <v>341</v>
      </c>
      <c r="AJ48" t="s">
        <v>342</v>
      </c>
      <c r="AK48" t="s">
        <v>404</v>
      </c>
      <c r="AM48">
        <v>0</v>
      </c>
      <c r="AN48">
        <v>0</v>
      </c>
      <c r="AQ48">
        <v>9.99</v>
      </c>
      <c r="AY48">
        <v>0</v>
      </c>
      <c r="BB48">
        <v>0</v>
      </c>
      <c r="BC48">
        <v>0</v>
      </c>
      <c r="BD48">
        <v>0</v>
      </c>
      <c r="BE48">
        <v>0</v>
      </c>
      <c r="BG48">
        <v>0</v>
      </c>
      <c r="BH48">
        <v>0</v>
      </c>
      <c r="CJ48">
        <v>0</v>
      </c>
      <c r="CK48">
        <v>0</v>
      </c>
      <c r="CL48">
        <v>0</v>
      </c>
      <c r="CM48">
        <v>0</v>
      </c>
      <c r="CN48">
        <v>0</v>
      </c>
      <c r="CO48">
        <v>0</v>
      </c>
      <c r="CP48" t="s">
        <v>347</v>
      </c>
      <c r="CQ48" t="s">
        <v>348</v>
      </c>
    </row>
    <row r="49" spans="1:95">
      <c r="A49" s="5">
        <v>46188</v>
      </c>
      <c r="B49" t="s">
        <v>537</v>
      </c>
      <c r="C49" t="s">
        <v>538</v>
      </c>
      <c r="D49" t="s">
        <v>539</v>
      </c>
      <c r="E49" t="s">
        <v>540</v>
      </c>
      <c r="G49">
        <v>0</v>
      </c>
      <c r="H49">
        <v>-1</v>
      </c>
      <c r="O49" t="s">
        <v>338</v>
      </c>
      <c r="U49">
        <v>0</v>
      </c>
      <c r="V49">
        <v>0</v>
      </c>
      <c r="W49">
        <v>0</v>
      </c>
      <c r="X49">
        <v>0</v>
      </c>
      <c r="Y49" t="s">
        <v>359</v>
      </c>
      <c r="AB49">
        <v>0</v>
      </c>
      <c r="AC49">
        <v>0</v>
      </c>
      <c r="AE49">
        <v>-1</v>
      </c>
      <c r="AH49" t="s">
        <v>341</v>
      </c>
      <c r="AJ49" t="s">
        <v>342</v>
      </c>
      <c r="AK49" t="s">
        <v>404</v>
      </c>
      <c r="AM49">
        <v>0</v>
      </c>
      <c r="AN49">
        <v>0</v>
      </c>
      <c r="AQ49">
        <v>9.49</v>
      </c>
      <c r="AY49">
        <v>0</v>
      </c>
      <c r="BB49">
        <v>0</v>
      </c>
      <c r="BC49">
        <v>0</v>
      </c>
      <c r="BD49">
        <v>0</v>
      </c>
      <c r="BE49">
        <v>0</v>
      </c>
      <c r="BG49">
        <v>0</v>
      </c>
      <c r="BH49">
        <v>0</v>
      </c>
      <c r="CJ49">
        <v>0</v>
      </c>
      <c r="CK49">
        <v>0</v>
      </c>
      <c r="CL49">
        <v>0</v>
      </c>
      <c r="CM49">
        <v>0</v>
      </c>
      <c r="CN49">
        <v>0</v>
      </c>
      <c r="CO49">
        <v>0</v>
      </c>
      <c r="CP49" t="s">
        <v>347</v>
      </c>
      <c r="CQ49" t="s">
        <v>348</v>
      </c>
    </row>
    <row r="50" spans="1:95">
      <c r="A50" s="5">
        <v>46188</v>
      </c>
      <c r="B50" t="s">
        <v>541</v>
      </c>
      <c r="C50" t="s">
        <v>542</v>
      </c>
      <c r="D50" t="s">
        <v>543</v>
      </c>
      <c r="G50">
        <v>0</v>
      </c>
      <c r="H50">
        <v>-1</v>
      </c>
      <c r="O50" t="s">
        <v>338</v>
      </c>
      <c r="U50">
        <v>0</v>
      </c>
      <c r="V50">
        <v>0</v>
      </c>
      <c r="W50">
        <v>0</v>
      </c>
      <c r="X50">
        <v>0</v>
      </c>
      <c r="Y50" t="s">
        <v>359</v>
      </c>
      <c r="AB50">
        <v>0</v>
      </c>
      <c r="AC50">
        <v>0</v>
      </c>
      <c r="AE50">
        <v>-1</v>
      </c>
      <c r="AJ50" t="s">
        <v>342</v>
      </c>
      <c r="AN50">
        <v>0</v>
      </c>
      <c r="AY50">
        <v>0</v>
      </c>
      <c r="BB50">
        <v>0</v>
      </c>
      <c r="BG50">
        <v>0</v>
      </c>
      <c r="BH50">
        <v>0</v>
      </c>
      <c r="CJ50">
        <v>0</v>
      </c>
      <c r="CK50">
        <v>0</v>
      </c>
      <c r="CL50">
        <v>0</v>
      </c>
      <c r="CM50">
        <v>0</v>
      </c>
      <c r="CN50">
        <v>0</v>
      </c>
      <c r="CP50" t="s">
        <v>347</v>
      </c>
      <c r="CQ50" t="s">
        <v>348</v>
      </c>
    </row>
    <row r="51" spans="1:95">
      <c r="A51" s="5">
        <v>46188</v>
      </c>
      <c r="B51" t="s">
        <v>544</v>
      </c>
      <c r="C51" t="s">
        <v>545</v>
      </c>
      <c r="D51" t="s">
        <v>546</v>
      </c>
      <c r="E51" t="s">
        <v>547</v>
      </c>
      <c r="F51" t="s">
        <v>337</v>
      </c>
      <c r="G51">
        <v>18</v>
      </c>
      <c r="H51">
        <v>0</v>
      </c>
      <c r="I51">
        <v>19</v>
      </c>
      <c r="J51">
        <v>0</v>
      </c>
      <c r="K51">
        <v>0</v>
      </c>
      <c r="L51">
        <v>0</v>
      </c>
      <c r="M51">
        <v>0</v>
      </c>
      <c r="N51">
        <v>0</v>
      </c>
      <c r="O51" t="s">
        <v>338</v>
      </c>
      <c r="P51">
        <v>1</v>
      </c>
      <c r="Q51">
        <v>9</v>
      </c>
      <c r="R51">
        <v>12</v>
      </c>
      <c r="S51">
        <v>15</v>
      </c>
      <c r="T51" t="s">
        <v>351</v>
      </c>
      <c r="U51">
        <v>23.59</v>
      </c>
      <c r="V51">
        <v>18.99</v>
      </c>
      <c r="W51">
        <v>18.99</v>
      </c>
      <c r="X51">
        <v>0</v>
      </c>
      <c r="Y51" t="s">
        <v>339</v>
      </c>
      <c r="AA51">
        <v>9.49</v>
      </c>
      <c r="AB51">
        <v>2</v>
      </c>
      <c r="AC51">
        <v>0</v>
      </c>
      <c r="AD51">
        <v>36.93</v>
      </c>
      <c r="AE51">
        <v>2</v>
      </c>
      <c r="AF51">
        <v>0.098612</v>
      </c>
      <c r="AG51" t="s">
        <v>340</v>
      </c>
      <c r="AH51" t="s">
        <v>341</v>
      </c>
      <c r="AI51">
        <v>1.775016</v>
      </c>
      <c r="AJ51" t="s">
        <v>342</v>
      </c>
      <c r="AK51" t="s">
        <v>353</v>
      </c>
      <c r="AL51">
        <v>409152</v>
      </c>
      <c r="AM51">
        <v>73</v>
      </c>
      <c r="AN51">
        <v>0</v>
      </c>
      <c r="AO51">
        <v>8</v>
      </c>
      <c r="AP51">
        <v>15</v>
      </c>
      <c r="AQ51">
        <v>18.99</v>
      </c>
      <c r="AR51">
        <v>18.99</v>
      </c>
      <c r="AS51">
        <v>180.11</v>
      </c>
      <c r="AT51">
        <v>250.88</v>
      </c>
      <c r="AU51">
        <v>302.84</v>
      </c>
      <c r="AV51">
        <v>19</v>
      </c>
      <c r="AW51">
        <v>0</v>
      </c>
      <c r="AX51">
        <v>0</v>
      </c>
      <c r="AY51">
        <v>0</v>
      </c>
      <c r="AZ51">
        <v>0</v>
      </c>
      <c r="BA51">
        <v>1.17</v>
      </c>
      <c r="BB51">
        <v>0</v>
      </c>
      <c r="BC51">
        <v>0</v>
      </c>
      <c r="BD51">
        <v>0</v>
      </c>
      <c r="BE51">
        <v>0</v>
      </c>
      <c r="BG51">
        <v>0</v>
      </c>
      <c r="BH51">
        <v>1</v>
      </c>
      <c r="BY51">
        <v>60.5</v>
      </c>
      <c r="BZ51">
        <v>14</v>
      </c>
      <c r="CA51" t="s">
        <v>360</v>
      </c>
      <c r="CB51">
        <v>4</v>
      </c>
      <c r="CC51" s="5">
        <v>46194</v>
      </c>
      <c r="CD51" s="5">
        <v>46188</v>
      </c>
      <c r="CE51" t="s">
        <v>345</v>
      </c>
      <c r="CF51" t="s">
        <v>346</v>
      </c>
      <c r="CG51">
        <v>60.5</v>
      </c>
      <c r="CH51">
        <v>47.1</v>
      </c>
      <c r="CI51" s="5">
        <v>46186</v>
      </c>
      <c r="CJ51">
        <v>18</v>
      </c>
      <c r="CK51">
        <v>0</v>
      </c>
      <c r="CL51">
        <v>0</v>
      </c>
      <c r="CM51">
        <v>0</v>
      </c>
      <c r="CN51">
        <v>0</v>
      </c>
      <c r="CO51">
        <v>73</v>
      </c>
      <c r="CP51" t="s">
        <v>347</v>
      </c>
      <c r="CQ51" t="s">
        <v>348</v>
      </c>
    </row>
    <row r="52" spans="1:95">
      <c r="A52" s="5">
        <v>46188</v>
      </c>
      <c r="B52" t="s">
        <v>548</v>
      </c>
      <c r="C52" t="s">
        <v>549</v>
      </c>
      <c r="D52" t="s">
        <v>550</v>
      </c>
      <c r="E52" t="s">
        <v>551</v>
      </c>
      <c r="G52">
        <v>0</v>
      </c>
      <c r="H52">
        <v>-1</v>
      </c>
      <c r="O52" t="s">
        <v>338</v>
      </c>
      <c r="U52">
        <v>0</v>
      </c>
      <c r="V52">
        <v>0</v>
      </c>
      <c r="W52">
        <v>0</v>
      </c>
      <c r="X52">
        <v>0</v>
      </c>
      <c r="Y52" t="s">
        <v>359</v>
      </c>
      <c r="AB52">
        <v>0</v>
      </c>
      <c r="AC52">
        <v>0</v>
      </c>
      <c r="AE52">
        <v>-1</v>
      </c>
      <c r="AH52" t="s">
        <v>341</v>
      </c>
      <c r="AJ52" t="s">
        <v>342</v>
      </c>
      <c r="AK52" t="s">
        <v>353</v>
      </c>
      <c r="AM52">
        <v>0</v>
      </c>
      <c r="AN52">
        <v>0</v>
      </c>
      <c r="AQ52">
        <v>25.99</v>
      </c>
      <c r="AY52">
        <v>0</v>
      </c>
      <c r="BB52">
        <v>0</v>
      </c>
      <c r="BC52">
        <v>0</v>
      </c>
      <c r="BD52">
        <v>0</v>
      </c>
      <c r="BE52">
        <v>0</v>
      </c>
      <c r="BG52">
        <v>0</v>
      </c>
      <c r="BH52">
        <v>0</v>
      </c>
      <c r="BZ52">
        <v>1</v>
      </c>
      <c r="CA52" t="s">
        <v>429</v>
      </c>
      <c r="CJ52">
        <v>0</v>
      </c>
      <c r="CK52">
        <v>0</v>
      </c>
      <c r="CL52">
        <v>0</v>
      </c>
      <c r="CM52">
        <v>0</v>
      </c>
      <c r="CN52">
        <v>0</v>
      </c>
      <c r="CO52">
        <v>0</v>
      </c>
      <c r="CP52" t="s">
        <v>347</v>
      </c>
      <c r="CQ52" t="s">
        <v>348</v>
      </c>
    </row>
    <row r="53" spans="1:95">
      <c r="A53" s="5">
        <v>46188</v>
      </c>
      <c r="B53" t="s">
        <v>552</v>
      </c>
      <c r="C53" t="s">
        <v>553</v>
      </c>
      <c r="D53" t="s">
        <v>554</v>
      </c>
      <c r="E53" t="s">
        <v>555</v>
      </c>
      <c r="G53">
        <v>0</v>
      </c>
      <c r="H53">
        <v>-1</v>
      </c>
      <c r="O53" t="s">
        <v>338</v>
      </c>
      <c r="P53">
        <v>0</v>
      </c>
      <c r="Q53">
        <v>0</v>
      </c>
      <c r="R53">
        <v>0</v>
      </c>
      <c r="S53">
        <v>0</v>
      </c>
      <c r="U53">
        <v>0</v>
      </c>
      <c r="V53">
        <v>0</v>
      </c>
      <c r="W53">
        <v>0</v>
      </c>
      <c r="X53">
        <v>0</v>
      </c>
      <c r="Y53" t="s">
        <v>359</v>
      </c>
      <c r="AB53">
        <v>0</v>
      </c>
      <c r="AC53">
        <v>0</v>
      </c>
      <c r="AE53">
        <v>-1</v>
      </c>
      <c r="AH53" t="s">
        <v>341</v>
      </c>
      <c r="AJ53" t="s">
        <v>342</v>
      </c>
      <c r="AK53" t="s">
        <v>353</v>
      </c>
      <c r="AM53">
        <v>0</v>
      </c>
      <c r="AN53">
        <v>0</v>
      </c>
      <c r="AQ53">
        <v>35.99</v>
      </c>
      <c r="AR53">
        <v>0</v>
      </c>
      <c r="AS53">
        <v>0</v>
      </c>
      <c r="AT53">
        <v>0</v>
      </c>
      <c r="AU53">
        <v>0</v>
      </c>
      <c r="AY53">
        <v>0</v>
      </c>
      <c r="BB53">
        <v>0</v>
      </c>
      <c r="BC53">
        <v>0</v>
      </c>
      <c r="BD53">
        <v>0</v>
      </c>
      <c r="BE53">
        <v>0</v>
      </c>
      <c r="BG53">
        <v>0</v>
      </c>
      <c r="BH53">
        <v>0</v>
      </c>
      <c r="BZ53">
        <v>1</v>
      </c>
      <c r="CA53" t="s">
        <v>429</v>
      </c>
      <c r="CJ53">
        <v>0</v>
      </c>
      <c r="CK53">
        <v>0</v>
      </c>
      <c r="CL53">
        <v>0</v>
      </c>
      <c r="CM53">
        <v>0</v>
      </c>
      <c r="CN53">
        <v>0</v>
      </c>
      <c r="CO53">
        <v>0</v>
      </c>
      <c r="CP53" t="s">
        <v>347</v>
      </c>
      <c r="CQ53" t="s">
        <v>348</v>
      </c>
    </row>
    <row r="54" spans="1:95">
      <c r="A54" s="5">
        <v>46188</v>
      </c>
      <c r="B54" t="s">
        <v>556</v>
      </c>
      <c r="C54" t="s">
        <v>116</v>
      </c>
      <c r="D54" t="s">
        <v>557</v>
      </c>
      <c r="E54" t="s">
        <v>558</v>
      </c>
      <c r="F54" t="s">
        <v>337</v>
      </c>
      <c r="G54">
        <v>289</v>
      </c>
      <c r="H54">
        <v>0</v>
      </c>
      <c r="I54">
        <v>309</v>
      </c>
      <c r="J54">
        <v>0</v>
      </c>
      <c r="K54">
        <v>0</v>
      </c>
      <c r="L54">
        <v>0</v>
      </c>
      <c r="M54">
        <v>0</v>
      </c>
      <c r="N54">
        <v>0</v>
      </c>
      <c r="O54" t="s">
        <v>338</v>
      </c>
      <c r="P54">
        <v>25</v>
      </c>
      <c r="Q54">
        <v>123</v>
      </c>
      <c r="R54">
        <v>283</v>
      </c>
      <c r="S54">
        <v>524</v>
      </c>
      <c r="U54">
        <v>18.99</v>
      </c>
      <c r="V54">
        <v>0</v>
      </c>
      <c r="W54">
        <v>18.99</v>
      </c>
      <c r="X54">
        <v>0</v>
      </c>
      <c r="Y54" t="s">
        <v>359</v>
      </c>
      <c r="AA54">
        <v>0</v>
      </c>
      <c r="AB54">
        <v>0</v>
      </c>
      <c r="AC54">
        <v>0</v>
      </c>
      <c r="AD54">
        <v>0</v>
      </c>
      <c r="AE54">
        <v>2.17</v>
      </c>
      <c r="AF54">
        <v>0.064997</v>
      </c>
      <c r="AG54" t="s">
        <v>340</v>
      </c>
      <c r="AH54" t="s">
        <v>341</v>
      </c>
      <c r="AI54">
        <v>18.784133</v>
      </c>
      <c r="AJ54" t="s">
        <v>342</v>
      </c>
      <c r="AK54" t="s">
        <v>353</v>
      </c>
      <c r="AL54">
        <v>2409</v>
      </c>
      <c r="AM54">
        <v>74</v>
      </c>
      <c r="AN54">
        <v>0</v>
      </c>
      <c r="AO54">
        <v>17</v>
      </c>
      <c r="AP54">
        <v>13</v>
      </c>
      <c r="AQ54">
        <v>14.24</v>
      </c>
      <c r="AR54">
        <v>370.25</v>
      </c>
      <c r="AS54">
        <v>1770.52</v>
      </c>
      <c r="AT54">
        <v>4022.32</v>
      </c>
      <c r="AU54">
        <v>7382.1</v>
      </c>
      <c r="AV54">
        <v>299</v>
      </c>
      <c r="AW54">
        <v>10</v>
      </c>
      <c r="AX54">
        <v>0</v>
      </c>
      <c r="AY54">
        <v>0</v>
      </c>
      <c r="AZ54">
        <v>0</v>
      </c>
      <c r="BA54">
        <v>15.08</v>
      </c>
      <c r="BB54">
        <v>240</v>
      </c>
      <c r="BC54">
        <v>0</v>
      </c>
      <c r="BD54">
        <v>240</v>
      </c>
      <c r="BE54">
        <v>0</v>
      </c>
      <c r="BG54">
        <v>14</v>
      </c>
      <c r="BH54">
        <v>0</v>
      </c>
      <c r="BY54">
        <v>71.8</v>
      </c>
      <c r="BZ54">
        <v>372</v>
      </c>
      <c r="CA54" t="s">
        <v>344</v>
      </c>
      <c r="CB54">
        <v>345</v>
      </c>
      <c r="CC54" s="5">
        <v>46195</v>
      </c>
      <c r="CD54" s="5">
        <v>46188</v>
      </c>
      <c r="CE54" t="s">
        <v>346</v>
      </c>
      <c r="CF54" t="s">
        <v>346</v>
      </c>
      <c r="CG54">
        <v>71.8</v>
      </c>
      <c r="CH54">
        <v>36</v>
      </c>
      <c r="CI54" s="5">
        <v>46186</v>
      </c>
      <c r="CJ54">
        <v>539</v>
      </c>
      <c r="CK54">
        <v>10</v>
      </c>
      <c r="CL54">
        <v>13</v>
      </c>
      <c r="CM54">
        <v>1</v>
      </c>
      <c r="CN54">
        <v>0</v>
      </c>
      <c r="CO54">
        <v>77</v>
      </c>
      <c r="CP54" t="s">
        <v>347</v>
      </c>
      <c r="CQ54" t="s">
        <v>348</v>
      </c>
    </row>
    <row r="55" spans="1:95">
      <c r="A55" s="5">
        <v>46188</v>
      </c>
      <c r="B55" t="s">
        <v>559</v>
      </c>
      <c r="C55" t="s">
        <v>560</v>
      </c>
      <c r="D55" t="s">
        <v>561</v>
      </c>
      <c r="E55" t="s">
        <v>562</v>
      </c>
      <c r="F55" t="s">
        <v>337</v>
      </c>
      <c r="G55">
        <v>0</v>
      </c>
      <c r="H55">
        <v>-1</v>
      </c>
      <c r="O55" t="s">
        <v>338</v>
      </c>
      <c r="U55">
        <v>55.99</v>
      </c>
      <c r="V55">
        <v>0</v>
      </c>
      <c r="W55">
        <v>0</v>
      </c>
      <c r="X55">
        <v>0</v>
      </c>
      <c r="Y55" t="s">
        <v>372</v>
      </c>
      <c r="AB55">
        <v>0</v>
      </c>
      <c r="AC55">
        <v>0</v>
      </c>
      <c r="AE55">
        <v>-1</v>
      </c>
      <c r="AH55" t="s">
        <v>341</v>
      </c>
      <c r="AJ55" t="s">
        <v>342</v>
      </c>
      <c r="AK55" t="s">
        <v>404</v>
      </c>
      <c r="AN55">
        <v>0</v>
      </c>
      <c r="AQ55">
        <v>55.99</v>
      </c>
      <c r="AY55">
        <v>0</v>
      </c>
      <c r="BB55">
        <v>20</v>
      </c>
      <c r="BC55">
        <v>20</v>
      </c>
      <c r="BD55">
        <v>0</v>
      </c>
      <c r="BE55">
        <v>0</v>
      </c>
      <c r="BG55">
        <v>0</v>
      </c>
      <c r="BH55">
        <v>0</v>
      </c>
      <c r="CJ55">
        <v>20</v>
      </c>
      <c r="CK55">
        <v>0</v>
      </c>
      <c r="CL55">
        <v>0</v>
      </c>
      <c r="CM55">
        <v>0</v>
      </c>
      <c r="CN55">
        <v>0</v>
      </c>
      <c r="CP55" t="s">
        <v>347</v>
      </c>
      <c r="CQ55" t="s">
        <v>348</v>
      </c>
    </row>
    <row r="56" spans="1:95">
      <c r="A56" s="5">
        <v>46188</v>
      </c>
      <c r="B56" t="s">
        <v>563</v>
      </c>
      <c r="C56" t="s">
        <v>564</v>
      </c>
      <c r="D56" t="s">
        <v>565</v>
      </c>
      <c r="E56" t="s">
        <v>566</v>
      </c>
      <c r="G56">
        <v>0</v>
      </c>
      <c r="H56">
        <v>-1</v>
      </c>
      <c r="O56" t="s">
        <v>338</v>
      </c>
      <c r="U56">
        <v>0</v>
      </c>
      <c r="V56">
        <v>0</v>
      </c>
      <c r="W56">
        <v>0</v>
      </c>
      <c r="X56">
        <v>0</v>
      </c>
      <c r="Y56" t="s">
        <v>359</v>
      </c>
      <c r="AB56">
        <v>0</v>
      </c>
      <c r="AC56">
        <v>0</v>
      </c>
      <c r="AE56">
        <v>-1</v>
      </c>
      <c r="AJ56" t="s">
        <v>342</v>
      </c>
      <c r="AK56" t="s">
        <v>353</v>
      </c>
      <c r="AM56">
        <v>0</v>
      </c>
      <c r="AN56">
        <v>0</v>
      </c>
      <c r="AQ56">
        <v>9.49</v>
      </c>
      <c r="AY56">
        <v>0</v>
      </c>
      <c r="BB56">
        <v>0</v>
      </c>
      <c r="BG56">
        <v>0</v>
      </c>
      <c r="BH56">
        <v>0</v>
      </c>
      <c r="CJ56">
        <v>0</v>
      </c>
      <c r="CK56">
        <v>0</v>
      </c>
      <c r="CL56">
        <v>0</v>
      </c>
      <c r="CM56">
        <v>0</v>
      </c>
      <c r="CN56">
        <v>0</v>
      </c>
      <c r="CO56">
        <v>0</v>
      </c>
      <c r="CP56" t="s">
        <v>347</v>
      </c>
      <c r="CQ56" t="s">
        <v>348</v>
      </c>
    </row>
    <row r="57" spans="1:95">
      <c r="A57" s="5">
        <v>46188</v>
      </c>
      <c r="B57" t="s">
        <v>567</v>
      </c>
      <c r="C57" t="s">
        <v>568</v>
      </c>
      <c r="D57" t="s">
        <v>569</v>
      </c>
      <c r="E57" t="s">
        <v>570</v>
      </c>
      <c r="F57" t="s">
        <v>337</v>
      </c>
      <c r="G57">
        <v>54</v>
      </c>
      <c r="H57">
        <v>0</v>
      </c>
      <c r="I57">
        <v>69</v>
      </c>
      <c r="J57">
        <v>0</v>
      </c>
      <c r="K57">
        <v>0</v>
      </c>
      <c r="L57">
        <v>0</v>
      </c>
      <c r="M57">
        <v>0</v>
      </c>
      <c r="N57">
        <v>0</v>
      </c>
      <c r="O57" t="s">
        <v>338</v>
      </c>
      <c r="P57">
        <v>4</v>
      </c>
      <c r="Q57">
        <v>14</v>
      </c>
      <c r="R57">
        <v>26</v>
      </c>
      <c r="S57">
        <v>62</v>
      </c>
      <c r="U57">
        <v>29.99</v>
      </c>
      <c r="V57">
        <v>0</v>
      </c>
      <c r="W57">
        <v>28.49</v>
      </c>
      <c r="X57">
        <v>0</v>
      </c>
      <c r="Y57" t="s">
        <v>464</v>
      </c>
      <c r="AA57">
        <v>0</v>
      </c>
      <c r="AB57">
        <v>0</v>
      </c>
      <c r="AC57">
        <v>0</v>
      </c>
      <c r="AD57">
        <v>0</v>
      </c>
      <c r="AE57">
        <v>1.35</v>
      </c>
      <c r="AF57">
        <v>0.166667</v>
      </c>
      <c r="AG57" t="s">
        <v>340</v>
      </c>
      <c r="AH57" t="s">
        <v>341</v>
      </c>
      <c r="AI57">
        <v>9.000018</v>
      </c>
      <c r="AJ57" t="s">
        <v>342</v>
      </c>
      <c r="AK57" t="s">
        <v>353</v>
      </c>
      <c r="AL57">
        <v>9437</v>
      </c>
      <c r="AM57">
        <v>95</v>
      </c>
      <c r="AN57">
        <v>0</v>
      </c>
      <c r="AO57">
        <v>15</v>
      </c>
      <c r="AP57">
        <v>11</v>
      </c>
      <c r="AQ57">
        <v>24.99</v>
      </c>
      <c r="AR57">
        <v>99.96</v>
      </c>
      <c r="AS57">
        <v>350.08</v>
      </c>
      <c r="AT57">
        <v>659.57</v>
      </c>
      <c r="AU57">
        <v>1529.21</v>
      </c>
      <c r="AV57">
        <v>18</v>
      </c>
      <c r="AW57">
        <v>51</v>
      </c>
      <c r="AX57">
        <v>0</v>
      </c>
      <c r="AY57">
        <v>0</v>
      </c>
      <c r="AZ57">
        <v>0</v>
      </c>
      <c r="BA57">
        <v>7.21</v>
      </c>
      <c r="BB57">
        <v>0</v>
      </c>
      <c r="BC57">
        <v>0</v>
      </c>
      <c r="BD57">
        <v>0</v>
      </c>
      <c r="BE57">
        <v>0</v>
      </c>
      <c r="BG57">
        <v>0</v>
      </c>
      <c r="BH57">
        <v>0</v>
      </c>
      <c r="BY57">
        <v>100.3</v>
      </c>
      <c r="BZ57">
        <v>44</v>
      </c>
      <c r="CA57" t="s">
        <v>360</v>
      </c>
      <c r="CB57">
        <v>19</v>
      </c>
      <c r="CC57" s="5">
        <v>46195</v>
      </c>
      <c r="CD57" s="5">
        <v>46181</v>
      </c>
      <c r="CE57" t="s">
        <v>345</v>
      </c>
      <c r="CF57" t="s">
        <v>346</v>
      </c>
      <c r="CG57">
        <v>100.3</v>
      </c>
      <c r="CH57">
        <v>47.9</v>
      </c>
      <c r="CI57" s="5">
        <v>46186</v>
      </c>
      <c r="CJ57">
        <v>67</v>
      </c>
      <c r="CK57">
        <v>13</v>
      </c>
      <c r="CL57">
        <v>0</v>
      </c>
      <c r="CM57">
        <v>0</v>
      </c>
      <c r="CN57">
        <v>0</v>
      </c>
      <c r="CO57">
        <v>95</v>
      </c>
      <c r="CP57" t="s">
        <v>347</v>
      </c>
      <c r="CQ57" t="s">
        <v>348</v>
      </c>
    </row>
    <row r="58" spans="1:95">
      <c r="A58" s="5">
        <v>46188</v>
      </c>
      <c r="B58" t="s">
        <v>571</v>
      </c>
      <c r="C58" t="s">
        <v>47</v>
      </c>
      <c r="D58" t="s">
        <v>69</v>
      </c>
      <c r="E58" t="s">
        <v>572</v>
      </c>
      <c r="G58">
        <v>21</v>
      </c>
      <c r="H58">
        <v>0</v>
      </c>
      <c r="I58">
        <v>0</v>
      </c>
      <c r="J58">
        <v>1</v>
      </c>
      <c r="K58">
        <v>20</v>
      </c>
      <c r="L58">
        <v>0</v>
      </c>
      <c r="M58">
        <v>0</v>
      </c>
      <c r="N58">
        <v>0</v>
      </c>
      <c r="O58" t="s">
        <v>338</v>
      </c>
      <c r="P58">
        <v>0</v>
      </c>
      <c r="Q58">
        <v>1</v>
      </c>
      <c r="R58">
        <v>2</v>
      </c>
      <c r="S58">
        <v>5</v>
      </c>
      <c r="T58" t="s">
        <v>351</v>
      </c>
      <c r="W58">
        <v>39.99</v>
      </c>
      <c r="X58">
        <v>-1</v>
      </c>
      <c r="Y58" t="s">
        <v>372</v>
      </c>
      <c r="AA58">
        <v>19.99</v>
      </c>
      <c r="AB58">
        <v>2</v>
      </c>
      <c r="AC58">
        <v>0</v>
      </c>
      <c r="AD58">
        <v>1188.86</v>
      </c>
      <c r="AE58">
        <v>0.21</v>
      </c>
      <c r="AF58">
        <v>0.200379</v>
      </c>
      <c r="AG58" t="s">
        <v>340</v>
      </c>
      <c r="AH58" t="s">
        <v>341</v>
      </c>
      <c r="AI58">
        <v>4.207959</v>
      </c>
      <c r="AJ58" t="s">
        <v>342</v>
      </c>
      <c r="AK58" t="s">
        <v>353</v>
      </c>
      <c r="AL58">
        <v>707040</v>
      </c>
      <c r="AM58">
        <v>351</v>
      </c>
      <c r="AN58">
        <v>21</v>
      </c>
      <c r="AO58">
        <v>84</v>
      </c>
      <c r="AP58">
        <v>54</v>
      </c>
      <c r="AQ58">
        <v>31.99</v>
      </c>
      <c r="AR58">
        <v>0</v>
      </c>
      <c r="AS58">
        <v>37.99</v>
      </c>
      <c r="AT58">
        <v>77.98</v>
      </c>
      <c r="AU58">
        <v>174.75</v>
      </c>
      <c r="AV58">
        <v>0</v>
      </c>
      <c r="AW58">
        <v>0</v>
      </c>
      <c r="AX58">
        <v>0</v>
      </c>
      <c r="AY58">
        <v>20</v>
      </c>
      <c r="AZ58">
        <v>0</v>
      </c>
      <c r="BA58">
        <v>24.64</v>
      </c>
      <c r="BB58">
        <v>0</v>
      </c>
      <c r="BC58">
        <v>0</v>
      </c>
      <c r="BD58">
        <v>0</v>
      </c>
      <c r="BE58">
        <v>0</v>
      </c>
      <c r="BG58">
        <v>1</v>
      </c>
      <c r="BH58">
        <v>0</v>
      </c>
      <c r="BI58">
        <v>0</v>
      </c>
      <c r="BJ58">
        <v>0</v>
      </c>
      <c r="BK58">
        <v>0</v>
      </c>
      <c r="BL58">
        <v>0</v>
      </c>
      <c r="BM58">
        <v>20</v>
      </c>
      <c r="BN58">
        <v>6.01</v>
      </c>
      <c r="BO58">
        <v>0</v>
      </c>
      <c r="BP58">
        <v>0</v>
      </c>
      <c r="BQ58">
        <v>0</v>
      </c>
      <c r="BR58">
        <v>0</v>
      </c>
      <c r="BS58">
        <v>0</v>
      </c>
      <c r="BT58">
        <v>0</v>
      </c>
      <c r="BU58">
        <v>0</v>
      </c>
      <c r="BV58">
        <v>0</v>
      </c>
      <c r="BW58">
        <v>0</v>
      </c>
      <c r="BX58">
        <v>0</v>
      </c>
      <c r="BY58">
        <v>673</v>
      </c>
      <c r="BZ58">
        <v>3</v>
      </c>
      <c r="CA58" t="s">
        <v>354</v>
      </c>
      <c r="CD58" s="5">
        <v>46188</v>
      </c>
      <c r="CE58" t="s">
        <v>345</v>
      </c>
      <c r="CF58" t="s">
        <v>346</v>
      </c>
      <c r="CG58">
        <v>673</v>
      </c>
      <c r="CH58">
        <v>423</v>
      </c>
      <c r="CI58" s="5">
        <v>46186</v>
      </c>
      <c r="CJ58">
        <v>21</v>
      </c>
      <c r="CK58">
        <v>0</v>
      </c>
      <c r="CL58">
        <v>1</v>
      </c>
      <c r="CM58">
        <v>0</v>
      </c>
      <c r="CN58">
        <v>0</v>
      </c>
      <c r="CO58">
        <v>366</v>
      </c>
      <c r="CP58" t="s">
        <v>347</v>
      </c>
      <c r="CQ58" t="s">
        <v>348</v>
      </c>
    </row>
    <row r="59" spans="1:95">
      <c r="A59" s="5">
        <v>46188</v>
      </c>
      <c r="B59" t="s">
        <v>573</v>
      </c>
      <c r="C59" t="s">
        <v>574</v>
      </c>
      <c r="D59" t="s">
        <v>575</v>
      </c>
      <c r="E59" t="s">
        <v>576</v>
      </c>
      <c r="F59" t="s">
        <v>337</v>
      </c>
      <c r="G59">
        <v>20</v>
      </c>
      <c r="H59">
        <v>0</v>
      </c>
      <c r="I59">
        <v>20</v>
      </c>
      <c r="J59">
        <v>0</v>
      </c>
      <c r="K59">
        <v>0</v>
      </c>
      <c r="L59">
        <v>0</v>
      </c>
      <c r="M59">
        <v>0</v>
      </c>
      <c r="N59">
        <v>0</v>
      </c>
      <c r="O59" t="s">
        <v>338</v>
      </c>
      <c r="T59" t="s">
        <v>409</v>
      </c>
      <c r="U59">
        <v>41.99</v>
      </c>
      <c r="V59">
        <v>0</v>
      </c>
      <c r="W59">
        <v>28.99</v>
      </c>
      <c r="X59">
        <v>0</v>
      </c>
      <c r="Y59" t="s">
        <v>391</v>
      </c>
      <c r="AA59">
        <v>0</v>
      </c>
      <c r="AB59">
        <v>0</v>
      </c>
      <c r="AC59">
        <v>0</v>
      </c>
      <c r="AD59">
        <v>0</v>
      </c>
      <c r="AE59">
        <v>0</v>
      </c>
      <c r="AF59">
        <v>0.091635</v>
      </c>
      <c r="AG59" t="s">
        <v>340</v>
      </c>
      <c r="AH59" t="s">
        <v>341</v>
      </c>
      <c r="AI59">
        <v>1.8327</v>
      </c>
      <c r="AJ59" t="s">
        <v>342</v>
      </c>
      <c r="AK59" t="s">
        <v>353</v>
      </c>
      <c r="AL59">
        <v>206385</v>
      </c>
      <c r="AM59">
        <v>28</v>
      </c>
      <c r="AN59">
        <v>0</v>
      </c>
      <c r="AQ59">
        <v>28.99</v>
      </c>
      <c r="AV59">
        <v>0</v>
      </c>
      <c r="AW59">
        <v>20</v>
      </c>
      <c r="AX59">
        <v>0</v>
      </c>
      <c r="AY59">
        <v>0</v>
      </c>
      <c r="AZ59">
        <v>0</v>
      </c>
      <c r="BA59">
        <v>1.31</v>
      </c>
      <c r="BB59">
        <v>0</v>
      </c>
      <c r="BC59">
        <v>0</v>
      </c>
      <c r="BD59">
        <v>0</v>
      </c>
      <c r="BE59">
        <v>0</v>
      </c>
      <c r="BG59">
        <v>0</v>
      </c>
      <c r="BH59">
        <v>0</v>
      </c>
      <c r="CB59">
        <v>48</v>
      </c>
      <c r="CC59" s="5">
        <v>46193</v>
      </c>
      <c r="CI59" s="5">
        <v>46186</v>
      </c>
      <c r="CJ59">
        <v>20</v>
      </c>
      <c r="CK59">
        <v>0</v>
      </c>
      <c r="CL59">
        <v>0</v>
      </c>
      <c r="CM59">
        <v>0</v>
      </c>
      <c r="CN59">
        <v>0</v>
      </c>
      <c r="CO59">
        <v>28</v>
      </c>
      <c r="CP59" t="s">
        <v>347</v>
      </c>
      <c r="CQ59" t="s">
        <v>348</v>
      </c>
    </row>
    <row r="60" spans="1:95">
      <c r="A60" s="5">
        <v>46188</v>
      </c>
      <c r="B60" t="s">
        <v>577</v>
      </c>
      <c r="C60" t="s">
        <v>113</v>
      </c>
      <c r="D60" t="s">
        <v>578</v>
      </c>
      <c r="E60" t="s">
        <v>579</v>
      </c>
      <c r="F60" t="s">
        <v>337</v>
      </c>
      <c r="G60">
        <v>31</v>
      </c>
      <c r="H60">
        <v>0</v>
      </c>
      <c r="I60">
        <v>39</v>
      </c>
      <c r="J60">
        <v>0</v>
      </c>
      <c r="K60">
        <v>0</v>
      </c>
      <c r="L60">
        <v>0</v>
      </c>
      <c r="M60">
        <v>0</v>
      </c>
      <c r="N60">
        <v>0</v>
      </c>
      <c r="O60" t="s">
        <v>338</v>
      </c>
      <c r="P60">
        <v>16</v>
      </c>
      <c r="Q60">
        <v>23</v>
      </c>
      <c r="R60">
        <v>62</v>
      </c>
      <c r="S60">
        <v>93</v>
      </c>
      <c r="U60">
        <v>39.99</v>
      </c>
      <c r="V60">
        <v>0</v>
      </c>
      <c r="W60">
        <v>39.99</v>
      </c>
      <c r="X60">
        <v>0</v>
      </c>
      <c r="Y60" t="s">
        <v>359</v>
      </c>
      <c r="AA60">
        <v>0</v>
      </c>
      <c r="AB60">
        <v>0</v>
      </c>
      <c r="AC60">
        <v>0</v>
      </c>
      <c r="AD60">
        <v>0</v>
      </c>
      <c r="AE60">
        <v>2.09</v>
      </c>
      <c r="AF60">
        <v>0.292129</v>
      </c>
      <c r="AG60" t="s">
        <v>340</v>
      </c>
      <c r="AH60" t="s">
        <v>341</v>
      </c>
      <c r="AI60">
        <v>9.055999</v>
      </c>
      <c r="AJ60" t="s">
        <v>342</v>
      </c>
      <c r="AK60" t="s">
        <v>343</v>
      </c>
      <c r="AL60">
        <v>32209</v>
      </c>
      <c r="AM60">
        <v>153</v>
      </c>
      <c r="AN60">
        <v>0</v>
      </c>
      <c r="AO60">
        <v>27</v>
      </c>
      <c r="AP60">
        <v>21</v>
      </c>
      <c r="AQ60">
        <v>39.99</v>
      </c>
      <c r="AR60">
        <v>591.84</v>
      </c>
      <c r="AS60">
        <v>842.27</v>
      </c>
      <c r="AT60">
        <v>2171.38</v>
      </c>
      <c r="AU60">
        <v>3234.57</v>
      </c>
      <c r="AV60">
        <v>39</v>
      </c>
      <c r="AW60">
        <v>0</v>
      </c>
      <c r="AX60">
        <v>0</v>
      </c>
      <c r="AY60">
        <v>0</v>
      </c>
      <c r="AZ60">
        <v>0</v>
      </c>
      <c r="BA60">
        <v>31.78</v>
      </c>
      <c r="BB60">
        <v>126</v>
      </c>
      <c r="BC60">
        <v>0</v>
      </c>
      <c r="BD60">
        <v>126</v>
      </c>
      <c r="BE60">
        <v>0</v>
      </c>
      <c r="BG60">
        <v>1</v>
      </c>
      <c r="BH60">
        <v>1</v>
      </c>
      <c r="BY60">
        <v>38.4</v>
      </c>
      <c r="BZ60">
        <v>29</v>
      </c>
      <c r="CA60" t="s">
        <v>360</v>
      </c>
      <c r="CD60" s="5">
        <v>46188</v>
      </c>
      <c r="CE60" t="s">
        <v>345</v>
      </c>
      <c r="CF60" t="s">
        <v>346</v>
      </c>
      <c r="CG60">
        <v>38.4</v>
      </c>
      <c r="CH60">
        <v>37.7</v>
      </c>
      <c r="CI60" s="5">
        <v>46186</v>
      </c>
      <c r="CJ60">
        <v>163</v>
      </c>
      <c r="CK60">
        <v>6</v>
      </c>
      <c r="CL60">
        <v>1</v>
      </c>
      <c r="CM60">
        <v>0</v>
      </c>
      <c r="CN60">
        <v>0</v>
      </c>
      <c r="CO60">
        <v>154</v>
      </c>
      <c r="CP60" t="s">
        <v>347</v>
      </c>
      <c r="CQ60" t="s">
        <v>348</v>
      </c>
    </row>
    <row r="61" spans="1:95">
      <c r="A61" s="5">
        <v>46188</v>
      </c>
      <c r="B61" t="s">
        <v>580</v>
      </c>
      <c r="C61" t="s">
        <v>580</v>
      </c>
      <c r="D61" t="s">
        <v>581</v>
      </c>
      <c r="E61" t="s">
        <v>582</v>
      </c>
      <c r="G61">
        <v>0</v>
      </c>
      <c r="H61">
        <v>-1</v>
      </c>
      <c r="O61" t="s">
        <v>338</v>
      </c>
      <c r="U61">
        <v>0</v>
      </c>
      <c r="V61">
        <v>0</v>
      </c>
      <c r="W61">
        <v>0</v>
      </c>
      <c r="X61">
        <v>0</v>
      </c>
      <c r="Y61" t="s">
        <v>359</v>
      </c>
      <c r="AB61">
        <v>0</v>
      </c>
      <c r="AC61">
        <v>0</v>
      </c>
      <c r="AE61">
        <v>-1</v>
      </c>
      <c r="AJ61" t="s">
        <v>342</v>
      </c>
      <c r="AK61" t="s">
        <v>343</v>
      </c>
      <c r="AN61">
        <v>0</v>
      </c>
      <c r="AQ61">
        <v>19.99</v>
      </c>
      <c r="AY61">
        <v>0</v>
      </c>
      <c r="BB61">
        <v>0</v>
      </c>
      <c r="BG61">
        <v>0</v>
      </c>
      <c r="BH61">
        <v>0</v>
      </c>
      <c r="CJ61">
        <v>0</v>
      </c>
      <c r="CK61">
        <v>0</v>
      </c>
      <c r="CL61">
        <v>0</v>
      </c>
      <c r="CM61">
        <v>0</v>
      </c>
      <c r="CN61">
        <v>0</v>
      </c>
      <c r="CP61" t="s">
        <v>347</v>
      </c>
      <c r="CQ61" t="s">
        <v>348</v>
      </c>
    </row>
    <row r="62" spans="1:95">
      <c r="A62" s="5">
        <v>46188</v>
      </c>
      <c r="B62" t="s">
        <v>583</v>
      </c>
      <c r="C62" t="s">
        <v>584</v>
      </c>
      <c r="D62" t="s">
        <v>585</v>
      </c>
      <c r="E62" t="s">
        <v>586</v>
      </c>
      <c r="F62" t="s">
        <v>337</v>
      </c>
      <c r="G62">
        <v>20</v>
      </c>
      <c r="H62">
        <v>0</v>
      </c>
      <c r="I62">
        <v>0</v>
      </c>
      <c r="J62">
        <v>20</v>
      </c>
      <c r="K62">
        <v>0</v>
      </c>
      <c r="L62">
        <v>0</v>
      </c>
      <c r="M62">
        <v>0</v>
      </c>
      <c r="N62">
        <v>0</v>
      </c>
      <c r="O62" t="s">
        <v>338</v>
      </c>
      <c r="P62">
        <v>0</v>
      </c>
      <c r="Q62">
        <v>3</v>
      </c>
      <c r="R62">
        <v>4</v>
      </c>
      <c r="S62">
        <v>7</v>
      </c>
      <c r="T62" t="s">
        <v>351</v>
      </c>
      <c r="U62">
        <v>89.99</v>
      </c>
      <c r="V62">
        <v>64.99</v>
      </c>
      <c r="W62">
        <v>64.99</v>
      </c>
      <c r="X62">
        <v>0</v>
      </c>
      <c r="Y62" t="s">
        <v>339</v>
      </c>
      <c r="AA62">
        <v>51.99</v>
      </c>
      <c r="AB62">
        <v>2</v>
      </c>
      <c r="AC62">
        <v>0</v>
      </c>
      <c r="AD62">
        <v>1877.13</v>
      </c>
      <c r="AE62">
        <v>0.3</v>
      </c>
      <c r="AF62">
        <v>0.765443</v>
      </c>
      <c r="AG62" t="s">
        <v>340</v>
      </c>
      <c r="AH62" t="s">
        <v>424</v>
      </c>
      <c r="AI62">
        <v>15.30886</v>
      </c>
      <c r="AJ62" t="s">
        <v>342</v>
      </c>
      <c r="AK62" t="s">
        <v>587</v>
      </c>
      <c r="AL62">
        <v>216542</v>
      </c>
      <c r="AM62">
        <v>133</v>
      </c>
      <c r="AN62">
        <v>16</v>
      </c>
      <c r="AO62">
        <v>26</v>
      </c>
      <c r="AP62">
        <v>37</v>
      </c>
      <c r="AQ62">
        <v>64.99</v>
      </c>
      <c r="AR62">
        <v>0</v>
      </c>
      <c r="AS62">
        <v>194.97</v>
      </c>
      <c r="AT62">
        <v>259.96</v>
      </c>
      <c r="AU62">
        <v>479.93</v>
      </c>
      <c r="AV62">
        <v>0</v>
      </c>
      <c r="AW62">
        <v>0</v>
      </c>
      <c r="AX62">
        <v>0</v>
      </c>
      <c r="AY62">
        <v>0</v>
      </c>
      <c r="AZ62">
        <v>0</v>
      </c>
      <c r="BA62">
        <v>10.94</v>
      </c>
      <c r="BB62">
        <v>0</v>
      </c>
      <c r="BC62">
        <v>0</v>
      </c>
      <c r="BD62">
        <v>0</v>
      </c>
      <c r="BE62">
        <v>0</v>
      </c>
      <c r="BG62">
        <v>0</v>
      </c>
      <c r="BH62">
        <v>0</v>
      </c>
      <c r="BY62">
        <v>290.6</v>
      </c>
      <c r="BZ62">
        <v>6</v>
      </c>
      <c r="CA62" t="s">
        <v>354</v>
      </c>
      <c r="CD62" s="5">
        <v>46188</v>
      </c>
      <c r="CE62" t="s">
        <v>345</v>
      </c>
      <c r="CF62" t="s">
        <v>346</v>
      </c>
      <c r="CG62">
        <v>212.7</v>
      </c>
      <c r="CH62">
        <v>290.6</v>
      </c>
      <c r="CI62" s="5">
        <v>46186</v>
      </c>
      <c r="CJ62">
        <v>20</v>
      </c>
      <c r="CK62">
        <v>0</v>
      </c>
      <c r="CL62">
        <v>0</v>
      </c>
      <c r="CM62">
        <v>0</v>
      </c>
      <c r="CN62">
        <v>0</v>
      </c>
      <c r="CO62">
        <v>133</v>
      </c>
      <c r="CP62" t="s">
        <v>347</v>
      </c>
      <c r="CQ62" t="s">
        <v>348</v>
      </c>
    </row>
    <row r="63" spans="1:95">
      <c r="A63" s="5">
        <v>46188</v>
      </c>
      <c r="B63" t="s">
        <v>588</v>
      </c>
      <c r="C63" t="s">
        <v>200</v>
      </c>
      <c r="D63" t="s">
        <v>589</v>
      </c>
      <c r="E63" t="s">
        <v>590</v>
      </c>
      <c r="F63" t="s">
        <v>337</v>
      </c>
      <c r="G63">
        <v>68</v>
      </c>
      <c r="H63">
        <v>0</v>
      </c>
      <c r="I63">
        <v>49</v>
      </c>
      <c r="J63">
        <v>19</v>
      </c>
      <c r="K63">
        <v>0</v>
      </c>
      <c r="L63">
        <v>0</v>
      </c>
      <c r="M63">
        <v>0</v>
      </c>
      <c r="N63">
        <v>0</v>
      </c>
      <c r="O63" t="s">
        <v>338</v>
      </c>
      <c r="P63">
        <v>1</v>
      </c>
      <c r="Q63">
        <v>6</v>
      </c>
      <c r="R63">
        <v>10</v>
      </c>
      <c r="S63">
        <v>24</v>
      </c>
      <c r="T63" t="s">
        <v>351</v>
      </c>
      <c r="U63">
        <v>15.99</v>
      </c>
      <c r="V63">
        <v>0</v>
      </c>
      <c r="W63">
        <v>15.99</v>
      </c>
      <c r="X63">
        <v>0</v>
      </c>
      <c r="Y63" t="s">
        <v>339</v>
      </c>
      <c r="AA63">
        <v>0</v>
      </c>
      <c r="AB63">
        <v>0</v>
      </c>
      <c r="AC63">
        <v>0</v>
      </c>
      <c r="AD63">
        <v>0</v>
      </c>
      <c r="AE63">
        <v>0.44</v>
      </c>
      <c r="AF63">
        <v>0.082718</v>
      </c>
      <c r="AG63" t="s">
        <v>340</v>
      </c>
      <c r="AH63" t="s">
        <v>341</v>
      </c>
      <c r="AI63">
        <v>5.624824</v>
      </c>
      <c r="AJ63" t="s">
        <v>342</v>
      </c>
      <c r="AK63" t="s">
        <v>353</v>
      </c>
      <c r="AL63">
        <v>243893</v>
      </c>
      <c r="AM63">
        <v>176</v>
      </c>
      <c r="AN63">
        <v>0</v>
      </c>
      <c r="AO63">
        <v>45</v>
      </c>
      <c r="AP63">
        <v>36</v>
      </c>
      <c r="AQ63">
        <v>15.99</v>
      </c>
      <c r="AR63">
        <v>15.99</v>
      </c>
      <c r="AS63">
        <v>95.94</v>
      </c>
      <c r="AT63">
        <v>159.9</v>
      </c>
      <c r="AU63">
        <v>383.76</v>
      </c>
      <c r="AV63">
        <v>0</v>
      </c>
      <c r="AW63">
        <v>49</v>
      </c>
      <c r="AX63">
        <v>0</v>
      </c>
      <c r="AY63">
        <v>0</v>
      </c>
      <c r="AZ63">
        <v>0</v>
      </c>
      <c r="BA63">
        <v>3.91</v>
      </c>
      <c r="BB63">
        <v>0</v>
      </c>
      <c r="BC63">
        <v>0</v>
      </c>
      <c r="BD63">
        <v>0</v>
      </c>
      <c r="BE63">
        <v>0</v>
      </c>
      <c r="BG63">
        <v>0</v>
      </c>
      <c r="BH63">
        <v>0</v>
      </c>
      <c r="BY63">
        <v>424.6</v>
      </c>
      <c r="BZ63">
        <v>26</v>
      </c>
      <c r="CA63" t="s">
        <v>360</v>
      </c>
      <c r="CD63" s="5">
        <v>46188</v>
      </c>
      <c r="CE63" t="s">
        <v>345</v>
      </c>
      <c r="CF63" t="s">
        <v>346</v>
      </c>
      <c r="CG63">
        <v>424.6</v>
      </c>
      <c r="CH63">
        <v>193.8</v>
      </c>
      <c r="CI63" s="5">
        <v>46186</v>
      </c>
      <c r="CJ63">
        <v>68</v>
      </c>
      <c r="CK63">
        <v>0</v>
      </c>
      <c r="CL63">
        <v>0</v>
      </c>
      <c r="CM63">
        <v>0</v>
      </c>
      <c r="CN63">
        <v>0</v>
      </c>
      <c r="CO63">
        <v>176</v>
      </c>
      <c r="CP63" t="s">
        <v>347</v>
      </c>
      <c r="CQ63" t="s">
        <v>348</v>
      </c>
    </row>
    <row r="64" spans="1:95">
      <c r="A64" s="5">
        <v>46188</v>
      </c>
      <c r="B64" t="s">
        <v>591</v>
      </c>
      <c r="C64" t="s">
        <v>592</v>
      </c>
      <c r="D64" t="s">
        <v>593</v>
      </c>
      <c r="E64" t="s">
        <v>594</v>
      </c>
      <c r="G64">
        <v>0</v>
      </c>
      <c r="H64">
        <v>-1</v>
      </c>
      <c r="O64" t="s">
        <v>338</v>
      </c>
      <c r="U64">
        <v>0</v>
      </c>
      <c r="V64">
        <v>0</v>
      </c>
      <c r="W64">
        <v>0</v>
      </c>
      <c r="X64">
        <v>0</v>
      </c>
      <c r="Y64" t="s">
        <v>359</v>
      </c>
      <c r="AB64">
        <v>0</v>
      </c>
      <c r="AC64">
        <v>0</v>
      </c>
      <c r="AE64">
        <v>-1</v>
      </c>
      <c r="AH64" t="s">
        <v>424</v>
      </c>
      <c r="AJ64" t="s">
        <v>342</v>
      </c>
      <c r="AK64" t="s">
        <v>595</v>
      </c>
      <c r="AN64">
        <v>0</v>
      </c>
      <c r="AQ64">
        <v>8.99</v>
      </c>
      <c r="AY64">
        <v>0</v>
      </c>
      <c r="BB64">
        <v>0</v>
      </c>
      <c r="BC64">
        <v>0</v>
      </c>
      <c r="BD64">
        <v>0</v>
      </c>
      <c r="BE64">
        <v>0</v>
      </c>
      <c r="BG64">
        <v>0</v>
      </c>
      <c r="BH64">
        <v>0</v>
      </c>
      <c r="CJ64">
        <v>0</v>
      </c>
      <c r="CK64">
        <v>0</v>
      </c>
      <c r="CL64">
        <v>0</v>
      </c>
      <c r="CM64">
        <v>0</v>
      </c>
      <c r="CN64">
        <v>0</v>
      </c>
      <c r="CP64" t="s">
        <v>347</v>
      </c>
      <c r="CQ64" t="s">
        <v>348</v>
      </c>
    </row>
    <row r="65" spans="1:95">
      <c r="A65" s="5">
        <v>46188</v>
      </c>
      <c r="B65" t="s">
        <v>596</v>
      </c>
      <c r="C65" t="s">
        <v>103</v>
      </c>
      <c r="D65" t="s">
        <v>597</v>
      </c>
      <c r="E65" t="s">
        <v>598</v>
      </c>
      <c r="G65">
        <v>0</v>
      </c>
      <c r="H65">
        <v>-1</v>
      </c>
      <c r="O65" t="s">
        <v>338</v>
      </c>
      <c r="U65">
        <v>0</v>
      </c>
      <c r="V65">
        <v>0</v>
      </c>
      <c r="W65">
        <v>0</v>
      </c>
      <c r="X65">
        <v>0</v>
      </c>
      <c r="Y65" t="s">
        <v>359</v>
      </c>
      <c r="AB65">
        <v>0</v>
      </c>
      <c r="AC65">
        <v>0</v>
      </c>
      <c r="AE65">
        <v>-1</v>
      </c>
      <c r="AH65" t="s">
        <v>341</v>
      </c>
      <c r="AJ65" t="s">
        <v>342</v>
      </c>
      <c r="AK65" t="s">
        <v>343</v>
      </c>
      <c r="AL65">
        <v>1351087</v>
      </c>
      <c r="AM65">
        <v>0</v>
      </c>
      <c r="AN65">
        <v>0</v>
      </c>
      <c r="AQ65">
        <v>33.99</v>
      </c>
      <c r="AY65">
        <v>0</v>
      </c>
      <c r="BB65">
        <v>0</v>
      </c>
      <c r="BC65">
        <v>0</v>
      </c>
      <c r="BD65">
        <v>0</v>
      </c>
      <c r="BE65">
        <v>0</v>
      </c>
      <c r="BG65">
        <v>0</v>
      </c>
      <c r="BH65">
        <v>0</v>
      </c>
      <c r="CB65">
        <v>39</v>
      </c>
      <c r="CC65" s="5">
        <v>46186</v>
      </c>
      <c r="CJ65">
        <v>0</v>
      </c>
      <c r="CK65">
        <v>0</v>
      </c>
      <c r="CL65">
        <v>0</v>
      </c>
      <c r="CM65">
        <v>0</v>
      </c>
      <c r="CN65">
        <v>0</v>
      </c>
      <c r="CO65">
        <v>0</v>
      </c>
      <c r="CP65" t="s">
        <v>347</v>
      </c>
      <c r="CQ65" t="s">
        <v>348</v>
      </c>
    </row>
    <row r="66" spans="1:95">
      <c r="A66" s="5">
        <v>46188</v>
      </c>
      <c r="B66" t="s">
        <v>599</v>
      </c>
      <c r="C66" t="s">
        <v>600</v>
      </c>
      <c r="D66" t="s">
        <v>601</v>
      </c>
      <c r="E66" t="s">
        <v>602</v>
      </c>
      <c r="F66" t="s">
        <v>337</v>
      </c>
      <c r="G66">
        <v>58</v>
      </c>
      <c r="H66">
        <v>0</v>
      </c>
      <c r="I66">
        <v>0</v>
      </c>
      <c r="J66">
        <v>75</v>
      </c>
      <c r="K66">
        <v>0</v>
      </c>
      <c r="L66">
        <v>0</v>
      </c>
      <c r="M66">
        <v>0</v>
      </c>
      <c r="N66">
        <v>0</v>
      </c>
      <c r="O66" t="s">
        <v>338</v>
      </c>
      <c r="P66">
        <v>3</v>
      </c>
      <c r="Q66">
        <v>5</v>
      </c>
      <c r="R66">
        <v>6</v>
      </c>
      <c r="S66">
        <v>11</v>
      </c>
      <c r="U66">
        <v>29.99</v>
      </c>
      <c r="V66">
        <v>25.99</v>
      </c>
      <c r="W66">
        <v>25.99</v>
      </c>
      <c r="X66">
        <v>0</v>
      </c>
      <c r="Y66" t="s">
        <v>359</v>
      </c>
      <c r="AA66">
        <v>0</v>
      </c>
      <c r="AB66">
        <v>0</v>
      </c>
      <c r="AC66">
        <v>0</v>
      </c>
      <c r="AD66">
        <v>0</v>
      </c>
      <c r="AE66">
        <v>0.14</v>
      </c>
      <c r="AF66">
        <v>0.247108</v>
      </c>
      <c r="AG66" t="s">
        <v>340</v>
      </c>
      <c r="AH66" t="s">
        <v>341</v>
      </c>
      <c r="AI66">
        <v>14.332264</v>
      </c>
      <c r="AJ66" t="s">
        <v>342</v>
      </c>
      <c r="AK66" t="s">
        <v>353</v>
      </c>
      <c r="AL66">
        <v>26497</v>
      </c>
      <c r="AM66">
        <v>171</v>
      </c>
      <c r="AN66">
        <v>0</v>
      </c>
      <c r="AO66">
        <v>46</v>
      </c>
      <c r="AP66">
        <v>68</v>
      </c>
      <c r="AQ66">
        <v>25.99</v>
      </c>
      <c r="AR66">
        <v>77.97</v>
      </c>
      <c r="AS66">
        <v>129.95</v>
      </c>
      <c r="AT66">
        <v>155.44</v>
      </c>
      <c r="AU66">
        <v>276.89</v>
      </c>
      <c r="AV66">
        <v>0</v>
      </c>
      <c r="AW66">
        <v>0</v>
      </c>
      <c r="AX66">
        <v>0</v>
      </c>
      <c r="AY66">
        <v>0</v>
      </c>
      <c r="AZ66">
        <v>0</v>
      </c>
      <c r="BA66">
        <v>9.69</v>
      </c>
      <c r="BB66">
        <v>0</v>
      </c>
      <c r="BC66">
        <v>0</v>
      </c>
      <c r="BD66">
        <v>0</v>
      </c>
      <c r="BE66">
        <v>0</v>
      </c>
      <c r="BG66">
        <v>17</v>
      </c>
      <c r="BH66">
        <v>1</v>
      </c>
      <c r="BY66">
        <v>661.1</v>
      </c>
      <c r="BZ66">
        <v>18</v>
      </c>
      <c r="CA66" t="s">
        <v>360</v>
      </c>
      <c r="CD66" s="5">
        <v>46188</v>
      </c>
      <c r="CE66" t="s">
        <v>345</v>
      </c>
      <c r="CF66" t="s">
        <v>346</v>
      </c>
      <c r="CG66">
        <v>471.8</v>
      </c>
      <c r="CH66">
        <v>661.1</v>
      </c>
      <c r="CI66" s="5">
        <v>46186</v>
      </c>
      <c r="CJ66">
        <v>58</v>
      </c>
      <c r="CK66">
        <v>0</v>
      </c>
      <c r="CL66">
        <v>1</v>
      </c>
      <c r="CM66">
        <v>0</v>
      </c>
      <c r="CN66">
        <v>16</v>
      </c>
      <c r="CO66">
        <v>182</v>
      </c>
      <c r="CP66" t="s">
        <v>347</v>
      </c>
      <c r="CQ66" t="s">
        <v>348</v>
      </c>
    </row>
    <row r="67" spans="1:95">
      <c r="A67" s="5">
        <v>46188</v>
      </c>
      <c r="B67" t="s">
        <v>603</v>
      </c>
      <c r="C67" t="s">
        <v>604</v>
      </c>
      <c r="D67" t="s">
        <v>605</v>
      </c>
      <c r="E67" t="s">
        <v>606</v>
      </c>
      <c r="G67">
        <v>0</v>
      </c>
      <c r="H67">
        <v>-1</v>
      </c>
      <c r="O67" t="s">
        <v>338</v>
      </c>
      <c r="U67">
        <v>0</v>
      </c>
      <c r="V67">
        <v>0</v>
      </c>
      <c r="W67">
        <v>0</v>
      </c>
      <c r="X67">
        <v>0</v>
      </c>
      <c r="Y67" t="s">
        <v>359</v>
      </c>
      <c r="AB67">
        <v>0</v>
      </c>
      <c r="AC67">
        <v>0</v>
      </c>
      <c r="AE67">
        <v>-1</v>
      </c>
      <c r="AH67" t="s">
        <v>341</v>
      </c>
      <c r="AJ67" t="s">
        <v>342</v>
      </c>
      <c r="AK67" t="s">
        <v>353</v>
      </c>
      <c r="AN67">
        <v>0</v>
      </c>
      <c r="AQ67">
        <v>16.99</v>
      </c>
      <c r="AY67">
        <v>0</v>
      </c>
      <c r="BB67">
        <v>0</v>
      </c>
      <c r="BC67">
        <v>0</v>
      </c>
      <c r="BD67">
        <v>0</v>
      </c>
      <c r="BE67">
        <v>0</v>
      </c>
      <c r="BG67">
        <v>0</v>
      </c>
      <c r="BH67">
        <v>0</v>
      </c>
      <c r="CJ67">
        <v>0</v>
      </c>
      <c r="CK67">
        <v>0</v>
      </c>
      <c r="CL67">
        <v>0</v>
      </c>
      <c r="CM67">
        <v>0</v>
      </c>
      <c r="CN67">
        <v>0</v>
      </c>
      <c r="CP67" t="s">
        <v>347</v>
      </c>
      <c r="CQ67" t="s">
        <v>348</v>
      </c>
    </row>
    <row r="68" spans="1:95">
      <c r="A68" s="5">
        <v>46188</v>
      </c>
      <c r="B68" t="s">
        <v>607</v>
      </c>
      <c r="C68" t="s">
        <v>608</v>
      </c>
      <c r="D68" t="s">
        <v>609</v>
      </c>
      <c r="E68" t="s">
        <v>610</v>
      </c>
      <c r="G68">
        <v>0</v>
      </c>
      <c r="H68">
        <v>-1</v>
      </c>
      <c r="O68" t="s">
        <v>338</v>
      </c>
      <c r="U68">
        <v>0</v>
      </c>
      <c r="V68">
        <v>0</v>
      </c>
      <c r="W68">
        <v>0</v>
      </c>
      <c r="X68">
        <v>0</v>
      </c>
      <c r="Y68" t="s">
        <v>359</v>
      </c>
      <c r="AB68">
        <v>0</v>
      </c>
      <c r="AC68">
        <v>0</v>
      </c>
      <c r="AE68">
        <v>-1</v>
      </c>
      <c r="AJ68" t="s">
        <v>342</v>
      </c>
      <c r="AK68" t="s">
        <v>465</v>
      </c>
      <c r="AN68">
        <v>0</v>
      </c>
      <c r="AY68">
        <v>0</v>
      </c>
      <c r="BB68">
        <v>0</v>
      </c>
      <c r="BG68">
        <v>0</v>
      </c>
      <c r="BH68">
        <v>0</v>
      </c>
      <c r="CJ68">
        <v>0</v>
      </c>
      <c r="CK68">
        <v>0</v>
      </c>
      <c r="CL68">
        <v>0</v>
      </c>
      <c r="CM68">
        <v>0</v>
      </c>
      <c r="CN68">
        <v>0</v>
      </c>
      <c r="CP68" t="s">
        <v>347</v>
      </c>
      <c r="CQ68" t="s">
        <v>348</v>
      </c>
    </row>
    <row r="69" spans="1:95">
      <c r="A69" s="5">
        <v>46188</v>
      </c>
      <c r="B69" t="s">
        <v>611</v>
      </c>
      <c r="C69" t="s">
        <v>20</v>
      </c>
      <c r="D69" t="s">
        <v>21</v>
      </c>
      <c r="E69" t="s">
        <v>612</v>
      </c>
      <c r="F69" t="s">
        <v>337</v>
      </c>
      <c r="G69">
        <v>14</v>
      </c>
      <c r="H69">
        <v>0</v>
      </c>
      <c r="I69">
        <v>0</v>
      </c>
      <c r="J69">
        <v>1</v>
      </c>
      <c r="K69">
        <v>0</v>
      </c>
      <c r="L69">
        <v>13</v>
      </c>
      <c r="M69">
        <v>0</v>
      </c>
      <c r="N69">
        <v>0</v>
      </c>
      <c r="O69" t="s">
        <v>338</v>
      </c>
      <c r="P69">
        <v>0</v>
      </c>
      <c r="Q69">
        <v>0</v>
      </c>
      <c r="R69">
        <v>0</v>
      </c>
      <c r="S69">
        <v>0</v>
      </c>
      <c r="T69" t="s">
        <v>351</v>
      </c>
      <c r="U69">
        <v>43.37</v>
      </c>
      <c r="V69">
        <v>35.99</v>
      </c>
      <c r="W69">
        <v>35.99</v>
      </c>
      <c r="X69">
        <v>0</v>
      </c>
      <c r="Y69" t="s">
        <v>613</v>
      </c>
      <c r="AA69">
        <v>0</v>
      </c>
      <c r="AB69">
        <v>0</v>
      </c>
      <c r="AC69">
        <v>0</v>
      </c>
      <c r="AD69">
        <v>821.51</v>
      </c>
      <c r="AE69">
        <v>0</v>
      </c>
      <c r="AF69">
        <v>0.270031</v>
      </c>
      <c r="AG69" t="s">
        <v>340</v>
      </c>
      <c r="AH69" t="s">
        <v>341</v>
      </c>
      <c r="AI69">
        <v>3.780434</v>
      </c>
      <c r="AJ69" t="s">
        <v>342</v>
      </c>
      <c r="AK69" t="s">
        <v>343</v>
      </c>
      <c r="AL69">
        <v>680561</v>
      </c>
      <c r="AM69">
        <v>191</v>
      </c>
      <c r="AN69">
        <v>13</v>
      </c>
      <c r="AQ69">
        <v>35.99</v>
      </c>
      <c r="AR69">
        <v>0</v>
      </c>
      <c r="AS69">
        <v>0</v>
      </c>
      <c r="AT69">
        <v>0</v>
      </c>
      <c r="AU69">
        <v>0</v>
      </c>
      <c r="AV69">
        <v>0</v>
      </c>
      <c r="AW69">
        <v>0</v>
      </c>
      <c r="AX69">
        <v>0</v>
      </c>
      <c r="AY69">
        <v>0</v>
      </c>
      <c r="AZ69">
        <v>13</v>
      </c>
      <c r="BA69">
        <v>26.83</v>
      </c>
      <c r="BB69">
        <v>0</v>
      </c>
      <c r="BC69">
        <v>0</v>
      </c>
      <c r="BD69">
        <v>0</v>
      </c>
      <c r="BE69">
        <v>0</v>
      </c>
      <c r="BG69">
        <v>0</v>
      </c>
      <c r="BH69">
        <v>0</v>
      </c>
      <c r="BI69">
        <v>0</v>
      </c>
      <c r="BJ69">
        <v>0</v>
      </c>
      <c r="BK69">
        <v>0</v>
      </c>
      <c r="BL69">
        <v>0</v>
      </c>
      <c r="BM69">
        <v>0</v>
      </c>
      <c r="BN69">
        <v>0</v>
      </c>
      <c r="BO69">
        <v>0</v>
      </c>
      <c r="BP69">
        <v>0</v>
      </c>
      <c r="BQ69">
        <v>0</v>
      </c>
      <c r="BR69">
        <v>0</v>
      </c>
      <c r="BS69">
        <v>13</v>
      </c>
      <c r="BT69">
        <v>20.7</v>
      </c>
      <c r="BU69">
        <v>0</v>
      </c>
      <c r="BV69">
        <v>0</v>
      </c>
      <c r="BW69">
        <v>0</v>
      </c>
      <c r="BX69">
        <v>0</v>
      </c>
      <c r="BZ69">
        <v>2</v>
      </c>
      <c r="CA69" t="s">
        <v>354</v>
      </c>
      <c r="CI69" s="5">
        <v>46186</v>
      </c>
      <c r="CJ69">
        <v>14</v>
      </c>
      <c r="CK69">
        <v>0</v>
      </c>
      <c r="CL69">
        <v>0</v>
      </c>
      <c r="CM69">
        <v>0</v>
      </c>
      <c r="CN69">
        <v>0</v>
      </c>
      <c r="CO69">
        <v>191</v>
      </c>
      <c r="CP69" t="s">
        <v>347</v>
      </c>
      <c r="CQ69" t="s">
        <v>348</v>
      </c>
    </row>
    <row r="70" spans="1:95">
      <c r="A70" s="5">
        <v>46188</v>
      </c>
      <c r="B70" t="s">
        <v>614</v>
      </c>
      <c r="C70" t="s">
        <v>615</v>
      </c>
      <c r="D70" t="s">
        <v>616</v>
      </c>
      <c r="E70" t="s">
        <v>617</v>
      </c>
      <c r="G70">
        <v>0</v>
      </c>
      <c r="H70">
        <v>-1</v>
      </c>
      <c r="O70" t="s">
        <v>338</v>
      </c>
      <c r="P70">
        <v>0</v>
      </c>
      <c r="Q70">
        <v>0</v>
      </c>
      <c r="R70">
        <v>0</v>
      </c>
      <c r="S70">
        <v>0</v>
      </c>
      <c r="U70">
        <v>0</v>
      </c>
      <c r="V70">
        <v>0</v>
      </c>
      <c r="W70">
        <v>0</v>
      </c>
      <c r="X70">
        <v>0</v>
      </c>
      <c r="Y70" t="s">
        <v>359</v>
      </c>
      <c r="AB70">
        <v>0</v>
      </c>
      <c r="AC70">
        <v>0</v>
      </c>
      <c r="AE70">
        <v>-1</v>
      </c>
      <c r="AH70" t="s">
        <v>341</v>
      </c>
      <c r="AJ70" t="s">
        <v>342</v>
      </c>
      <c r="AK70" t="s">
        <v>465</v>
      </c>
      <c r="AM70">
        <v>0</v>
      </c>
      <c r="AN70">
        <v>0</v>
      </c>
      <c r="AQ70">
        <v>19.99</v>
      </c>
      <c r="AR70">
        <v>0</v>
      </c>
      <c r="AS70">
        <v>0</v>
      </c>
      <c r="AT70">
        <v>0</v>
      </c>
      <c r="AU70">
        <v>0</v>
      </c>
      <c r="AY70">
        <v>0</v>
      </c>
      <c r="BB70">
        <v>0</v>
      </c>
      <c r="BC70">
        <v>0</v>
      </c>
      <c r="BD70">
        <v>0</v>
      </c>
      <c r="BE70">
        <v>0</v>
      </c>
      <c r="BG70">
        <v>0</v>
      </c>
      <c r="BH70">
        <v>0</v>
      </c>
      <c r="BZ70">
        <v>1</v>
      </c>
      <c r="CA70" t="s">
        <v>429</v>
      </c>
      <c r="CJ70">
        <v>0</v>
      </c>
      <c r="CK70">
        <v>0</v>
      </c>
      <c r="CL70">
        <v>0</v>
      </c>
      <c r="CM70">
        <v>0</v>
      </c>
      <c r="CN70">
        <v>0</v>
      </c>
      <c r="CO70">
        <v>0</v>
      </c>
      <c r="CP70" t="s">
        <v>347</v>
      </c>
      <c r="CQ70" t="s">
        <v>348</v>
      </c>
    </row>
    <row r="71" spans="1:95">
      <c r="A71" s="5">
        <v>46188</v>
      </c>
      <c r="B71" t="s">
        <v>618</v>
      </c>
      <c r="C71" t="s">
        <v>619</v>
      </c>
      <c r="D71" t="s">
        <v>620</v>
      </c>
      <c r="E71" t="s">
        <v>621</v>
      </c>
      <c r="G71">
        <v>0</v>
      </c>
      <c r="H71">
        <v>-1</v>
      </c>
      <c r="O71" t="s">
        <v>338</v>
      </c>
      <c r="U71">
        <v>0</v>
      </c>
      <c r="V71">
        <v>0</v>
      </c>
      <c r="W71">
        <v>0</v>
      </c>
      <c r="X71">
        <v>0</v>
      </c>
      <c r="Y71" t="s">
        <v>359</v>
      </c>
      <c r="AB71">
        <v>0</v>
      </c>
      <c r="AC71">
        <v>0</v>
      </c>
      <c r="AE71">
        <v>-1</v>
      </c>
      <c r="AH71" t="s">
        <v>341</v>
      </c>
      <c r="AJ71" t="s">
        <v>342</v>
      </c>
      <c r="AK71" t="s">
        <v>437</v>
      </c>
      <c r="AN71">
        <v>0</v>
      </c>
      <c r="AQ71">
        <v>16.99</v>
      </c>
      <c r="AY71">
        <v>0</v>
      </c>
      <c r="BB71">
        <v>0</v>
      </c>
      <c r="BC71">
        <v>0</v>
      </c>
      <c r="BD71">
        <v>0</v>
      </c>
      <c r="BE71">
        <v>0</v>
      </c>
      <c r="BG71">
        <v>0</v>
      </c>
      <c r="BH71">
        <v>0</v>
      </c>
      <c r="CJ71">
        <v>0</v>
      </c>
      <c r="CK71">
        <v>0</v>
      </c>
      <c r="CL71">
        <v>0</v>
      </c>
      <c r="CM71">
        <v>0</v>
      </c>
      <c r="CN71">
        <v>0</v>
      </c>
      <c r="CP71" t="s">
        <v>347</v>
      </c>
      <c r="CQ71" t="s">
        <v>348</v>
      </c>
    </row>
    <row r="72" spans="1:95">
      <c r="A72" s="5">
        <v>46188</v>
      </c>
      <c r="B72" t="s">
        <v>622</v>
      </c>
      <c r="C72" t="s">
        <v>623</v>
      </c>
      <c r="D72" t="s">
        <v>624</v>
      </c>
      <c r="E72" t="s">
        <v>625</v>
      </c>
      <c r="G72">
        <v>0</v>
      </c>
      <c r="H72">
        <v>-1</v>
      </c>
      <c r="O72" t="s">
        <v>338</v>
      </c>
      <c r="U72">
        <v>0</v>
      </c>
      <c r="V72">
        <v>0</v>
      </c>
      <c r="W72">
        <v>0</v>
      </c>
      <c r="X72">
        <v>0</v>
      </c>
      <c r="Y72" t="s">
        <v>359</v>
      </c>
      <c r="AB72">
        <v>0</v>
      </c>
      <c r="AC72">
        <v>0</v>
      </c>
      <c r="AE72">
        <v>-1</v>
      </c>
      <c r="AH72" t="s">
        <v>341</v>
      </c>
      <c r="AJ72" t="s">
        <v>342</v>
      </c>
      <c r="AK72" t="s">
        <v>404</v>
      </c>
      <c r="AM72">
        <v>0</v>
      </c>
      <c r="AN72">
        <v>0</v>
      </c>
      <c r="AQ72">
        <v>4.99</v>
      </c>
      <c r="AY72">
        <v>0</v>
      </c>
      <c r="BB72">
        <v>0</v>
      </c>
      <c r="BC72">
        <v>0</v>
      </c>
      <c r="BD72">
        <v>0</v>
      </c>
      <c r="BE72">
        <v>0</v>
      </c>
      <c r="BG72">
        <v>0</v>
      </c>
      <c r="BH72">
        <v>0</v>
      </c>
      <c r="CJ72">
        <v>0</v>
      </c>
      <c r="CK72">
        <v>0</v>
      </c>
      <c r="CL72">
        <v>0</v>
      </c>
      <c r="CM72">
        <v>0</v>
      </c>
      <c r="CN72">
        <v>0</v>
      </c>
      <c r="CO72">
        <v>0</v>
      </c>
      <c r="CP72" t="s">
        <v>347</v>
      </c>
      <c r="CQ72" t="s">
        <v>348</v>
      </c>
    </row>
    <row r="73" spans="1:95">
      <c r="A73" s="5">
        <v>46188</v>
      </c>
      <c r="B73" t="s">
        <v>626</v>
      </c>
      <c r="C73" t="s">
        <v>121</v>
      </c>
      <c r="D73" t="s">
        <v>627</v>
      </c>
      <c r="E73" t="s">
        <v>628</v>
      </c>
      <c r="G73">
        <v>109</v>
      </c>
      <c r="H73">
        <v>0</v>
      </c>
      <c r="I73">
        <v>128</v>
      </c>
      <c r="J73">
        <v>0</v>
      </c>
      <c r="K73">
        <v>0</v>
      </c>
      <c r="L73">
        <v>0</v>
      </c>
      <c r="M73">
        <v>0</v>
      </c>
      <c r="N73">
        <v>0</v>
      </c>
      <c r="O73" t="s">
        <v>338</v>
      </c>
      <c r="P73">
        <v>11</v>
      </c>
      <c r="Q73">
        <v>37</v>
      </c>
      <c r="R73">
        <v>72</v>
      </c>
      <c r="S73">
        <v>78</v>
      </c>
      <c r="T73" t="s">
        <v>351</v>
      </c>
      <c r="W73">
        <v>13.99</v>
      </c>
      <c r="X73">
        <v>-1</v>
      </c>
      <c r="Y73" t="s">
        <v>359</v>
      </c>
      <c r="AA73">
        <v>0</v>
      </c>
      <c r="AB73">
        <v>0</v>
      </c>
      <c r="AC73">
        <v>0</v>
      </c>
      <c r="AD73">
        <v>0</v>
      </c>
      <c r="AE73">
        <v>1.17</v>
      </c>
      <c r="AF73">
        <v>0.01986</v>
      </c>
      <c r="AG73" t="s">
        <v>340</v>
      </c>
      <c r="AH73" t="s">
        <v>341</v>
      </c>
      <c r="AI73">
        <v>2.16474</v>
      </c>
      <c r="AJ73" t="s">
        <v>342</v>
      </c>
      <c r="AK73" t="s">
        <v>465</v>
      </c>
      <c r="AL73">
        <v>116372</v>
      </c>
      <c r="AM73">
        <v>96</v>
      </c>
      <c r="AN73">
        <v>0</v>
      </c>
      <c r="AO73">
        <v>18</v>
      </c>
      <c r="AP73">
        <v>29</v>
      </c>
      <c r="AQ73">
        <v>13.99</v>
      </c>
      <c r="AR73">
        <v>153.89</v>
      </c>
      <c r="AS73">
        <v>556.13</v>
      </c>
      <c r="AT73">
        <v>1220.78</v>
      </c>
      <c r="AU73">
        <v>1307.37</v>
      </c>
      <c r="AV73">
        <v>70</v>
      </c>
      <c r="AW73">
        <v>58</v>
      </c>
      <c r="AX73">
        <v>0</v>
      </c>
      <c r="AY73">
        <v>0</v>
      </c>
      <c r="AZ73">
        <v>0</v>
      </c>
      <c r="BA73">
        <v>1.51</v>
      </c>
      <c r="BB73">
        <v>65</v>
      </c>
      <c r="BC73">
        <v>60</v>
      </c>
      <c r="BD73">
        <v>0</v>
      </c>
      <c r="BE73">
        <v>5</v>
      </c>
      <c r="BG73">
        <v>13</v>
      </c>
      <c r="BH73">
        <v>0</v>
      </c>
      <c r="BY73">
        <v>109</v>
      </c>
      <c r="BZ73">
        <v>85</v>
      </c>
      <c r="CA73" t="s">
        <v>360</v>
      </c>
      <c r="CD73" s="5">
        <v>46188</v>
      </c>
      <c r="CE73" t="s">
        <v>345</v>
      </c>
      <c r="CF73" t="s">
        <v>346</v>
      </c>
      <c r="CG73">
        <v>109</v>
      </c>
      <c r="CH73">
        <v>95.4</v>
      </c>
      <c r="CI73" s="5">
        <v>46186</v>
      </c>
      <c r="CJ73">
        <v>186</v>
      </c>
      <c r="CK73">
        <v>12</v>
      </c>
      <c r="CL73">
        <v>13</v>
      </c>
      <c r="CM73">
        <v>0</v>
      </c>
      <c r="CN73">
        <v>0</v>
      </c>
      <c r="CO73">
        <v>169</v>
      </c>
      <c r="CP73" t="s">
        <v>347</v>
      </c>
      <c r="CQ73" t="s">
        <v>348</v>
      </c>
    </row>
    <row r="74" spans="1:95">
      <c r="A74" s="5">
        <v>46188</v>
      </c>
      <c r="B74" t="s">
        <v>629</v>
      </c>
      <c r="C74" t="s">
        <v>580</v>
      </c>
      <c r="D74" t="s">
        <v>630</v>
      </c>
      <c r="E74" t="s">
        <v>582</v>
      </c>
      <c r="G74">
        <v>0</v>
      </c>
      <c r="H74">
        <v>-1</v>
      </c>
      <c r="O74" t="s">
        <v>338</v>
      </c>
      <c r="U74">
        <v>0</v>
      </c>
      <c r="V74">
        <v>0</v>
      </c>
      <c r="W74">
        <v>0</v>
      </c>
      <c r="X74">
        <v>0</v>
      </c>
      <c r="Y74" t="s">
        <v>359</v>
      </c>
      <c r="AB74">
        <v>0</v>
      </c>
      <c r="AC74">
        <v>0</v>
      </c>
      <c r="AE74">
        <v>-1</v>
      </c>
      <c r="AH74" t="s">
        <v>341</v>
      </c>
      <c r="AJ74" t="s">
        <v>342</v>
      </c>
      <c r="AK74" t="s">
        <v>343</v>
      </c>
      <c r="AN74">
        <v>0</v>
      </c>
      <c r="AQ74">
        <v>19.99</v>
      </c>
      <c r="AY74">
        <v>0</v>
      </c>
      <c r="BB74">
        <v>0</v>
      </c>
      <c r="BC74">
        <v>0</v>
      </c>
      <c r="BD74">
        <v>0</v>
      </c>
      <c r="BE74">
        <v>0</v>
      </c>
      <c r="BG74">
        <v>0</v>
      </c>
      <c r="BH74">
        <v>0</v>
      </c>
      <c r="CJ74">
        <v>0</v>
      </c>
      <c r="CK74">
        <v>0</v>
      </c>
      <c r="CL74">
        <v>0</v>
      </c>
      <c r="CM74">
        <v>0</v>
      </c>
      <c r="CN74">
        <v>0</v>
      </c>
      <c r="CP74" t="s">
        <v>347</v>
      </c>
      <c r="CQ74" t="s">
        <v>348</v>
      </c>
    </row>
    <row r="75" spans="1:95">
      <c r="A75" s="5">
        <v>46188</v>
      </c>
      <c r="B75" t="s">
        <v>631</v>
      </c>
      <c r="C75" t="s">
        <v>103</v>
      </c>
      <c r="D75" t="s">
        <v>632</v>
      </c>
      <c r="E75" t="s">
        <v>598</v>
      </c>
      <c r="F75" t="s">
        <v>337</v>
      </c>
      <c r="G75">
        <v>7</v>
      </c>
      <c r="H75">
        <v>-1</v>
      </c>
      <c r="O75" t="s">
        <v>338</v>
      </c>
      <c r="P75">
        <v>2</v>
      </c>
      <c r="Q75">
        <v>9</v>
      </c>
      <c r="R75">
        <v>13</v>
      </c>
      <c r="S75">
        <v>22</v>
      </c>
      <c r="U75">
        <v>46.99</v>
      </c>
      <c r="V75">
        <v>33.99</v>
      </c>
      <c r="W75">
        <v>0</v>
      </c>
      <c r="X75">
        <v>0</v>
      </c>
      <c r="Y75" t="s">
        <v>633</v>
      </c>
      <c r="AA75">
        <v>0</v>
      </c>
      <c r="AB75">
        <v>0</v>
      </c>
      <c r="AC75">
        <v>0</v>
      </c>
      <c r="AD75">
        <v>0</v>
      </c>
      <c r="AE75">
        <v>-1</v>
      </c>
      <c r="AH75" t="s">
        <v>341</v>
      </c>
      <c r="AJ75" t="s">
        <v>342</v>
      </c>
      <c r="AK75" t="s">
        <v>343</v>
      </c>
      <c r="AL75">
        <v>1351087</v>
      </c>
      <c r="AM75">
        <v>30</v>
      </c>
      <c r="AN75">
        <v>0</v>
      </c>
      <c r="AO75">
        <v>5</v>
      </c>
      <c r="AP75">
        <v>7</v>
      </c>
      <c r="AQ75">
        <v>33.99</v>
      </c>
      <c r="AR75">
        <v>67.98</v>
      </c>
      <c r="AS75">
        <v>305.91</v>
      </c>
      <c r="AT75">
        <v>425.87</v>
      </c>
      <c r="AU75">
        <v>693.91</v>
      </c>
      <c r="AY75">
        <v>0</v>
      </c>
      <c r="BA75">
        <v>0.7</v>
      </c>
      <c r="BB75">
        <v>5</v>
      </c>
      <c r="BC75">
        <v>5</v>
      </c>
      <c r="BD75">
        <v>0</v>
      </c>
      <c r="BE75">
        <v>0</v>
      </c>
      <c r="BG75">
        <v>1</v>
      </c>
      <c r="BH75">
        <v>0</v>
      </c>
      <c r="BY75">
        <v>68.6</v>
      </c>
      <c r="CD75" s="5">
        <v>46188</v>
      </c>
      <c r="CE75" t="s">
        <v>345</v>
      </c>
      <c r="CF75" t="s">
        <v>346</v>
      </c>
      <c r="CG75">
        <v>26.4</v>
      </c>
      <c r="CH75">
        <v>68.6</v>
      </c>
      <c r="CJ75">
        <v>12</v>
      </c>
      <c r="CK75">
        <v>0</v>
      </c>
      <c r="CL75">
        <v>1</v>
      </c>
      <c r="CM75">
        <v>0</v>
      </c>
      <c r="CN75">
        <v>0</v>
      </c>
      <c r="CO75">
        <v>53</v>
      </c>
      <c r="CQ75" t="s">
        <v>348</v>
      </c>
    </row>
    <row r="76" spans="1:95">
      <c r="A76" s="5">
        <v>46188</v>
      </c>
      <c r="B76" t="s">
        <v>634</v>
      </c>
      <c r="C76" t="s">
        <v>17</v>
      </c>
      <c r="D76" t="s">
        <v>52</v>
      </c>
      <c r="E76" t="s">
        <v>635</v>
      </c>
      <c r="F76" t="s">
        <v>337</v>
      </c>
      <c r="G76">
        <v>18</v>
      </c>
      <c r="H76">
        <v>0</v>
      </c>
      <c r="I76">
        <v>0</v>
      </c>
      <c r="J76">
        <v>18</v>
      </c>
      <c r="K76">
        <v>0</v>
      </c>
      <c r="L76">
        <v>0</v>
      </c>
      <c r="M76">
        <v>0</v>
      </c>
      <c r="N76">
        <v>0</v>
      </c>
      <c r="O76" t="s">
        <v>338</v>
      </c>
      <c r="P76">
        <v>2</v>
      </c>
      <c r="Q76">
        <v>3</v>
      </c>
      <c r="R76">
        <v>5</v>
      </c>
      <c r="S76">
        <v>9</v>
      </c>
      <c r="T76" t="s">
        <v>351</v>
      </c>
      <c r="U76">
        <v>29.99</v>
      </c>
      <c r="V76">
        <v>0</v>
      </c>
      <c r="W76">
        <v>29.99</v>
      </c>
      <c r="X76">
        <v>0</v>
      </c>
      <c r="Y76" t="s">
        <v>339</v>
      </c>
      <c r="AA76">
        <v>0</v>
      </c>
      <c r="AB76">
        <v>0</v>
      </c>
      <c r="AC76">
        <v>0</v>
      </c>
      <c r="AD76">
        <v>190.88</v>
      </c>
      <c r="AE76">
        <v>0.4</v>
      </c>
      <c r="AF76">
        <v>0.06475</v>
      </c>
      <c r="AG76" t="s">
        <v>340</v>
      </c>
      <c r="AH76" t="s">
        <v>341</v>
      </c>
      <c r="AI76">
        <v>1.1655</v>
      </c>
      <c r="AJ76" t="s">
        <v>342</v>
      </c>
      <c r="AK76" t="s">
        <v>465</v>
      </c>
      <c r="AM76">
        <v>200</v>
      </c>
      <c r="AN76">
        <v>0</v>
      </c>
      <c r="AO76">
        <v>24</v>
      </c>
      <c r="AP76">
        <v>26</v>
      </c>
      <c r="AQ76">
        <v>20.39</v>
      </c>
      <c r="AR76">
        <v>39.59</v>
      </c>
      <c r="AS76">
        <v>59.98</v>
      </c>
      <c r="AT76">
        <v>100.76</v>
      </c>
      <c r="AU76">
        <v>195.52</v>
      </c>
      <c r="AV76">
        <v>0</v>
      </c>
      <c r="AW76">
        <v>0</v>
      </c>
      <c r="AX76">
        <v>0</v>
      </c>
      <c r="AY76">
        <v>0</v>
      </c>
      <c r="AZ76">
        <v>0</v>
      </c>
      <c r="BA76">
        <v>0.83</v>
      </c>
      <c r="BB76">
        <v>0</v>
      </c>
      <c r="BC76">
        <v>0</v>
      </c>
      <c r="BD76">
        <v>0</v>
      </c>
      <c r="BE76">
        <v>0</v>
      </c>
      <c r="BG76">
        <v>0</v>
      </c>
      <c r="BH76">
        <v>0</v>
      </c>
      <c r="BY76">
        <v>309</v>
      </c>
      <c r="BZ76">
        <v>7</v>
      </c>
      <c r="CA76" t="s">
        <v>360</v>
      </c>
      <c r="CD76" s="5">
        <v>46188</v>
      </c>
      <c r="CE76" t="s">
        <v>345</v>
      </c>
      <c r="CF76" t="s">
        <v>346</v>
      </c>
      <c r="CG76">
        <v>309</v>
      </c>
      <c r="CH76">
        <v>251.9</v>
      </c>
      <c r="CI76" s="5">
        <v>46186</v>
      </c>
      <c r="CJ76">
        <v>18</v>
      </c>
      <c r="CK76">
        <v>0</v>
      </c>
      <c r="CL76">
        <v>0</v>
      </c>
      <c r="CM76">
        <v>0</v>
      </c>
      <c r="CN76">
        <v>0</v>
      </c>
      <c r="CO76">
        <v>200</v>
      </c>
      <c r="CP76" t="s">
        <v>347</v>
      </c>
      <c r="CQ76" t="s">
        <v>348</v>
      </c>
    </row>
    <row r="77" spans="1:95">
      <c r="A77" s="5">
        <v>46188</v>
      </c>
      <c r="B77" t="s">
        <v>636</v>
      </c>
      <c r="C77" t="s">
        <v>637</v>
      </c>
      <c r="D77" t="s">
        <v>638</v>
      </c>
      <c r="E77" t="s">
        <v>639</v>
      </c>
      <c r="G77">
        <v>0</v>
      </c>
      <c r="H77">
        <v>-1</v>
      </c>
      <c r="O77" t="s">
        <v>338</v>
      </c>
      <c r="U77">
        <v>0</v>
      </c>
      <c r="V77">
        <v>0</v>
      </c>
      <c r="W77">
        <v>0</v>
      </c>
      <c r="X77">
        <v>0</v>
      </c>
      <c r="Y77" t="s">
        <v>359</v>
      </c>
      <c r="AB77">
        <v>0</v>
      </c>
      <c r="AC77">
        <v>0</v>
      </c>
      <c r="AE77">
        <v>-1</v>
      </c>
      <c r="AH77" t="s">
        <v>341</v>
      </c>
      <c r="AJ77" t="s">
        <v>342</v>
      </c>
      <c r="AK77" t="s">
        <v>404</v>
      </c>
      <c r="AN77">
        <v>0</v>
      </c>
      <c r="AY77">
        <v>0</v>
      </c>
      <c r="BB77">
        <v>0</v>
      </c>
      <c r="BG77">
        <v>0</v>
      </c>
      <c r="BH77">
        <v>0</v>
      </c>
      <c r="CJ77">
        <v>0</v>
      </c>
      <c r="CK77">
        <v>0</v>
      </c>
      <c r="CL77">
        <v>0</v>
      </c>
      <c r="CM77">
        <v>0</v>
      </c>
      <c r="CN77">
        <v>0</v>
      </c>
      <c r="CP77" t="s">
        <v>347</v>
      </c>
      <c r="CQ77" t="s">
        <v>348</v>
      </c>
    </row>
    <row r="78" spans="1:95">
      <c r="A78" s="5">
        <v>46188</v>
      </c>
      <c r="B78" t="s">
        <v>640</v>
      </c>
      <c r="C78" t="s">
        <v>641</v>
      </c>
      <c r="D78" t="s">
        <v>642</v>
      </c>
      <c r="E78" t="s">
        <v>643</v>
      </c>
      <c r="G78">
        <v>0</v>
      </c>
      <c r="H78">
        <v>-1</v>
      </c>
      <c r="O78" t="s">
        <v>338</v>
      </c>
      <c r="U78">
        <v>0</v>
      </c>
      <c r="V78">
        <v>0</v>
      </c>
      <c r="W78">
        <v>0</v>
      </c>
      <c r="X78">
        <v>0</v>
      </c>
      <c r="Y78" t="s">
        <v>359</v>
      </c>
      <c r="AB78">
        <v>0</v>
      </c>
      <c r="AC78">
        <v>0</v>
      </c>
      <c r="AE78">
        <v>-1</v>
      </c>
      <c r="AJ78" t="s">
        <v>342</v>
      </c>
      <c r="AK78" t="s">
        <v>353</v>
      </c>
      <c r="AN78">
        <v>0</v>
      </c>
      <c r="AY78">
        <v>0</v>
      </c>
      <c r="BB78">
        <v>0</v>
      </c>
      <c r="BG78">
        <v>0</v>
      </c>
      <c r="BH78">
        <v>0</v>
      </c>
      <c r="CJ78">
        <v>0</v>
      </c>
      <c r="CK78">
        <v>0</v>
      </c>
      <c r="CL78">
        <v>0</v>
      </c>
      <c r="CM78">
        <v>0</v>
      </c>
      <c r="CN78">
        <v>0</v>
      </c>
      <c r="CP78" t="s">
        <v>347</v>
      </c>
      <c r="CQ78" t="s">
        <v>348</v>
      </c>
    </row>
    <row r="79" spans="1:95">
      <c r="A79" s="5">
        <v>46188</v>
      </c>
      <c r="B79" t="s">
        <v>644</v>
      </c>
      <c r="C79" t="s">
        <v>645</v>
      </c>
      <c r="D79" t="s">
        <v>646</v>
      </c>
      <c r="E79" t="s">
        <v>647</v>
      </c>
      <c r="G79">
        <v>0</v>
      </c>
      <c r="H79">
        <v>-1</v>
      </c>
      <c r="O79" t="s">
        <v>338</v>
      </c>
      <c r="U79">
        <v>0</v>
      </c>
      <c r="V79">
        <v>0</v>
      </c>
      <c r="W79">
        <v>0</v>
      </c>
      <c r="X79">
        <v>0</v>
      </c>
      <c r="Y79" t="s">
        <v>359</v>
      </c>
      <c r="AB79">
        <v>0</v>
      </c>
      <c r="AC79">
        <v>0</v>
      </c>
      <c r="AE79">
        <v>-1</v>
      </c>
      <c r="AJ79" t="s">
        <v>342</v>
      </c>
      <c r="AK79" t="s">
        <v>353</v>
      </c>
      <c r="AN79">
        <v>0</v>
      </c>
      <c r="AY79">
        <v>0</v>
      </c>
      <c r="BB79">
        <v>0</v>
      </c>
      <c r="BG79">
        <v>0</v>
      </c>
      <c r="BH79">
        <v>0</v>
      </c>
      <c r="CJ79">
        <v>0</v>
      </c>
      <c r="CK79">
        <v>0</v>
      </c>
      <c r="CL79">
        <v>0</v>
      </c>
      <c r="CM79">
        <v>0</v>
      </c>
      <c r="CN79">
        <v>0</v>
      </c>
      <c r="CP79" t="s">
        <v>347</v>
      </c>
      <c r="CQ79" t="s">
        <v>348</v>
      </c>
    </row>
    <row r="80" spans="1:95">
      <c r="A80" s="5">
        <v>46188</v>
      </c>
      <c r="B80" t="s">
        <v>648</v>
      </c>
      <c r="C80" t="s">
        <v>649</v>
      </c>
      <c r="D80" t="s">
        <v>650</v>
      </c>
      <c r="E80" t="s">
        <v>651</v>
      </c>
      <c r="G80">
        <v>55</v>
      </c>
      <c r="H80">
        <v>0</v>
      </c>
      <c r="I80">
        <v>71</v>
      </c>
      <c r="J80">
        <v>0</v>
      </c>
      <c r="K80">
        <v>0</v>
      </c>
      <c r="L80">
        <v>0</v>
      </c>
      <c r="M80">
        <v>0</v>
      </c>
      <c r="N80">
        <v>0</v>
      </c>
      <c r="O80" t="s">
        <v>338</v>
      </c>
      <c r="P80">
        <v>4</v>
      </c>
      <c r="Q80">
        <v>20</v>
      </c>
      <c r="R80">
        <v>41</v>
      </c>
      <c r="S80">
        <v>76</v>
      </c>
      <c r="W80">
        <v>51.99</v>
      </c>
      <c r="X80">
        <v>-1</v>
      </c>
      <c r="Y80" t="s">
        <v>359</v>
      </c>
      <c r="AA80">
        <v>0</v>
      </c>
      <c r="AB80">
        <v>0</v>
      </c>
      <c r="AC80">
        <v>0</v>
      </c>
      <c r="AD80">
        <v>0</v>
      </c>
      <c r="AE80">
        <v>1.44</v>
      </c>
      <c r="AF80">
        <v>0.792969</v>
      </c>
      <c r="AG80" t="s">
        <v>340</v>
      </c>
      <c r="AH80" t="s">
        <v>424</v>
      </c>
      <c r="AI80">
        <v>43.613295</v>
      </c>
      <c r="AJ80" t="s">
        <v>342</v>
      </c>
      <c r="AK80" t="s">
        <v>652</v>
      </c>
      <c r="AL80">
        <v>26497</v>
      </c>
      <c r="AM80">
        <v>56</v>
      </c>
      <c r="AN80">
        <v>0</v>
      </c>
      <c r="AO80">
        <v>15</v>
      </c>
      <c r="AP80">
        <v>13</v>
      </c>
      <c r="AQ80">
        <v>51.99</v>
      </c>
      <c r="AR80">
        <v>207.96</v>
      </c>
      <c r="AS80">
        <v>1057.8</v>
      </c>
      <c r="AT80">
        <v>2107.5</v>
      </c>
      <c r="AU80">
        <v>3857.04</v>
      </c>
      <c r="AV80">
        <v>71</v>
      </c>
      <c r="AW80">
        <v>0</v>
      </c>
      <c r="AX80">
        <v>0</v>
      </c>
      <c r="AY80">
        <v>0</v>
      </c>
      <c r="AZ80">
        <v>0</v>
      </c>
      <c r="BA80">
        <v>22.57</v>
      </c>
      <c r="BB80">
        <v>22</v>
      </c>
      <c r="BC80">
        <v>16</v>
      </c>
      <c r="BD80">
        <v>0</v>
      </c>
      <c r="BE80">
        <v>6</v>
      </c>
      <c r="BG80">
        <v>6</v>
      </c>
      <c r="BH80">
        <v>6</v>
      </c>
      <c r="BY80">
        <v>55</v>
      </c>
      <c r="BZ80">
        <v>51</v>
      </c>
      <c r="CA80" t="s">
        <v>360</v>
      </c>
      <c r="CD80" s="5">
        <v>46188</v>
      </c>
      <c r="CE80" t="s">
        <v>345</v>
      </c>
      <c r="CF80" t="s">
        <v>346</v>
      </c>
      <c r="CG80">
        <v>55</v>
      </c>
      <c r="CH80">
        <v>42.2</v>
      </c>
      <c r="CI80" s="5">
        <v>46186</v>
      </c>
      <c r="CJ80">
        <v>85</v>
      </c>
      <c r="CK80">
        <v>8</v>
      </c>
      <c r="CL80">
        <v>6</v>
      </c>
      <c r="CM80">
        <v>0</v>
      </c>
      <c r="CN80">
        <v>0</v>
      </c>
      <c r="CO80">
        <v>75</v>
      </c>
      <c r="CP80" t="s">
        <v>347</v>
      </c>
      <c r="CQ80" t="s">
        <v>348</v>
      </c>
    </row>
    <row r="81" spans="1:95">
      <c r="A81" s="5">
        <v>46188</v>
      </c>
      <c r="B81" t="s">
        <v>653</v>
      </c>
      <c r="C81" t="s">
        <v>654</v>
      </c>
      <c r="D81" t="s">
        <v>655</v>
      </c>
      <c r="E81" t="s">
        <v>656</v>
      </c>
      <c r="G81">
        <v>23</v>
      </c>
      <c r="H81">
        <v>-1</v>
      </c>
      <c r="O81" t="s">
        <v>338</v>
      </c>
      <c r="P81">
        <v>6</v>
      </c>
      <c r="Q81">
        <v>13</v>
      </c>
      <c r="R81">
        <v>30</v>
      </c>
      <c r="S81">
        <v>46</v>
      </c>
      <c r="W81">
        <v>-1</v>
      </c>
      <c r="X81">
        <v>-1</v>
      </c>
      <c r="Y81" t="s">
        <v>359</v>
      </c>
      <c r="AA81">
        <v>0</v>
      </c>
      <c r="AB81">
        <v>0</v>
      </c>
      <c r="AC81">
        <v>0</v>
      </c>
      <c r="AD81">
        <v>0</v>
      </c>
      <c r="AE81">
        <v>-1</v>
      </c>
      <c r="AH81" t="s">
        <v>341</v>
      </c>
      <c r="AJ81" t="s">
        <v>342</v>
      </c>
      <c r="AK81" t="s">
        <v>353</v>
      </c>
      <c r="AM81">
        <v>29</v>
      </c>
      <c r="AN81">
        <v>0</v>
      </c>
      <c r="AO81">
        <v>23</v>
      </c>
      <c r="AP81">
        <v>21</v>
      </c>
      <c r="AQ81">
        <v>12.99</v>
      </c>
      <c r="AR81">
        <v>86.74</v>
      </c>
      <c r="AS81">
        <v>197.87</v>
      </c>
      <c r="AT81">
        <v>473.7</v>
      </c>
      <c r="AU81">
        <v>751.94</v>
      </c>
      <c r="AY81">
        <v>0</v>
      </c>
      <c r="BA81">
        <v>0.23</v>
      </c>
      <c r="BB81">
        <v>53</v>
      </c>
      <c r="BC81">
        <v>53</v>
      </c>
      <c r="BD81">
        <v>0</v>
      </c>
      <c r="BE81">
        <v>0</v>
      </c>
      <c r="BG81">
        <v>3</v>
      </c>
      <c r="BH81">
        <v>0</v>
      </c>
      <c r="BY81">
        <v>78.3</v>
      </c>
      <c r="BZ81">
        <v>41</v>
      </c>
      <c r="CA81" t="s">
        <v>344</v>
      </c>
      <c r="CB81">
        <v>5</v>
      </c>
      <c r="CC81" s="5">
        <v>46195</v>
      </c>
      <c r="CD81" s="5">
        <v>46188</v>
      </c>
      <c r="CE81" t="s">
        <v>345</v>
      </c>
      <c r="CF81" t="s">
        <v>346</v>
      </c>
      <c r="CG81">
        <v>78.3</v>
      </c>
      <c r="CH81">
        <v>63.1</v>
      </c>
      <c r="CJ81">
        <v>77</v>
      </c>
      <c r="CK81">
        <v>1</v>
      </c>
      <c r="CL81">
        <v>3</v>
      </c>
      <c r="CM81">
        <v>0</v>
      </c>
      <c r="CN81">
        <v>0</v>
      </c>
      <c r="CO81">
        <v>88</v>
      </c>
      <c r="CP81" t="s">
        <v>347</v>
      </c>
      <c r="CQ81" t="s">
        <v>348</v>
      </c>
    </row>
    <row r="82" spans="1:95">
      <c r="A82" s="5">
        <v>46188</v>
      </c>
      <c r="B82" t="s">
        <v>657</v>
      </c>
      <c r="C82" t="s">
        <v>658</v>
      </c>
      <c r="D82" t="s">
        <v>659</v>
      </c>
      <c r="E82" t="s">
        <v>660</v>
      </c>
      <c r="G82">
        <v>0</v>
      </c>
      <c r="H82">
        <v>-1</v>
      </c>
      <c r="O82" t="s">
        <v>338</v>
      </c>
      <c r="U82">
        <v>0</v>
      </c>
      <c r="V82">
        <v>0</v>
      </c>
      <c r="W82">
        <v>0</v>
      </c>
      <c r="X82">
        <v>0</v>
      </c>
      <c r="Y82" t="s">
        <v>359</v>
      </c>
      <c r="AB82">
        <v>0</v>
      </c>
      <c r="AC82">
        <v>0</v>
      </c>
      <c r="AE82">
        <v>-1</v>
      </c>
      <c r="AH82" t="s">
        <v>341</v>
      </c>
      <c r="AJ82" t="s">
        <v>342</v>
      </c>
      <c r="AK82" t="s">
        <v>353</v>
      </c>
      <c r="AM82">
        <v>0</v>
      </c>
      <c r="AN82">
        <v>0</v>
      </c>
      <c r="AQ82">
        <v>38.99</v>
      </c>
      <c r="AY82">
        <v>0</v>
      </c>
      <c r="BB82">
        <v>0</v>
      </c>
      <c r="BC82">
        <v>0</v>
      </c>
      <c r="BD82">
        <v>0</v>
      </c>
      <c r="BE82">
        <v>0</v>
      </c>
      <c r="BG82">
        <v>0</v>
      </c>
      <c r="BH82">
        <v>0</v>
      </c>
      <c r="CJ82">
        <v>0</v>
      </c>
      <c r="CK82">
        <v>0</v>
      </c>
      <c r="CL82">
        <v>0</v>
      </c>
      <c r="CM82">
        <v>0</v>
      </c>
      <c r="CN82">
        <v>0</v>
      </c>
      <c r="CO82">
        <v>0</v>
      </c>
      <c r="CP82" t="s">
        <v>347</v>
      </c>
      <c r="CQ82" t="s">
        <v>348</v>
      </c>
    </row>
    <row r="83" spans="1:95">
      <c r="A83" s="5">
        <v>46188</v>
      </c>
      <c r="B83" t="s">
        <v>661</v>
      </c>
      <c r="C83" t="s">
        <v>662</v>
      </c>
      <c r="D83" t="s">
        <v>663</v>
      </c>
      <c r="E83" t="s">
        <v>664</v>
      </c>
      <c r="G83">
        <v>0</v>
      </c>
      <c r="H83">
        <v>-1</v>
      </c>
      <c r="O83" t="s">
        <v>338</v>
      </c>
      <c r="U83">
        <v>0</v>
      </c>
      <c r="V83">
        <v>0</v>
      </c>
      <c r="W83">
        <v>0</v>
      </c>
      <c r="X83">
        <v>0</v>
      </c>
      <c r="Y83" t="s">
        <v>359</v>
      </c>
      <c r="AB83">
        <v>0</v>
      </c>
      <c r="AC83">
        <v>0</v>
      </c>
      <c r="AE83">
        <v>-1</v>
      </c>
      <c r="AH83" t="s">
        <v>341</v>
      </c>
      <c r="AJ83" t="s">
        <v>342</v>
      </c>
      <c r="AK83" t="s">
        <v>404</v>
      </c>
      <c r="AN83">
        <v>0</v>
      </c>
      <c r="AQ83">
        <v>27.99</v>
      </c>
      <c r="AY83">
        <v>0</v>
      </c>
      <c r="BB83">
        <v>0</v>
      </c>
      <c r="BC83">
        <v>0</v>
      </c>
      <c r="BD83">
        <v>0</v>
      </c>
      <c r="BE83">
        <v>0</v>
      </c>
      <c r="BG83">
        <v>0</v>
      </c>
      <c r="BH83">
        <v>0</v>
      </c>
      <c r="CJ83">
        <v>0</v>
      </c>
      <c r="CK83">
        <v>0</v>
      </c>
      <c r="CL83">
        <v>0</v>
      </c>
      <c r="CM83">
        <v>0</v>
      </c>
      <c r="CN83">
        <v>0</v>
      </c>
      <c r="CP83" t="s">
        <v>347</v>
      </c>
      <c r="CQ83" t="s">
        <v>348</v>
      </c>
    </row>
    <row r="84" spans="1:95">
      <c r="A84" s="5">
        <v>46188</v>
      </c>
      <c r="B84" t="s">
        <v>665</v>
      </c>
      <c r="C84" t="s">
        <v>48</v>
      </c>
      <c r="D84" t="s">
        <v>70</v>
      </c>
      <c r="E84" t="s">
        <v>666</v>
      </c>
      <c r="F84" t="s">
        <v>337</v>
      </c>
      <c r="G84">
        <v>22</v>
      </c>
      <c r="H84">
        <v>0</v>
      </c>
      <c r="I84">
        <v>0</v>
      </c>
      <c r="J84">
        <v>0</v>
      </c>
      <c r="K84">
        <v>22</v>
      </c>
      <c r="L84">
        <v>0</v>
      </c>
      <c r="M84">
        <v>0</v>
      </c>
      <c r="N84">
        <v>0</v>
      </c>
      <c r="O84" t="s">
        <v>338</v>
      </c>
      <c r="T84" t="s">
        <v>351</v>
      </c>
      <c r="U84">
        <v>36.99</v>
      </c>
      <c r="V84">
        <v>0</v>
      </c>
      <c r="W84">
        <v>29.59</v>
      </c>
      <c r="X84">
        <v>12.05</v>
      </c>
      <c r="Y84" t="s">
        <v>516</v>
      </c>
      <c r="AA84">
        <v>0</v>
      </c>
      <c r="AB84">
        <v>0</v>
      </c>
      <c r="AC84">
        <v>0</v>
      </c>
      <c r="AD84">
        <v>1105.36</v>
      </c>
      <c r="AE84">
        <v>0</v>
      </c>
      <c r="AF84">
        <v>0.199302</v>
      </c>
      <c r="AG84" t="s">
        <v>340</v>
      </c>
      <c r="AH84" t="s">
        <v>341</v>
      </c>
      <c r="AI84">
        <v>4.384644</v>
      </c>
      <c r="AJ84" t="s">
        <v>342</v>
      </c>
      <c r="AK84" t="s">
        <v>353</v>
      </c>
      <c r="AN84">
        <v>22</v>
      </c>
      <c r="AQ84">
        <v>29.59</v>
      </c>
      <c r="AV84">
        <v>0</v>
      </c>
      <c r="AW84">
        <v>0</v>
      </c>
      <c r="AX84">
        <v>0</v>
      </c>
      <c r="AY84">
        <v>22</v>
      </c>
      <c r="AZ84">
        <v>0</v>
      </c>
      <c r="BA84">
        <v>24.65</v>
      </c>
      <c r="BB84">
        <v>0</v>
      </c>
      <c r="BC84">
        <v>0</v>
      </c>
      <c r="BD84">
        <v>0</v>
      </c>
      <c r="BE84">
        <v>0</v>
      </c>
      <c r="BF84">
        <v>22</v>
      </c>
      <c r="BG84">
        <v>1</v>
      </c>
      <c r="BH84">
        <v>0</v>
      </c>
      <c r="BI84">
        <v>0</v>
      </c>
      <c r="BJ84">
        <v>0</v>
      </c>
      <c r="BK84">
        <v>0</v>
      </c>
      <c r="BL84">
        <v>0</v>
      </c>
      <c r="BM84">
        <v>22</v>
      </c>
      <c r="BN84">
        <v>6.6</v>
      </c>
      <c r="BO84">
        <v>0</v>
      </c>
      <c r="BP84">
        <v>0</v>
      </c>
      <c r="BQ84">
        <v>0</v>
      </c>
      <c r="BR84">
        <v>0</v>
      </c>
      <c r="BS84">
        <v>0</v>
      </c>
      <c r="BT84">
        <v>0</v>
      </c>
      <c r="BU84">
        <v>0</v>
      </c>
      <c r="BV84">
        <v>0</v>
      </c>
      <c r="BW84">
        <v>0</v>
      </c>
      <c r="BX84">
        <v>0</v>
      </c>
      <c r="CA84" t="s">
        <v>354</v>
      </c>
      <c r="CI84" s="5">
        <v>46186</v>
      </c>
      <c r="CJ84">
        <v>22</v>
      </c>
      <c r="CK84">
        <v>0</v>
      </c>
      <c r="CL84">
        <v>1</v>
      </c>
      <c r="CM84">
        <v>0</v>
      </c>
      <c r="CN84">
        <v>0</v>
      </c>
      <c r="CP84" t="s">
        <v>347</v>
      </c>
      <c r="CQ84" t="s">
        <v>348</v>
      </c>
    </row>
    <row r="85" spans="1:95">
      <c r="A85" s="5">
        <v>46188</v>
      </c>
      <c r="B85" t="s">
        <v>667</v>
      </c>
      <c r="C85" t="s">
        <v>668</v>
      </c>
      <c r="D85" t="s">
        <v>669</v>
      </c>
      <c r="E85" t="s">
        <v>670</v>
      </c>
      <c r="G85">
        <v>0</v>
      </c>
      <c r="H85">
        <v>-1</v>
      </c>
      <c r="O85" t="s">
        <v>338</v>
      </c>
      <c r="U85">
        <v>0</v>
      </c>
      <c r="V85">
        <v>0</v>
      </c>
      <c r="W85">
        <v>0</v>
      </c>
      <c r="X85">
        <v>0</v>
      </c>
      <c r="Y85" t="s">
        <v>359</v>
      </c>
      <c r="AB85">
        <v>0</v>
      </c>
      <c r="AC85">
        <v>0</v>
      </c>
      <c r="AE85">
        <v>-1</v>
      </c>
      <c r="AH85" t="s">
        <v>341</v>
      </c>
      <c r="AJ85" t="s">
        <v>342</v>
      </c>
      <c r="AK85" t="s">
        <v>353</v>
      </c>
      <c r="AM85">
        <v>0</v>
      </c>
      <c r="AN85">
        <v>0</v>
      </c>
      <c r="AQ85">
        <v>32.9</v>
      </c>
      <c r="AY85">
        <v>0</v>
      </c>
      <c r="BB85">
        <v>0</v>
      </c>
      <c r="BC85">
        <v>0</v>
      </c>
      <c r="BD85">
        <v>0</v>
      </c>
      <c r="BE85">
        <v>0</v>
      </c>
      <c r="BG85">
        <v>0</v>
      </c>
      <c r="BH85">
        <v>0</v>
      </c>
      <c r="CJ85">
        <v>0</v>
      </c>
      <c r="CK85">
        <v>0</v>
      </c>
      <c r="CL85">
        <v>0</v>
      </c>
      <c r="CM85">
        <v>0</v>
      </c>
      <c r="CN85">
        <v>0</v>
      </c>
      <c r="CO85">
        <v>0</v>
      </c>
      <c r="CP85" t="s">
        <v>347</v>
      </c>
      <c r="CQ85" t="s">
        <v>348</v>
      </c>
    </row>
    <row r="86" spans="1:95">
      <c r="A86" s="5">
        <v>46188</v>
      </c>
      <c r="B86" t="s">
        <v>671</v>
      </c>
      <c r="C86" t="s">
        <v>672</v>
      </c>
      <c r="D86" t="s">
        <v>673</v>
      </c>
      <c r="E86" t="s">
        <v>674</v>
      </c>
      <c r="G86">
        <v>0</v>
      </c>
      <c r="H86">
        <v>-1</v>
      </c>
      <c r="O86" t="s">
        <v>338</v>
      </c>
      <c r="U86">
        <v>0</v>
      </c>
      <c r="V86">
        <v>0</v>
      </c>
      <c r="W86">
        <v>0</v>
      </c>
      <c r="X86">
        <v>0</v>
      </c>
      <c r="Y86" t="s">
        <v>359</v>
      </c>
      <c r="AB86">
        <v>0</v>
      </c>
      <c r="AC86">
        <v>0</v>
      </c>
      <c r="AE86">
        <v>-1</v>
      </c>
      <c r="AH86" t="s">
        <v>341</v>
      </c>
      <c r="AJ86" t="s">
        <v>342</v>
      </c>
      <c r="AK86" t="s">
        <v>353</v>
      </c>
      <c r="AN86">
        <v>0</v>
      </c>
      <c r="AQ86">
        <v>5.99</v>
      </c>
      <c r="AY86">
        <v>0</v>
      </c>
      <c r="BB86">
        <v>0</v>
      </c>
      <c r="BC86">
        <v>0</v>
      </c>
      <c r="BD86">
        <v>0</v>
      </c>
      <c r="BE86">
        <v>0</v>
      </c>
      <c r="BG86">
        <v>0</v>
      </c>
      <c r="BH86">
        <v>0</v>
      </c>
      <c r="CJ86">
        <v>0</v>
      </c>
      <c r="CK86">
        <v>0</v>
      </c>
      <c r="CL86">
        <v>0</v>
      </c>
      <c r="CM86">
        <v>0</v>
      </c>
      <c r="CN86">
        <v>0</v>
      </c>
      <c r="CP86" t="s">
        <v>347</v>
      </c>
      <c r="CQ86" t="s">
        <v>348</v>
      </c>
    </row>
    <row r="87" spans="1:95">
      <c r="A87" s="5">
        <v>46188</v>
      </c>
      <c r="B87" t="s">
        <v>675</v>
      </c>
      <c r="C87" t="s">
        <v>676</v>
      </c>
      <c r="D87" t="s">
        <v>677</v>
      </c>
      <c r="E87" t="s">
        <v>678</v>
      </c>
      <c r="G87">
        <v>0</v>
      </c>
      <c r="H87">
        <v>-1</v>
      </c>
      <c r="O87" t="s">
        <v>338</v>
      </c>
      <c r="U87">
        <v>0</v>
      </c>
      <c r="V87">
        <v>0</v>
      </c>
      <c r="W87">
        <v>0</v>
      </c>
      <c r="X87">
        <v>0</v>
      </c>
      <c r="Y87" t="s">
        <v>359</v>
      </c>
      <c r="AB87">
        <v>0</v>
      </c>
      <c r="AC87">
        <v>0</v>
      </c>
      <c r="AE87">
        <v>-1</v>
      </c>
      <c r="AH87" t="s">
        <v>341</v>
      </c>
      <c r="AJ87" t="s">
        <v>342</v>
      </c>
      <c r="AK87" t="s">
        <v>353</v>
      </c>
      <c r="AM87">
        <v>0</v>
      </c>
      <c r="AN87">
        <v>0</v>
      </c>
      <c r="AQ87">
        <v>23.79</v>
      </c>
      <c r="AY87">
        <v>0</v>
      </c>
      <c r="BB87">
        <v>0</v>
      </c>
      <c r="BC87">
        <v>0</v>
      </c>
      <c r="BD87">
        <v>0</v>
      </c>
      <c r="BE87">
        <v>0</v>
      </c>
      <c r="BG87">
        <v>0</v>
      </c>
      <c r="BH87">
        <v>0</v>
      </c>
      <c r="CJ87">
        <v>0</v>
      </c>
      <c r="CK87">
        <v>0</v>
      </c>
      <c r="CL87">
        <v>0</v>
      </c>
      <c r="CM87">
        <v>0</v>
      </c>
      <c r="CN87">
        <v>0</v>
      </c>
      <c r="CO87">
        <v>0</v>
      </c>
      <c r="CP87" t="s">
        <v>347</v>
      </c>
      <c r="CQ87" t="s">
        <v>348</v>
      </c>
    </row>
    <row r="88" spans="1:95">
      <c r="A88" s="5">
        <v>46188</v>
      </c>
      <c r="B88" t="s">
        <v>679</v>
      </c>
      <c r="C88" t="s">
        <v>123</v>
      </c>
      <c r="D88" t="s">
        <v>680</v>
      </c>
      <c r="E88" t="s">
        <v>681</v>
      </c>
      <c r="G88">
        <v>0</v>
      </c>
      <c r="H88">
        <v>-1</v>
      </c>
      <c r="O88" t="s">
        <v>338</v>
      </c>
      <c r="P88">
        <v>0</v>
      </c>
      <c r="Q88">
        <v>0</v>
      </c>
      <c r="R88">
        <v>0</v>
      </c>
      <c r="S88">
        <v>0</v>
      </c>
      <c r="U88">
        <v>0</v>
      </c>
      <c r="V88">
        <v>0</v>
      </c>
      <c r="W88">
        <v>0</v>
      </c>
      <c r="X88">
        <v>0</v>
      </c>
      <c r="Y88" t="s">
        <v>359</v>
      </c>
      <c r="AB88">
        <v>0</v>
      </c>
      <c r="AC88">
        <v>0</v>
      </c>
      <c r="AE88">
        <v>-1</v>
      </c>
      <c r="AH88" t="s">
        <v>341</v>
      </c>
      <c r="AJ88" t="s">
        <v>342</v>
      </c>
      <c r="AK88" t="s">
        <v>353</v>
      </c>
      <c r="AM88">
        <v>0</v>
      </c>
      <c r="AN88">
        <v>0</v>
      </c>
      <c r="AQ88">
        <v>39.99</v>
      </c>
      <c r="AR88">
        <v>0</v>
      </c>
      <c r="AS88">
        <v>0</v>
      </c>
      <c r="AT88">
        <v>0</v>
      </c>
      <c r="AU88">
        <v>0</v>
      </c>
      <c r="AY88">
        <v>0</v>
      </c>
      <c r="BB88">
        <v>0</v>
      </c>
      <c r="BC88">
        <v>0</v>
      </c>
      <c r="BD88">
        <v>0</v>
      </c>
      <c r="BE88">
        <v>0</v>
      </c>
      <c r="BG88">
        <v>0</v>
      </c>
      <c r="BH88">
        <v>0</v>
      </c>
      <c r="BZ88">
        <v>1</v>
      </c>
      <c r="CA88" t="s">
        <v>429</v>
      </c>
      <c r="CB88">
        <v>1</v>
      </c>
      <c r="CC88" s="5">
        <v>46186</v>
      </c>
      <c r="CJ88">
        <v>0</v>
      </c>
      <c r="CK88">
        <v>0</v>
      </c>
      <c r="CL88">
        <v>0</v>
      </c>
      <c r="CM88">
        <v>0</v>
      </c>
      <c r="CN88">
        <v>0</v>
      </c>
      <c r="CO88">
        <v>0</v>
      </c>
      <c r="CP88" t="s">
        <v>347</v>
      </c>
      <c r="CQ88" t="s">
        <v>348</v>
      </c>
    </row>
    <row r="89" spans="1:95">
      <c r="A89" s="5">
        <v>46188</v>
      </c>
      <c r="B89" t="s">
        <v>682</v>
      </c>
      <c r="C89" t="s">
        <v>683</v>
      </c>
      <c r="D89" t="s">
        <v>684</v>
      </c>
      <c r="E89" t="s">
        <v>685</v>
      </c>
      <c r="F89" t="s">
        <v>337</v>
      </c>
      <c r="G89">
        <v>18</v>
      </c>
      <c r="H89">
        <v>0</v>
      </c>
      <c r="I89">
        <v>0</v>
      </c>
      <c r="J89">
        <v>18</v>
      </c>
      <c r="K89">
        <v>0</v>
      </c>
      <c r="L89">
        <v>0</v>
      </c>
      <c r="M89">
        <v>0</v>
      </c>
      <c r="N89">
        <v>0</v>
      </c>
      <c r="O89" t="s">
        <v>338</v>
      </c>
      <c r="P89">
        <v>0</v>
      </c>
      <c r="Q89">
        <v>0</v>
      </c>
      <c r="R89">
        <v>0</v>
      </c>
      <c r="S89">
        <v>0</v>
      </c>
      <c r="T89" t="s">
        <v>351</v>
      </c>
      <c r="U89">
        <v>55.54</v>
      </c>
      <c r="V89">
        <v>41.99</v>
      </c>
      <c r="W89">
        <v>41.99</v>
      </c>
      <c r="X89">
        <v>0</v>
      </c>
      <c r="Y89" t="s">
        <v>613</v>
      </c>
      <c r="AA89">
        <v>0</v>
      </c>
      <c r="AB89">
        <v>0</v>
      </c>
      <c r="AC89">
        <v>0</v>
      </c>
      <c r="AD89">
        <v>1526.02</v>
      </c>
      <c r="AE89">
        <v>0</v>
      </c>
      <c r="AF89">
        <v>0.314972</v>
      </c>
      <c r="AG89" t="s">
        <v>340</v>
      </c>
      <c r="AH89" t="s">
        <v>341</v>
      </c>
      <c r="AI89">
        <v>5.669496</v>
      </c>
      <c r="AJ89" t="s">
        <v>342</v>
      </c>
      <c r="AK89" t="s">
        <v>343</v>
      </c>
      <c r="AM89">
        <v>366</v>
      </c>
      <c r="AN89">
        <v>18</v>
      </c>
      <c r="AQ89">
        <v>41.99</v>
      </c>
      <c r="AR89">
        <v>0</v>
      </c>
      <c r="AS89">
        <v>0</v>
      </c>
      <c r="AT89">
        <v>0</v>
      </c>
      <c r="AU89">
        <v>0</v>
      </c>
      <c r="AV89">
        <v>0</v>
      </c>
      <c r="AW89">
        <v>0</v>
      </c>
      <c r="AX89">
        <v>0</v>
      </c>
      <c r="AY89">
        <v>0</v>
      </c>
      <c r="AZ89">
        <v>0</v>
      </c>
      <c r="BA89">
        <v>4.05</v>
      </c>
      <c r="BB89">
        <v>0</v>
      </c>
      <c r="BC89">
        <v>0</v>
      </c>
      <c r="BD89">
        <v>0</v>
      </c>
      <c r="BE89">
        <v>0</v>
      </c>
      <c r="BG89">
        <v>1</v>
      </c>
      <c r="BH89">
        <v>0</v>
      </c>
      <c r="CA89" t="s">
        <v>354</v>
      </c>
      <c r="CI89" s="5">
        <v>46186</v>
      </c>
      <c r="CJ89">
        <v>18</v>
      </c>
      <c r="CK89">
        <v>0</v>
      </c>
      <c r="CL89">
        <v>1</v>
      </c>
      <c r="CM89">
        <v>0</v>
      </c>
      <c r="CN89">
        <v>0</v>
      </c>
      <c r="CO89">
        <v>366</v>
      </c>
      <c r="CP89" t="s">
        <v>347</v>
      </c>
      <c r="CQ89" t="s">
        <v>348</v>
      </c>
    </row>
    <row r="90" spans="1:95">
      <c r="A90" s="5">
        <v>46188</v>
      </c>
      <c r="B90" t="s">
        <v>686</v>
      </c>
      <c r="C90" t="s">
        <v>406</v>
      </c>
      <c r="D90" t="s">
        <v>687</v>
      </c>
      <c r="E90" t="s">
        <v>408</v>
      </c>
      <c r="F90" t="s">
        <v>337</v>
      </c>
      <c r="G90">
        <v>10</v>
      </c>
      <c r="H90">
        <v>0</v>
      </c>
      <c r="I90">
        <v>1</v>
      </c>
      <c r="J90">
        <v>9</v>
      </c>
      <c r="K90">
        <v>0</v>
      </c>
      <c r="L90">
        <v>0</v>
      </c>
      <c r="M90">
        <v>0</v>
      </c>
      <c r="N90">
        <v>0</v>
      </c>
      <c r="O90" t="s">
        <v>338</v>
      </c>
      <c r="P90">
        <v>1</v>
      </c>
      <c r="Q90">
        <v>2</v>
      </c>
      <c r="R90">
        <v>3</v>
      </c>
      <c r="S90">
        <v>11</v>
      </c>
      <c r="U90">
        <v>39.99</v>
      </c>
      <c r="V90">
        <v>31.99</v>
      </c>
      <c r="W90">
        <v>31.99</v>
      </c>
      <c r="X90">
        <v>0</v>
      </c>
      <c r="Y90" t="s">
        <v>464</v>
      </c>
      <c r="AA90">
        <v>0</v>
      </c>
      <c r="AB90">
        <v>0</v>
      </c>
      <c r="AC90">
        <v>0</v>
      </c>
      <c r="AD90">
        <v>0</v>
      </c>
      <c r="AE90">
        <v>0.32</v>
      </c>
      <c r="AF90">
        <v>0.266389</v>
      </c>
      <c r="AG90" t="s">
        <v>340</v>
      </c>
      <c r="AH90" t="s">
        <v>341</v>
      </c>
      <c r="AI90">
        <v>2.66389</v>
      </c>
      <c r="AJ90" t="s">
        <v>342</v>
      </c>
      <c r="AK90" t="s">
        <v>353</v>
      </c>
      <c r="AL90">
        <v>2409</v>
      </c>
      <c r="AM90">
        <v>30</v>
      </c>
      <c r="AN90">
        <v>0</v>
      </c>
      <c r="AO90">
        <v>20</v>
      </c>
      <c r="AP90">
        <v>11</v>
      </c>
      <c r="AQ90">
        <v>31.99</v>
      </c>
      <c r="AR90">
        <v>31.99</v>
      </c>
      <c r="AS90">
        <v>63.48</v>
      </c>
      <c r="AT90">
        <v>95.47</v>
      </c>
      <c r="AU90">
        <v>383.39</v>
      </c>
      <c r="AV90">
        <v>0</v>
      </c>
      <c r="AW90">
        <v>0</v>
      </c>
      <c r="AX90">
        <v>1</v>
      </c>
      <c r="AY90">
        <v>0</v>
      </c>
      <c r="AZ90">
        <v>0</v>
      </c>
      <c r="BA90">
        <v>1.56</v>
      </c>
      <c r="BB90">
        <v>0</v>
      </c>
      <c r="BC90">
        <v>0</v>
      </c>
      <c r="BD90">
        <v>0</v>
      </c>
      <c r="BE90">
        <v>0</v>
      </c>
      <c r="BG90">
        <v>0</v>
      </c>
      <c r="BH90">
        <v>0</v>
      </c>
      <c r="BY90">
        <v>164.5</v>
      </c>
      <c r="BZ90">
        <v>11</v>
      </c>
      <c r="CA90" t="s">
        <v>344</v>
      </c>
      <c r="CB90">
        <v>11</v>
      </c>
      <c r="CC90" s="5">
        <v>46193</v>
      </c>
      <c r="CD90" s="5">
        <v>46188</v>
      </c>
      <c r="CE90" t="s">
        <v>345</v>
      </c>
      <c r="CF90" t="s">
        <v>346</v>
      </c>
      <c r="CG90">
        <v>164.5</v>
      </c>
      <c r="CH90">
        <v>110.5</v>
      </c>
      <c r="CI90" s="5">
        <v>46186</v>
      </c>
      <c r="CJ90">
        <v>10</v>
      </c>
      <c r="CK90">
        <v>0</v>
      </c>
      <c r="CL90">
        <v>0</v>
      </c>
      <c r="CM90">
        <v>0</v>
      </c>
      <c r="CN90">
        <v>0</v>
      </c>
      <c r="CO90">
        <v>30</v>
      </c>
      <c r="CP90" t="s">
        <v>347</v>
      </c>
      <c r="CQ90" t="s">
        <v>348</v>
      </c>
    </row>
    <row r="91" spans="1:95">
      <c r="A91" s="5">
        <v>46188</v>
      </c>
      <c r="B91" t="s">
        <v>688</v>
      </c>
      <c r="C91" t="s">
        <v>124</v>
      </c>
      <c r="D91" t="s">
        <v>689</v>
      </c>
      <c r="E91" t="s">
        <v>690</v>
      </c>
      <c r="G91">
        <v>0</v>
      </c>
      <c r="H91">
        <v>-1</v>
      </c>
      <c r="O91" t="s">
        <v>338</v>
      </c>
      <c r="U91">
        <v>0</v>
      </c>
      <c r="V91">
        <v>0</v>
      </c>
      <c r="W91">
        <v>0</v>
      </c>
      <c r="X91">
        <v>0</v>
      </c>
      <c r="Y91" t="s">
        <v>359</v>
      </c>
      <c r="AB91">
        <v>0</v>
      </c>
      <c r="AC91">
        <v>0</v>
      </c>
      <c r="AE91">
        <v>-1</v>
      </c>
      <c r="AJ91" t="s">
        <v>342</v>
      </c>
      <c r="AK91" t="s">
        <v>353</v>
      </c>
      <c r="AL91">
        <v>804557</v>
      </c>
      <c r="AN91">
        <v>0</v>
      </c>
      <c r="AQ91">
        <v>81.69</v>
      </c>
      <c r="AY91">
        <v>0</v>
      </c>
      <c r="BB91">
        <v>0</v>
      </c>
      <c r="BG91">
        <v>0</v>
      </c>
      <c r="BH91">
        <v>0</v>
      </c>
      <c r="CJ91">
        <v>0</v>
      </c>
      <c r="CK91">
        <v>0</v>
      </c>
      <c r="CL91">
        <v>0</v>
      </c>
      <c r="CM91">
        <v>0</v>
      </c>
      <c r="CN91">
        <v>0</v>
      </c>
      <c r="CP91" t="s">
        <v>347</v>
      </c>
      <c r="CQ91" t="s">
        <v>348</v>
      </c>
    </row>
    <row r="92" spans="1:95">
      <c r="A92" s="5">
        <v>46188</v>
      </c>
      <c r="B92" t="s">
        <v>691</v>
      </c>
      <c r="C92" t="s">
        <v>692</v>
      </c>
      <c r="D92" t="s">
        <v>693</v>
      </c>
      <c r="E92" t="s">
        <v>694</v>
      </c>
      <c r="G92">
        <v>0</v>
      </c>
      <c r="H92">
        <v>-1</v>
      </c>
      <c r="O92" t="s">
        <v>338</v>
      </c>
      <c r="U92">
        <v>0</v>
      </c>
      <c r="V92">
        <v>0</v>
      </c>
      <c r="W92">
        <v>0</v>
      </c>
      <c r="X92">
        <v>0</v>
      </c>
      <c r="Y92" t="s">
        <v>359</v>
      </c>
      <c r="AB92">
        <v>0</v>
      </c>
      <c r="AC92">
        <v>0</v>
      </c>
      <c r="AE92">
        <v>-1</v>
      </c>
      <c r="AH92" t="s">
        <v>341</v>
      </c>
      <c r="AJ92" t="s">
        <v>342</v>
      </c>
      <c r="AK92" t="s">
        <v>353</v>
      </c>
      <c r="AN92">
        <v>0</v>
      </c>
      <c r="AY92">
        <v>0</v>
      </c>
      <c r="BB92">
        <v>0</v>
      </c>
      <c r="BG92">
        <v>0</v>
      </c>
      <c r="BH92">
        <v>0</v>
      </c>
      <c r="CJ92">
        <v>0</v>
      </c>
      <c r="CK92">
        <v>0</v>
      </c>
      <c r="CL92">
        <v>0</v>
      </c>
      <c r="CM92">
        <v>0</v>
      </c>
      <c r="CN92">
        <v>0</v>
      </c>
      <c r="CP92" t="s">
        <v>347</v>
      </c>
      <c r="CQ92" t="s">
        <v>348</v>
      </c>
    </row>
    <row r="93" spans="1:95">
      <c r="A93" s="5">
        <v>46188</v>
      </c>
      <c r="B93" t="s">
        <v>695</v>
      </c>
      <c r="C93" t="s">
        <v>696</v>
      </c>
      <c r="D93" t="s">
        <v>697</v>
      </c>
      <c r="E93" t="s">
        <v>698</v>
      </c>
      <c r="G93">
        <v>0</v>
      </c>
      <c r="H93">
        <v>-1</v>
      </c>
      <c r="O93" t="s">
        <v>338</v>
      </c>
      <c r="P93">
        <v>0</v>
      </c>
      <c r="Q93">
        <v>0</v>
      </c>
      <c r="R93">
        <v>0</v>
      </c>
      <c r="S93">
        <v>0</v>
      </c>
      <c r="U93">
        <v>0</v>
      </c>
      <c r="V93">
        <v>0</v>
      </c>
      <c r="W93">
        <v>0</v>
      </c>
      <c r="X93">
        <v>0</v>
      </c>
      <c r="Y93" t="s">
        <v>359</v>
      </c>
      <c r="AB93">
        <v>0</v>
      </c>
      <c r="AC93">
        <v>0</v>
      </c>
      <c r="AE93">
        <v>-1</v>
      </c>
      <c r="AH93" t="s">
        <v>341</v>
      </c>
      <c r="AJ93" t="s">
        <v>342</v>
      </c>
      <c r="AK93" t="s">
        <v>353</v>
      </c>
      <c r="AM93">
        <v>0</v>
      </c>
      <c r="AN93">
        <v>0</v>
      </c>
      <c r="AQ93">
        <v>32.39</v>
      </c>
      <c r="AR93">
        <v>0</v>
      </c>
      <c r="AS93">
        <v>0</v>
      </c>
      <c r="AT93">
        <v>0</v>
      </c>
      <c r="AU93">
        <v>0</v>
      </c>
      <c r="AY93">
        <v>0</v>
      </c>
      <c r="BB93">
        <v>0</v>
      </c>
      <c r="BC93">
        <v>0</v>
      </c>
      <c r="BD93">
        <v>0</v>
      </c>
      <c r="BE93">
        <v>0</v>
      </c>
      <c r="BG93">
        <v>0</v>
      </c>
      <c r="BH93">
        <v>0</v>
      </c>
      <c r="BZ93">
        <v>1</v>
      </c>
      <c r="CA93" t="s">
        <v>429</v>
      </c>
      <c r="CJ93">
        <v>0</v>
      </c>
      <c r="CK93">
        <v>0</v>
      </c>
      <c r="CL93">
        <v>0</v>
      </c>
      <c r="CM93">
        <v>0</v>
      </c>
      <c r="CN93">
        <v>0</v>
      </c>
      <c r="CO93">
        <v>0</v>
      </c>
      <c r="CP93" t="s">
        <v>347</v>
      </c>
      <c r="CQ93" t="s">
        <v>348</v>
      </c>
    </row>
    <row r="94" spans="1:95">
      <c r="A94" s="5">
        <v>46188</v>
      </c>
      <c r="B94" t="s">
        <v>699</v>
      </c>
      <c r="C94" t="s">
        <v>700</v>
      </c>
      <c r="D94" t="s">
        <v>701</v>
      </c>
      <c r="E94" t="s">
        <v>702</v>
      </c>
      <c r="G94">
        <v>0</v>
      </c>
      <c r="H94">
        <v>-1</v>
      </c>
      <c r="O94" t="s">
        <v>338</v>
      </c>
      <c r="U94">
        <v>0</v>
      </c>
      <c r="V94">
        <v>0</v>
      </c>
      <c r="W94">
        <v>0</v>
      </c>
      <c r="X94">
        <v>0</v>
      </c>
      <c r="Y94" t="s">
        <v>359</v>
      </c>
      <c r="AB94">
        <v>0</v>
      </c>
      <c r="AC94">
        <v>0</v>
      </c>
      <c r="AE94">
        <v>-1</v>
      </c>
      <c r="AH94" t="s">
        <v>341</v>
      </c>
      <c r="AJ94" t="s">
        <v>342</v>
      </c>
      <c r="AK94" t="s">
        <v>343</v>
      </c>
      <c r="AN94">
        <v>0</v>
      </c>
      <c r="AQ94">
        <v>14.99</v>
      </c>
      <c r="AY94">
        <v>0</v>
      </c>
      <c r="BB94">
        <v>0</v>
      </c>
      <c r="BC94">
        <v>0</v>
      </c>
      <c r="BD94">
        <v>0</v>
      </c>
      <c r="BE94">
        <v>0</v>
      </c>
      <c r="BG94">
        <v>0</v>
      </c>
      <c r="BH94">
        <v>0</v>
      </c>
      <c r="CJ94">
        <v>0</v>
      </c>
      <c r="CK94">
        <v>0</v>
      </c>
      <c r="CL94">
        <v>0</v>
      </c>
      <c r="CM94">
        <v>0</v>
      </c>
      <c r="CN94">
        <v>0</v>
      </c>
      <c r="CP94" t="s">
        <v>347</v>
      </c>
      <c r="CQ94" t="s">
        <v>348</v>
      </c>
    </row>
    <row r="95" spans="1:95">
      <c r="A95" s="5">
        <v>46188</v>
      </c>
      <c r="B95" t="s">
        <v>703</v>
      </c>
      <c r="C95" t="s">
        <v>704</v>
      </c>
      <c r="D95" t="s">
        <v>705</v>
      </c>
      <c r="E95" t="s">
        <v>706</v>
      </c>
      <c r="G95">
        <v>0</v>
      </c>
      <c r="H95">
        <v>-1</v>
      </c>
      <c r="O95" t="s">
        <v>338</v>
      </c>
      <c r="U95">
        <v>0</v>
      </c>
      <c r="V95">
        <v>0</v>
      </c>
      <c r="W95">
        <v>0</v>
      </c>
      <c r="X95">
        <v>0</v>
      </c>
      <c r="Y95" t="s">
        <v>359</v>
      </c>
      <c r="AB95">
        <v>0</v>
      </c>
      <c r="AC95">
        <v>0</v>
      </c>
      <c r="AE95">
        <v>-1</v>
      </c>
      <c r="AH95" t="s">
        <v>341</v>
      </c>
      <c r="AJ95" t="s">
        <v>342</v>
      </c>
      <c r="AK95" t="s">
        <v>343</v>
      </c>
      <c r="AN95">
        <v>0</v>
      </c>
      <c r="AQ95">
        <v>8.29</v>
      </c>
      <c r="AY95">
        <v>0</v>
      </c>
      <c r="BB95">
        <v>0</v>
      </c>
      <c r="BC95">
        <v>0</v>
      </c>
      <c r="BD95">
        <v>0</v>
      </c>
      <c r="BE95">
        <v>0</v>
      </c>
      <c r="BG95">
        <v>0</v>
      </c>
      <c r="BH95">
        <v>0</v>
      </c>
      <c r="CJ95">
        <v>0</v>
      </c>
      <c r="CK95">
        <v>0</v>
      </c>
      <c r="CL95">
        <v>0</v>
      </c>
      <c r="CM95">
        <v>0</v>
      </c>
      <c r="CN95">
        <v>0</v>
      </c>
      <c r="CP95" t="s">
        <v>347</v>
      </c>
      <c r="CQ95" t="s">
        <v>348</v>
      </c>
    </row>
    <row r="96" spans="1:95">
      <c r="A96" s="5">
        <v>46188</v>
      </c>
      <c r="B96" t="s">
        <v>707</v>
      </c>
      <c r="C96" t="s">
        <v>708</v>
      </c>
      <c r="D96" t="s">
        <v>709</v>
      </c>
      <c r="E96" t="s">
        <v>710</v>
      </c>
      <c r="G96">
        <v>0</v>
      </c>
      <c r="H96">
        <v>-1</v>
      </c>
      <c r="O96" t="s">
        <v>338</v>
      </c>
      <c r="P96">
        <v>0</v>
      </c>
      <c r="Q96">
        <v>0</v>
      </c>
      <c r="R96">
        <v>0</v>
      </c>
      <c r="S96">
        <v>0</v>
      </c>
      <c r="U96">
        <v>0</v>
      </c>
      <c r="V96">
        <v>0</v>
      </c>
      <c r="W96">
        <v>0</v>
      </c>
      <c r="X96">
        <v>0</v>
      </c>
      <c r="Y96" t="s">
        <v>359</v>
      </c>
      <c r="AB96">
        <v>0</v>
      </c>
      <c r="AC96">
        <v>0</v>
      </c>
      <c r="AE96">
        <v>-1</v>
      </c>
      <c r="AH96" t="s">
        <v>341</v>
      </c>
      <c r="AJ96" t="s">
        <v>342</v>
      </c>
      <c r="AK96" t="s">
        <v>353</v>
      </c>
      <c r="AM96">
        <v>0</v>
      </c>
      <c r="AN96">
        <v>0</v>
      </c>
      <c r="AQ96">
        <v>25.59</v>
      </c>
      <c r="AR96">
        <v>0</v>
      </c>
      <c r="AS96">
        <v>0</v>
      </c>
      <c r="AT96">
        <v>0</v>
      </c>
      <c r="AU96">
        <v>0</v>
      </c>
      <c r="AY96">
        <v>0</v>
      </c>
      <c r="BB96">
        <v>0</v>
      </c>
      <c r="BC96">
        <v>0</v>
      </c>
      <c r="BD96">
        <v>0</v>
      </c>
      <c r="BE96">
        <v>0</v>
      </c>
      <c r="BG96">
        <v>0</v>
      </c>
      <c r="BH96">
        <v>0</v>
      </c>
      <c r="BZ96">
        <v>1</v>
      </c>
      <c r="CA96" t="s">
        <v>429</v>
      </c>
      <c r="CJ96">
        <v>0</v>
      </c>
      <c r="CK96">
        <v>0</v>
      </c>
      <c r="CL96">
        <v>0</v>
      </c>
      <c r="CM96">
        <v>0</v>
      </c>
      <c r="CN96">
        <v>0</v>
      </c>
      <c r="CO96">
        <v>0</v>
      </c>
      <c r="CP96" t="s">
        <v>347</v>
      </c>
      <c r="CQ96" t="s">
        <v>348</v>
      </c>
    </row>
    <row r="97" spans="1:95">
      <c r="A97" s="5">
        <v>46188</v>
      </c>
      <c r="B97" t="s">
        <v>711</v>
      </c>
      <c r="C97" t="s">
        <v>712</v>
      </c>
      <c r="D97" t="s">
        <v>713</v>
      </c>
      <c r="E97" t="s">
        <v>714</v>
      </c>
      <c r="G97">
        <v>0</v>
      </c>
      <c r="H97">
        <v>-1</v>
      </c>
      <c r="O97" t="s">
        <v>338</v>
      </c>
      <c r="U97">
        <v>0</v>
      </c>
      <c r="V97">
        <v>0</v>
      </c>
      <c r="W97">
        <v>0</v>
      </c>
      <c r="X97">
        <v>0</v>
      </c>
      <c r="Y97" t="s">
        <v>359</v>
      </c>
      <c r="AB97">
        <v>0</v>
      </c>
      <c r="AC97">
        <v>0</v>
      </c>
      <c r="AE97">
        <v>-1</v>
      </c>
      <c r="AH97" t="s">
        <v>341</v>
      </c>
      <c r="AJ97" t="s">
        <v>342</v>
      </c>
      <c r="AK97" t="s">
        <v>353</v>
      </c>
      <c r="AM97">
        <v>0</v>
      </c>
      <c r="AN97">
        <v>0</v>
      </c>
      <c r="AQ97">
        <v>20.99</v>
      </c>
      <c r="AY97">
        <v>0</v>
      </c>
      <c r="BB97">
        <v>0</v>
      </c>
      <c r="BC97">
        <v>0</v>
      </c>
      <c r="BD97">
        <v>0</v>
      </c>
      <c r="BE97">
        <v>0</v>
      </c>
      <c r="BG97">
        <v>0</v>
      </c>
      <c r="BH97">
        <v>0</v>
      </c>
      <c r="CJ97">
        <v>0</v>
      </c>
      <c r="CK97">
        <v>0</v>
      </c>
      <c r="CL97">
        <v>0</v>
      </c>
      <c r="CM97">
        <v>0</v>
      </c>
      <c r="CN97">
        <v>0</v>
      </c>
      <c r="CO97">
        <v>0</v>
      </c>
      <c r="CP97" t="s">
        <v>347</v>
      </c>
      <c r="CQ97" t="s">
        <v>348</v>
      </c>
    </row>
    <row r="98" spans="1:95">
      <c r="A98" s="5">
        <v>46188</v>
      </c>
      <c r="B98" t="s">
        <v>715</v>
      </c>
      <c r="C98" t="s">
        <v>716</v>
      </c>
      <c r="D98" t="s">
        <v>717</v>
      </c>
      <c r="E98" t="s">
        <v>718</v>
      </c>
      <c r="F98" t="s">
        <v>337</v>
      </c>
      <c r="G98">
        <v>20</v>
      </c>
      <c r="H98">
        <v>0</v>
      </c>
      <c r="I98">
        <v>20</v>
      </c>
      <c r="J98">
        <v>0</v>
      </c>
      <c r="K98">
        <v>0</v>
      </c>
      <c r="L98">
        <v>0</v>
      </c>
      <c r="M98">
        <v>0</v>
      </c>
      <c r="N98">
        <v>0</v>
      </c>
      <c r="O98" t="s">
        <v>338</v>
      </c>
      <c r="T98" t="s">
        <v>409</v>
      </c>
      <c r="U98">
        <v>38.99</v>
      </c>
      <c r="V98">
        <v>0</v>
      </c>
      <c r="W98">
        <v>31.99</v>
      </c>
      <c r="X98">
        <v>0</v>
      </c>
      <c r="Y98" t="s">
        <v>391</v>
      </c>
      <c r="AA98">
        <v>0</v>
      </c>
      <c r="AB98">
        <v>0</v>
      </c>
      <c r="AC98">
        <v>0</v>
      </c>
      <c r="AD98">
        <v>0</v>
      </c>
      <c r="AE98">
        <v>0</v>
      </c>
      <c r="AF98">
        <v>0.139028</v>
      </c>
      <c r="AG98" t="s">
        <v>340</v>
      </c>
      <c r="AH98" t="s">
        <v>341</v>
      </c>
      <c r="AI98">
        <v>2.78056</v>
      </c>
      <c r="AJ98" t="s">
        <v>342</v>
      </c>
      <c r="AK98" t="s">
        <v>353</v>
      </c>
      <c r="AL98">
        <v>206385</v>
      </c>
      <c r="AM98">
        <v>144</v>
      </c>
      <c r="AN98">
        <v>0</v>
      </c>
      <c r="AQ98">
        <v>31.99</v>
      </c>
      <c r="AV98">
        <v>0</v>
      </c>
      <c r="AW98">
        <v>20</v>
      </c>
      <c r="AX98">
        <v>0</v>
      </c>
      <c r="AY98">
        <v>0</v>
      </c>
      <c r="AZ98">
        <v>0</v>
      </c>
      <c r="BA98">
        <v>1.99</v>
      </c>
      <c r="BB98">
        <v>0</v>
      </c>
      <c r="BC98">
        <v>0</v>
      </c>
      <c r="BD98">
        <v>0</v>
      </c>
      <c r="BE98">
        <v>0</v>
      </c>
      <c r="BG98">
        <v>0</v>
      </c>
      <c r="BH98">
        <v>0</v>
      </c>
      <c r="CI98" s="5">
        <v>46186</v>
      </c>
      <c r="CJ98">
        <v>20</v>
      </c>
      <c r="CK98">
        <v>0</v>
      </c>
      <c r="CL98">
        <v>0</v>
      </c>
      <c r="CM98">
        <v>0</v>
      </c>
      <c r="CN98">
        <v>0</v>
      </c>
      <c r="CO98">
        <v>144</v>
      </c>
      <c r="CP98" t="s">
        <v>347</v>
      </c>
      <c r="CQ98" t="s">
        <v>348</v>
      </c>
    </row>
    <row r="99" spans="1:95">
      <c r="A99" s="5">
        <v>46188</v>
      </c>
      <c r="B99" t="s">
        <v>719</v>
      </c>
      <c r="C99" t="s">
        <v>720</v>
      </c>
      <c r="D99" t="s">
        <v>721</v>
      </c>
      <c r="E99" t="s">
        <v>722</v>
      </c>
      <c r="F99" t="s">
        <v>337</v>
      </c>
      <c r="G99">
        <v>20</v>
      </c>
      <c r="H99">
        <v>0</v>
      </c>
      <c r="I99">
        <v>20</v>
      </c>
      <c r="J99">
        <v>0</v>
      </c>
      <c r="K99">
        <v>0</v>
      </c>
      <c r="L99">
        <v>0</v>
      </c>
      <c r="M99">
        <v>0</v>
      </c>
      <c r="N99">
        <v>0</v>
      </c>
      <c r="O99" t="s">
        <v>338</v>
      </c>
      <c r="T99" t="s">
        <v>409</v>
      </c>
      <c r="U99">
        <v>39.99</v>
      </c>
      <c r="V99">
        <v>0</v>
      </c>
      <c r="W99">
        <v>23.99</v>
      </c>
      <c r="X99">
        <v>0</v>
      </c>
      <c r="Y99" t="s">
        <v>391</v>
      </c>
      <c r="AA99">
        <v>0</v>
      </c>
      <c r="AB99">
        <v>0</v>
      </c>
      <c r="AC99">
        <v>0</v>
      </c>
      <c r="AD99">
        <v>546.59</v>
      </c>
      <c r="AE99">
        <v>0</v>
      </c>
      <c r="AF99">
        <v>0.153854</v>
      </c>
      <c r="AG99" t="s">
        <v>340</v>
      </c>
      <c r="AH99" t="s">
        <v>341</v>
      </c>
      <c r="AI99">
        <v>3.07708</v>
      </c>
      <c r="AJ99" t="s">
        <v>342</v>
      </c>
      <c r="AK99" t="s">
        <v>353</v>
      </c>
      <c r="AL99">
        <v>206385</v>
      </c>
      <c r="AM99">
        <v>142</v>
      </c>
      <c r="AN99">
        <v>0</v>
      </c>
      <c r="AQ99">
        <v>23.99</v>
      </c>
      <c r="AV99">
        <v>0</v>
      </c>
      <c r="AW99">
        <v>20</v>
      </c>
      <c r="AX99">
        <v>0</v>
      </c>
      <c r="AY99">
        <v>0</v>
      </c>
      <c r="AZ99">
        <v>0</v>
      </c>
      <c r="BA99">
        <v>2.2</v>
      </c>
      <c r="BB99">
        <v>0</v>
      </c>
      <c r="BC99">
        <v>0</v>
      </c>
      <c r="BD99">
        <v>0</v>
      </c>
      <c r="BE99">
        <v>0</v>
      </c>
      <c r="BG99">
        <v>0</v>
      </c>
      <c r="BH99">
        <v>0</v>
      </c>
      <c r="CI99" s="5">
        <v>46186</v>
      </c>
      <c r="CJ99">
        <v>20</v>
      </c>
      <c r="CK99">
        <v>0</v>
      </c>
      <c r="CL99">
        <v>0</v>
      </c>
      <c r="CM99">
        <v>0</v>
      </c>
      <c r="CN99">
        <v>0</v>
      </c>
      <c r="CO99">
        <v>142</v>
      </c>
      <c r="CP99" t="s">
        <v>347</v>
      </c>
      <c r="CQ99" t="s">
        <v>348</v>
      </c>
    </row>
    <row r="100" spans="1:95">
      <c r="A100" s="5">
        <v>46188</v>
      </c>
      <c r="B100" t="s">
        <v>723</v>
      </c>
      <c r="C100" t="s">
        <v>724</v>
      </c>
      <c r="D100" t="s">
        <v>725</v>
      </c>
      <c r="E100" t="s">
        <v>726</v>
      </c>
      <c r="F100" t="s">
        <v>337</v>
      </c>
      <c r="G100">
        <v>4</v>
      </c>
      <c r="H100">
        <v>0</v>
      </c>
      <c r="I100">
        <v>0</v>
      </c>
      <c r="J100">
        <v>0</v>
      </c>
      <c r="K100">
        <v>0</v>
      </c>
      <c r="L100">
        <v>4</v>
      </c>
      <c r="M100">
        <v>0</v>
      </c>
      <c r="N100">
        <v>0</v>
      </c>
      <c r="O100" t="s">
        <v>338</v>
      </c>
      <c r="P100">
        <v>0</v>
      </c>
      <c r="Q100">
        <v>1</v>
      </c>
      <c r="R100">
        <v>1</v>
      </c>
      <c r="S100">
        <v>2</v>
      </c>
      <c r="T100" t="s">
        <v>351</v>
      </c>
      <c r="U100">
        <v>119.99</v>
      </c>
      <c r="V100">
        <v>0</v>
      </c>
      <c r="W100">
        <v>93.99</v>
      </c>
      <c r="X100">
        <v>0</v>
      </c>
      <c r="Y100" t="s">
        <v>391</v>
      </c>
      <c r="AA100">
        <v>0</v>
      </c>
      <c r="AB100">
        <v>0</v>
      </c>
      <c r="AC100">
        <v>0</v>
      </c>
      <c r="AD100">
        <v>1059.44</v>
      </c>
      <c r="AE100">
        <v>0.4</v>
      </c>
      <c r="AF100">
        <v>0.872762</v>
      </c>
      <c r="AG100" t="s">
        <v>340</v>
      </c>
      <c r="AH100" t="s">
        <v>424</v>
      </c>
      <c r="AI100">
        <v>3.491048</v>
      </c>
      <c r="AJ100" t="s">
        <v>342</v>
      </c>
      <c r="AK100" t="s">
        <v>353</v>
      </c>
      <c r="AL100">
        <v>792639</v>
      </c>
      <c r="AM100">
        <v>55</v>
      </c>
      <c r="AN100">
        <v>0</v>
      </c>
      <c r="AO100">
        <v>32</v>
      </c>
      <c r="AP100">
        <v>52</v>
      </c>
      <c r="AQ100">
        <v>93.99</v>
      </c>
      <c r="AR100">
        <v>0</v>
      </c>
      <c r="AS100">
        <v>93.99</v>
      </c>
      <c r="AT100">
        <v>93.99</v>
      </c>
      <c r="AU100">
        <v>187.98</v>
      </c>
      <c r="AV100">
        <v>0</v>
      </c>
      <c r="AW100">
        <v>0</v>
      </c>
      <c r="AX100">
        <v>0</v>
      </c>
      <c r="AY100">
        <v>4</v>
      </c>
      <c r="AZ100">
        <v>0</v>
      </c>
      <c r="BA100">
        <v>22.9</v>
      </c>
      <c r="BB100">
        <v>4</v>
      </c>
      <c r="BC100">
        <v>4</v>
      </c>
      <c r="BD100">
        <v>0</v>
      </c>
      <c r="BE100">
        <v>0</v>
      </c>
      <c r="BG100">
        <v>0</v>
      </c>
      <c r="BH100">
        <v>0</v>
      </c>
      <c r="BI100">
        <v>0</v>
      </c>
      <c r="BJ100">
        <v>0</v>
      </c>
      <c r="BK100">
        <v>0</v>
      </c>
      <c r="BL100">
        <v>0</v>
      </c>
      <c r="BM100">
        <v>0</v>
      </c>
      <c r="BN100">
        <v>0</v>
      </c>
      <c r="BO100">
        <v>0</v>
      </c>
      <c r="BP100">
        <v>0</v>
      </c>
      <c r="BQ100">
        <v>4</v>
      </c>
      <c r="BR100">
        <v>19.89</v>
      </c>
      <c r="BS100">
        <v>0</v>
      </c>
      <c r="BT100">
        <v>0</v>
      </c>
      <c r="BU100">
        <v>0</v>
      </c>
      <c r="BV100">
        <v>0</v>
      </c>
      <c r="BW100">
        <v>0</v>
      </c>
      <c r="BX100">
        <v>0</v>
      </c>
      <c r="BY100">
        <v>216.5</v>
      </c>
      <c r="BZ100">
        <v>10</v>
      </c>
      <c r="CA100" t="s">
        <v>344</v>
      </c>
      <c r="CD100" s="5">
        <v>46188</v>
      </c>
      <c r="CE100" t="s">
        <v>345</v>
      </c>
      <c r="CF100" t="s">
        <v>346</v>
      </c>
      <c r="CG100">
        <v>128</v>
      </c>
      <c r="CH100">
        <v>216.5</v>
      </c>
      <c r="CI100" s="5">
        <v>46186</v>
      </c>
      <c r="CJ100">
        <v>8</v>
      </c>
      <c r="CK100">
        <v>0</v>
      </c>
      <c r="CL100">
        <v>0</v>
      </c>
      <c r="CM100">
        <v>0</v>
      </c>
      <c r="CN100">
        <v>0</v>
      </c>
      <c r="CO100">
        <v>113</v>
      </c>
      <c r="CP100" t="s">
        <v>347</v>
      </c>
      <c r="CQ100" t="s">
        <v>348</v>
      </c>
    </row>
    <row r="101" spans="1:95">
      <c r="A101" s="5">
        <v>46188</v>
      </c>
      <c r="B101" t="s">
        <v>727</v>
      </c>
      <c r="C101" t="s">
        <v>24</v>
      </c>
      <c r="D101" t="s">
        <v>25</v>
      </c>
      <c r="E101" t="s">
        <v>728</v>
      </c>
      <c r="F101" t="s">
        <v>337</v>
      </c>
      <c r="G101">
        <v>44</v>
      </c>
      <c r="H101">
        <v>0</v>
      </c>
      <c r="I101">
        <v>0</v>
      </c>
      <c r="J101">
        <v>0</v>
      </c>
      <c r="K101">
        <v>1</v>
      </c>
      <c r="L101">
        <v>43</v>
      </c>
      <c r="M101">
        <v>0</v>
      </c>
      <c r="N101">
        <v>0</v>
      </c>
      <c r="O101" t="s">
        <v>338</v>
      </c>
      <c r="P101">
        <v>0</v>
      </c>
      <c r="Q101">
        <v>0</v>
      </c>
      <c r="R101">
        <v>1</v>
      </c>
      <c r="S101">
        <v>1</v>
      </c>
      <c r="T101" t="s">
        <v>351</v>
      </c>
      <c r="U101">
        <v>43.99</v>
      </c>
      <c r="V101">
        <v>33.99</v>
      </c>
      <c r="W101">
        <v>33.99</v>
      </c>
      <c r="X101">
        <v>0</v>
      </c>
      <c r="Y101" t="s">
        <v>516</v>
      </c>
      <c r="AA101">
        <v>0</v>
      </c>
      <c r="AB101">
        <v>0</v>
      </c>
      <c r="AC101">
        <v>0</v>
      </c>
      <c r="AD101">
        <v>3121.8</v>
      </c>
      <c r="AE101">
        <v>0.02</v>
      </c>
      <c r="AF101">
        <v>0.270031</v>
      </c>
      <c r="AG101" t="s">
        <v>340</v>
      </c>
      <c r="AH101" t="s">
        <v>341</v>
      </c>
      <c r="AI101">
        <v>11.881364</v>
      </c>
      <c r="AJ101" t="s">
        <v>342</v>
      </c>
      <c r="AK101" t="s">
        <v>343</v>
      </c>
      <c r="AL101">
        <v>1303979</v>
      </c>
      <c r="AM101">
        <v>366</v>
      </c>
      <c r="AN101">
        <v>44</v>
      </c>
      <c r="AP101">
        <v>572</v>
      </c>
      <c r="AQ101">
        <v>33.99</v>
      </c>
      <c r="AR101">
        <v>0</v>
      </c>
      <c r="AS101">
        <v>0</v>
      </c>
      <c r="AT101">
        <v>33.99</v>
      </c>
      <c r="AU101">
        <v>33.99</v>
      </c>
      <c r="AV101">
        <v>0</v>
      </c>
      <c r="AW101">
        <v>0</v>
      </c>
      <c r="AX101">
        <v>0</v>
      </c>
      <c r="AY101">
        <v>1</v>
      </c>
      <c r="AZ101">
        <v>43</v>
      </c>
      <c r="BA101">
        <v>87.48</v>
      </c>
      <c r="BB101">
        <v>0</v>
      </c>
      <c r="BC101">
        <v>0</v>
      </c>
      <c r="BD101">
        <v>0</v>
      </c>
      <c r="BE101">
        <v>0</v>
      </c>
      <c r="BG101">
        <v>0</v>
      </c>
      <c r="BH101">
        <v>0</v>
      </c>
      <c r="BI101">
        <v>0</v>
      </c>
      <c r="BJ101">
        <v>0</v>
      </c>
      <c r="BK101">
        <v>0</v>
      </c>
      <c r="BL101">
        <v>0</v>
      </c>
      <c r="BM101">
        <v>1</v>
      </c>
      <c r="BN101">
        <v>0.41</v>
      </c>
      <c r="BO101">
        <v>0</v>
      </c>
      <c r="BP101">
        <v>0</v>
      </c>
      <c r="BQ101">
        <v>0</v>
      </c>
      <c r="BR101">
        <v>0</v>
      </c>
      <c r="BS101">
        <v>43</v>
      </c>
      <c r="BT101">
        <v>68.51</v>
      </c>
      <c r="BU101">
        <v>0</v>
      </c>
      <c r="BV101">
        <v>0</v>
      </c>
      <c r="BW101">
        <v>0</v>
      </c>
      <c r="BX101">
        <v>0</v>
      </c>
      <c r="BZ101">
        <v>1</v>
      </c>
      <c r="CA101" t="s">
        <v>354</v>
      </c>
      <c r="CH101">
        <v>2029</v>
      </c>
      <c r="CI101" s="5">
        <v>46186</v>
      </c>
      <c r="CJ101">
        <v>44</v>
      </c>
      <c r="CK101">
        <v>0</v>
      </c>
      <c r="CL101">
        <v>0</v>
      </c>
      <c r="CM101">
        <v>0</v>
      </c>
      <c r="CN101">
        <v>0</v>
      </c>
      <c r="CO101">
        <v>366</v>
      </c>
      <c r="CP101" t="s">
        <v>347</v>
      </c>
      <c r="CQ101" t="s">
        <v>348</v>
      </c>
    </row>
    <row r="102" spans="1:95">
      <c r="A102" s="5">
        <v>46188</v>
      </c>
      <c r="B102" t="s">
        <v>729</v>
      </c>
      <c r="C102" t="s">
        <v>730</v>
      </c>
      <c r="D102" t="s">
        <v>731</v>
      </c>
      <c r="E102" t="s">
        <v>732</v>
      </c>
      <c r="F102" t="s">
        <v>337</v>
      </c>
      <c r="G102">
        <v>15</v>
      </c>
      <c r="H102">
        <v>0</v>
      </c>
      <c r="I102">
        <v>22</v>
      </c>
      <c r="J102">
        <v>0</v>
      </c>
      <c r="K102">
        <v>0</v>
      </c>
      <c r="L102">
        <v>0</v>
      </c>
      <c r="M102">
        <v>0</v>
      </c>
      <c r="N102">
        <v>0</v>
      </c>
      <c r="O102" t="s">
        <v>338</v>
      </c>
      <c r="P102">
        <v>2</v>
      </c>
      <c r="Q102">
        <v>8</v>
      </c>
      <c r="R102">
        <v>27</v>
      </c>
      <c r="S102">
        <v>45</v>
      </c>
      <c r="U102">
        <v>29.99</v>
      </c>
      <c r="V102">
        <v>0</v>
      </c>
      <c r="W102">
        <v>29.99</v>
      </c>
      <c r="X102">
        <v>0</v>
      </c>
      <c r="Y102" t="s">
        <v>359</v>
      </c>
      <c r="AA102">
        <v>0</v>
      </c>
      <c r="AB102">
        <v>0</v>
      </c>
      <c r="AC102">
        <v>0</v>
      </c>
      <c r="AD102">
        <v>0</v>
      </c>
      <c r="AE102">
        <v>2.31</v>
      </c>
      <c r="AF102">
        <v>0.038172</v>
      </c>
      <c r="AG102" t="s">
        <v>340</v>
      </c>
      <c r="AH102" t="s">
        <v>341</v>
      </c>
      <c r="AI102">
        <v>0.57258</v>
      </c>
      <c r="AJ102" t="s">
        <v>342</v>
      </c>
      <c r="AK102" t="s">
        <v>353</v>
      </c>
      <c r="AM102">
        <v>117</v>
      </c>
      <c r="AN102">
        <v>0</v>
      </c>
      <c r="AO102">
        <v>23</v>
      </c>
      <c r="AP102">
        <v>13</v>
      </c>
      <c r="AQ102">
        <v>17.99</v>
      </c>
      <c r="AR102">
        <v>35.98</v>
      </c>
      <c r="AS102">
        <v>143.92</v>
      </c>
      <c r="AT102">
        <v>521.68</v>
      </c>
      <c r="AU102">
        <v>845.5</v>
      </c>
      <c r="AV102">
        <v>22</v>
      </c>
      <c r="AW102">
        <v>0</v>
      </c>
      <c r="AX102">
        <v>0</v>
      </c>
      <c r="AY102">
        <v>0</v>
      </c>
      <c r="AZ102">
        <v>0</v>
      </c>
      <c r="BA102">
        <v>1.27</v>
      </c>
      <c r="BB102">
        <v>32</v>
      </c>
      <c r="BC102">
        <v>0</v>
      </c>
      <c r="BD102">
        <v>32</v>
      </c>
      <c r="BE102">
        <v>0</v>
      </c>
      <c r="BG102">
        <v>0</v>
      </c>
      <c r="BH102">
        <v>0</v>
      </c>
      <c r="BY102">
        <v>37.7</v>
      </c>
      <c r="BZ102">
        <v>27</v>
      </c>
      <c r="CA102" t="s">
        <v>344</v>
      </c>
      <c r="CD102" s="5">
        <v>46181</v>
      </c>
      <c r="CE102" t="s">
        <v>345</v>
      </c>
      <c r="CF102" t="s">
        <v>346</v>
      </c>
      <c r="CG102">
        <v>21.3</v>
      </c>
      <c r="CH102">
        <v>37.7</v>
      </c>
      <c r="CI102" s="5">
        <v>46186</v>
      </c>
      <c r="CJ102">
        <v>54</v>
      </c>
      <c r="CK102">
        <v>7</v>
      </c>
      <c r="CL102">
        <v>0</v>
      </c>
      <c r="CM102">
        <v>0</v>
      </c>
      <c r="CN102">
        <v>0</v>
      </c>
      <c r="CO102">
        <v>117</v>
      </c>
      <c r="CP102" t="s">
        <v>347</v>
      </c>
      <c r="CQ102" t="s">
        <v>348</v>
      </c>
    </row>
    <row r="103" spans="1:95">
      <c r="A103" s="5">
        <v>46188</v>
      </c>
      <c r="B103" t="s">
        <v>733</v>
      </c>
      <c r="C103" t="s">
        <v>734</v>
      </c>
      <c r="D103" t="s">
        <v>735</v>
      </c>
      <c r="E103" t="s">
        <v>736</v>
      </c>
      <c r="F103" t="s">
        <v>337</v>
      </c>
      <c r="G103">
        <v>14</v>
      </c>
      <c r="H103">
        <v>0</v>
      </c>
      <c r="I103">
        <v>0</v>
      </c>
      <c r="J103">
        <v>14</v>
      </c>
      <c r="K103">
        <v>0</v>
      </c>
      <c r="L103">
        <v>0</v>
      </c>
      <c r="M103">
        <v>0</v>
      </c>
      <c r="N103">
        <v>0</v>
      </c>
      <c r="O103" t="s">
        <v>338</v>
      </c>
      <c r="P103">
        <v>0</v>
      </c>
      <c r="Q103">
        <v>2</v>
      </c>
      <c r="R103">
        <v>7</v>
      </c>
      <c r="S103">
        <v>11</v>
      </c>
      <c r="U103">
        <v>79.99</v>
      </c>
      <c r="V103">
        <v>61.99</v>
      </c>
      <c r="W103">
        <v>61.99</v>
      </c>
      <c r="X103">
        <v>0</v>
      </c>
      <c r="Y103" t="s">
        <v>339</v>
      </c>
      <c r="AA103">
        <v>0</v>
      </c>
      <c r="AB103">
        <v>0</v>
      </c>
      <c r="AC103">
        <v>0</v>
      </c>
      <c r="AD103">
        <v>0</v>
      </c>
      <c r="AE103">
        <v>0.58</v>
      </c>
      <c r="AF103">
        <v>1.32921</v>
      </c>
      <c r="AG103" t="s">
        <v>340</v>
      </c>
      <c r="AH103" t="s">
        <v>424</v>
      </c>
      <c r="AI103">
        <v>18.60894</v>
      </c>
      <c r="AJ103" t="s">
        <v>342</v>
      </c>
      <c r="AK103" t="s">
        <v>353</v>
      </c>
      <c r="AL103">
        <v>26497</v>
      </c>
      <c r="AM103">
        <v>98</v>
      </c>
      <c r="AN103">
        <v>0</v>
      </c>
      <c r="AO103">
        <v>40</v>
      </c>
      <c r="AP103">
        <v>23</v>
      </c>
      <c r="AQ103">
        <v>61.99</v>
      </c>
      <c r="AR103">
        <v>0</v>
      </c>
      <c r="AS103">
        <v>123.98</v>
      </c>
      <c r="AT103">
        <v>451.92</v>
      </c>
      <c r="AU103">
        <v>685.79</v>
      </c>
      <c r="AV103">
        <v>0</v>
      </c>
      <c r="AW103">
        <v>0</v>
      </c>
      <c r="AX103">
        <v>0</v>
      </c>
      <c r="AY103">
        <v>0</v>
      </c>
      <c r="AZ103">
        <v>0</v>
      </c>
      <c r="BA103">
        <v>12.1</v>
      </c>
      <c r="BB103">
        <v>6</v>
      </c>
      <c r="BC103">
        <v>0</v>
      </c>
      <c r="BD103">
        <v>6</v>
      </c>
      <c r="BE103">
        <v>0</v>
      </c>
      <c r="BG103">
        <v>0</v>
      </c>
      <c r="BH103">
        <v>0</v>
      </c>
      <c r="BY103">
        <v>233</v>
      </c>
      <c r="BZ103">
        <v>6</v>
      </c>
      <c r="CA103" t="s">
        <v>360</v>
      </c>
      <c r="CD103" s="5">
        <v>46188</v>
      </c>
      <c r="CE103" t="s">
        <v>345</v>
      </c>
      <c r="CF103" t="s">
        <v>346</v>
      </c>
      <c r="CG103">
        <v>233</v>
      </c>
      <c r="CH103">
        <v>156</v>
      </c>
      <c r="CI103" s="5">
        <v>46186</v>
      </c>
      <c r="CJ103">
        <v>20</v>
      </c>
      <c r="CK103">
        <v>0</v>
      </c>
      <c r="CL103">
        <v>0</v>
      </c>
      <c r="CM103">
        <v>0</v>
      </c>
      <c r="CN103">
        <v>0</v>
      </c>
      <c r="CO103">
        <v>98</v>
      </c>
      <c r="CP103" t="s">
        <v>347</v>
      </c>
      <c r="CQ103" t="s">
        <v>348</v>
      </c>
    </row>
    <row r="104" spans="1:95">
      <c r="A104" s="5">
        <v>46188</v>
      </c>
      <c r="B104" t="s">
        <v>737</v>
      </c>
      <c r="C104" t="s">
        <v>738</v>
      </c>
      <c r="D104" t="s">
        <v>739</v>
      </c>
      <c r="E104" t="s">
        <v>740</v>
      </c>
      <c r="F104" t="s">
        <v>337</v>
      </c>
      <c r="G104">
        <v>20</v>
      </c>
      <c r="H104">
        <v>0</v>
      </c>
      <c r="I104">
        <v>20</v>
      </c>
      <c r="J104">
        <v>0</v>
      </c>
      <c r="K104">
        <v>0</v>
      </c>
      <c r="L104">
        <v>0</v>
      </c>
      <c r="M104">
        <v>0</v>
      </c>
      <c r="N104">
        <v>0</v>
      </c>
      <c r="O104" t="s">
        <v>338</v>
      </c>
      <c r="T104" t="s">
        <v>409</v>
      </c>
      <c r="U104">
        <v>38.99</v>
      </c>
      <c r="V104">
        <v>0</v>
      </c>
      <c r="W104">
        <v>30.99</v>
      </c>
      <c r="X104">
        <v>0</v>
      </c>
      <c r="Y104" t="s">
        <v>391</v>
      </c>
      <c r="AA104">
        <v>0</v>
      </c>
      <c r="AB104">
        <v>0</v>
      </c>
      <c r="AC104">
        <v>0</v>
      </c>
      <c r="AD104">
        <v>0</v>
      </c>
      <c r="AE104">
        <v>0</v>
      </c>
      <c r="AF104">
        <v>0.139028</v>
      </c>
      <c r="AG104" t="s">
        <v>340</v>
      </c>
      <c r="AH104" t="s">
        <v>341</v>
      </c>
      <c r="AI104">
        <v>2.78056</v>
      </c>
      <c r="AJ104" t="s">
        <v>342</v>
      </c>
      <c r="AK104" t="s">
        <v>353</v>
      </c>
      <c r="AM104">
        <v>30</v>
      </c>
      <c r="AN104">
        <v>0</v>
      </c>
      <c r="AQ104">
        <v>30.99</v>
      </c>
      <c r="AV104">
        <v>0</v>
      </c>
      <c r="AW104">
        <v>20</v>
      </c>
      <c r="AX104">
        <v>0</v>
      </c>
      <c r="AY104">
        <v>0</v>
      </c>
      <c r="AZ104">
        <v>0</v>
      </c>
      <c r="BA104">
        <v>1.99</v>
      </c>
      <c r="BB104">
        <v>0</v>
      </c>
      <c r="BC104">
        <v>0</v>
      </c>
      <c r="BD104">
        <v>0</v>
      </c>
      <c r="BE104">
        <v>0</v>
      </c>
      <c r="BG104">
        <v>0</v>
      </c>
      <c r="BH104">
        <v>0</v>
      </c>
      <c r="CB104">
        <v>39</v>
      </c>
      <c r="CC104" s="5">
        <v>46193</v>
      </c>
      <c r="CI104" s="5">
        <v>46186</v>
      </c>
      <c r="CJ104">
        <v>20</v>
      </c>
      <c r="CK104">
        <v>0</v>
      </c>
      <c r="CL104">
        <v>0</v>
      </c>
      <c r="CM104">
        <v>0</v>
      </c>
      <c r="CN104">
        <v>0</v>
      </c>
      <c r="CO104">
        <v>30</v>
      </c>
      <c r="CP104" t="s">
        <v>347</v>
      </c>
      <c r="CQ104" t="s">
        <v>348</v>
      </c>
    </row>
    <row r="105" spans="1:95">
      <c r="A105" s="5">
        <v>46188</v>
      </c>
      <c r="B105" t="s">
        <v>741</v>
      </c>
      <c r="C105" t="s">
        <v>742</v>
      </c>
      <c r="D105" t="s">
        <v>743</v>
      </c>
      <c r="E105" t="s">
        <v>744</v>
      </c>
      <c r="G105">
        <v>0</v>
      </c>
      <c r="H105">
        <v>-1</v>
      </c>
      <c r="O105" t="s">
        <v>338</v>
      </c>
      <c r="U105">
        <v>0</v>
      </c>
      <c r="V105">
        <v>0</v>
      </c>
      <c r="W105">
        <v>0</v>
      </c>
      <c r="X105">
        <v>0</v>
      </c>
      <c r="Y105" t="s">
        <v>359</v>
      </c>
      <c r="AB105">
        <v>0</v>
      </c>
      <c r="AC105">
        <v>0</v>
      </c>
      <c r="AE105">
        <v>-1</v>
      </c>
      <c r="AH105" t="s">
        <v>377</v>
      </c>
      <c r="AJ105" t="s">
        <v>342</v>
      </c>
      <c r="AK105" t="s">
        <v>353</v>
      </c>
      <c r="AN105">
        <v>0</v>
      </c>
      <c r="AY105">
        <v>0</v>
      </c>
      <c r="BB105">
        <v>0</v>
      </c>
      <c r="BG105">
        <v>0</v>
      </c>
      <c r="BH105">
        <v>0</v>
      </c>
      <c r="CJ105">
        <v>0</v>
      </c>
      <c r="CK105">
        <v>0</v>
      </c>
      <c r="CL105">
        <v>0</v>
      </c>
      <c r="CM105">
        <v>0</v>
      </c>
      <c r="CN105">
        <v>0</v>
      </c>
      <c r="CP105" t="s">
        <v>347</v>
      </c>
      <c r="CQ105" t="s">
        <v>348</v>
      </c>
    </row>
    <row r="106" spans="1:95">
      <c r="A106" s="5">
        <v>46188</v>
      </c>
      <c r="B106" t="s">
        <v>745</v>
      </c>
      <c r="C106" t="s">
        <v>746</v>
      </c>
      <c r="D106" t="s">
        <v>747</v>
      </c>
      <c r="E106" t="s">
        <v>748</v>
      </c>
      <c r="G106">
        <v>0</v>
      </c>
      <c r="H106">
        <v>-1</v>
      </c>
      <c r="O106" t="s">
        <v>338</v>
      </c>
      <c r="U106">
        <v>0</v>
      </c>
      <c r="V106">
        <v>0</v>
      </c>
      <c r="W106">
        <v>0</v>
      </c>
      <c r="X106">
        <v>0</v>
      </c>
      <c r="Y106" t="s">
        <v>359</v>
      </c>
      <c r="AB106">
        <v>0</v>
      </c>
      <c r="AC106">
        <v>0</v>
      </c>
      <c r="AE106">
        <v>-1</v>
      </c>
      <c r="AJ106" t="s">
        <v>342</v>
      </c>
      <c r="AK106" t="s">
        <v>353</v>
      </c>
      <c r="AN106">
        <v>0</v>
      </c>
      <c r="AY106">
        <v>0</v>
      </c>
      <c r="BB106">
        <v>0</v>
      </c>
      <c r="BG106">
        <v>0</v>
      </c>
      <c r="BH106">
        <v>0</v>
      </c>
      <c r="CJ106">
        <v>0</v>
      </c>
      <c r="CK106">
        <v>0</v>
      </c>
      <c r="CL106">
        <v>0</v>
      </c>
      <c r="CM106">
        <v>0</v>
      </c>
      <c r="CN106">
        <v>0</v>
      </c>
      <c r="CP106" t="s">
        <v>347</v>
      </c>
      <c r="CQ106" t="s">
        <v>348</v>
      </c>
    </row>
    <row r="107" spans="1:95">
      <c r="A107" s="5">
        <v>46188</v>
      </c>
      <c r="B107" t="s">
        <v>749</v>
      </c>
      <c r="C107" t="s">
        <v>750</v>
      </c>
      <c r="D107" t="s">
        <v>751</v>
      </c>
      <c r="E107" t="s">
        <v>752</v>
      </c>
      <c r="G107">
        <v>0</v>
      </c>
      <c r="H107">
        <v>-1</v>
      </c>
      <c r="O107" t="s">
        <v>338</v>
      </c>
      <c r="P107">
        <v>0</v>
      </c>
      <c r="Q107">
        <v>0</v>
      </c>
      <c r="R107">
        <v>0</v>
      </c>
      <c r="S107">
        <v>0</v>
      </c>
      <c r="U107">
        <v>0</v>
      </c>
      <c r="V107">
        <v>0</v>
      </c>
      <c r="W107">
        <v>0</v>
      </c>
      <c r="X107">
        <v>0</v>
      </c>
      <c r="Y107" t="s">
        <v>359</v>
      </c>
      <c r="AB107">
        <v>0</v>
      </c>
      <c r="AC107">
        <v>0</v>
      </c>
      <c r="AE107">
        <v>-1</v>
      </c>
      <c r="AH107" t="s">
        <v>341</v>
      </c>
      <c r="AJ107" t="s">
        <v>342</v>
      </c>
      <c r="AK107" t="s">
        <v>465</v>
      </c>
      <c r="AM107">
        <v>0</v>
      </c>
      <c r="AN107">
        <v>0</v>
      </c>
      <c r="AQ107">
        <v>21.59</v>
      </c>
      <c r="AR107">
        <v>0</v>
      </c>
      <c r="AS107">
        <v>0</v>
      </c>
      <c r="AT107">
        <v>0</v>
      </c>
      <c r="AU107">
        <v>0</v>
      </c>
      <c r="AY107">
        <v>0</v>
      </c>
      <c r="BB107">
        <v>0</v>
      </c>
      <c r="BC107">
        <v>0</v>
      </c>
      <c r="BD107">
        <v>0</v>
      </c>
      <c r="BE107">
        <v>0</v>
      </c>
      <c r="BG107">
        <v>0</v>
      </c>
      <c r="BH107">
        <v>0</v>
      </c>
      <c r="BZ107">
        <v>1</v>
      </c>
      <c r="CA107" t="s">
        <v>429</v>
      </c>
      <c r="CJ107">
        <v>0</v>
      </c>
      <c r="CK107">
        <v>0</v>
      </c>
      <c r="CL107">
        <v>0</v>
      </c>
      <c r="CM107">
        <v>0</v>
      </c>
      <c r="CN107">
        <v>0</v>
      </c>
      <c r="CO107">
        <v>0</v>
      </c>
      <c r="CP107" t="s">
        <v>347</v>
      </c>
      <c r="CQ107" t="s">
        <v>348</v>
      </c>
    </row>
    <row r="108" spans="1:95">
      <c r="A108" s="5">
        <v>46188</v>
      </c>
      <c r="B108" t="s">
        <v>753</v>
      </c>
      <c r="C108" t="s">
        <v>754</v>
      </c>
      <c r="D108" t="s">
        <v>755</v>
      </c>
      <c r="E108" t="s">
        <v>756</v>
      </c>
      <c r="F108" t="s">
        <v>337</v>
      </c>
      <c r="G108">
        <v>28</v>
      </c>
      <c r="H108">
        <v>0</v>
      </c>
      <c r="I108">
        <v>29</v>
      </c>
      <c r="J108">
        <v>0</v>
      </c>
      <c r="K108">
        <v>0</v>
      </c>
      <c r="L108">
        <v>0</v>
      </c>
      <c r="M108">
        <v>0</v>
      </c>
      <c r="N108">
        <v>0</v>
      </c>
      <c r="O108" t="s">
        <v>338</v>
      </c>
      <c r="P108">
        <v>2</v>
      </c>
      <c r="Q108">
        <v>6</v>
      </c>
      <c r="R108">
        <v>17</v>
      </c>
      <c r="S108">
        <v>34</v>
      </c>
      <c r="U108">
        <v>30.99</v>
      </c>
      <c r="V108">
        <v>0</v>
      </c>
      <c r="W108">
        <v>30.99</v>
      </c>
      <c r="X108">
        <v>0</v>
      </c>
      <c r="Y108" t="s">
        <v>359</v>
      </c>
      <c r="AA108">
        <v>0</v>
      </c>
      <c r="AB108">
        <v>0</v>
      </c>
      <c r="AC108">
        <v>0</v>
      </c>
      <c r="AD108">
        <v>0</v>
      </c>
      <c r="AE108">
        <v>1.71</v>
      </c>
      <c r="AF108">
        <v>0.114277</v>
      </c>
      <c r="AG108" t="s">
        <v>340</v>
      </c>
      <c r="AH108" t="s">
        <v>341</v>
      </c>
      <c r="AI108">
        <v>3.199756</v>
      </c>
      <c r="AJ108" t="s">
        <v>342</v>
      </c>
      <c r="AK108" t="s">
        <v>353</v>
      </c>
      <c r="AL108">
        <v>9437</v>
      </c>
      <c r="AM108">
        <v>101</v>
      </c>
      <c r="AN108">
        <v>0</v>
      </c>
      <c r="AO108">
        <v>25</v>
      </c>
      <c r="AP108">
        <v>14</v>
      </c>
      <c r="AQ108">
        <v>21.69</v>
      </c>
      <c r="AR108">
        <v>43.38</v>
      </c>
      <c r="AS108">
        <v>130.14</v>
      </c>
      <c r="AT108">
        <v>368.73</v>
      </c>
      <c r="AU108">
        <v>737.46</v>
      </c>
      <c r="AV108">
        <v>29</v>
      </c>
      <c r="AW108">
        <v>0</v>
      </c>
      <c r="AX108">
        <v>0</v>
      </c>
      <c r="AY108">
        <v>0</v>
      </c>
      <c r="AZ108">
        <v>0</v>
      </c>
      <c r="BA108">
        <v>3.13</v>
      </c>
      <c r="BB108">
        <v>10</v>
      </c>
      <c r="BC108">
        <v>0</v>
      </c>
      <c r="BD108">
        <v>10</v>
      </c>
      <c r="BE108">
        <v>0</v>
      </c>
      <c r="BG108">
        <v>2</v>
      </c>
      <c r="BH108">
        <v>0</v>
      </c>
      <c r="BY108">
        <v>139.2</v>
      </c>
      <c r="BZ108">
        <v>17</v>
      </c>
      <c r="CA108" t="s">
        <v>360</v>
      </c>
      <c r="CD108" s="5">
        <v>46188</v>
      </c>
      <c r="CE108" t="s">
        <v>345</v>
      </c>
      <c r="CF108" t="s">
        <v>346</v>
      </c>
      <c r="CG108">
        <v>139.2</v>
      </c>
      <c r="CH108">
        <v>42.9</v>
      </c>
      <c r="CI108" s="5">
        <v>46186</v>
      </c>
      <c r="CJ108">
        <v>42</v>
      </c>
      <c r="CK108">
        <v>4</v>
      </c>
      <c r="CL108">
        <v>2</v>
      </c>
      <c r="CM108">
        <v>0</v>
      </c>
      <c r="CN108">
        <v>0</v>
      </c>
      <c r="CO108">
        <v>108</v>
      </c>
      <c r="CP108" t="s">
        <v>347</v>
      </c>
      <c r="CQ108" t="s">
        <v>348</v>
      </c>
    </row>
    <row r="109" spans="1:95">
      <c r="A109" s="5">
        <v>46188</v>
      </c>
      <c r="B109" t="s">
        <v>757</v>
      </c>
      <c r="C109" t="s">
        <v>758</v>
      </c>
      <c r="D109" t="s">
        <v>759</v>
      </c>
      <c r="E109" t="s">
        <v>760</v>
      </c>
      <c r="G109">
        <v>0</v>
      </c>
      <c r="H109">
        <v>-1</v>
      </c>
      <c r="O109" t="s">
        <v>338</v>
      </c>
      <c r="U109">
        <v>0</v>
      </c>
      <c r="V109">
        <v>0</v>
      </c>
      <c r="W109">
        <v>0</v>
      </c>
      <c r="X109">
        <v>0</v>
      </c>
      <c r="Y109" t="s">
        <v>359</v>
      </c>
      <c r="AB109">
        <v>0</v>
      </c>
      <c r="AC109">
        <v>0</v>
      </c>
      <c r="AE109">
        <v>-1</v>
      </c>
      <c r="AH109" t="s">
        <v>341</v>
      </c>
      <c r="AJ109" t="s">
        <v>342</v>
      </c>
      <c r="AK109" t="s">
        <v>404</v>
      </c>
      <c r="AM109">
        <v>0</v>
      </c>
      <c r="AN109">
        <v>0</v>
      </c>
      <c r="AQ109">
        <v>4.99</v>
      </c>
      <c r="AY109">
        <v>0</v>
      </c>
      <c r="BB109">
        <v>0</v>
      </c>
      <c r="BC109">
        <v>0</v>
      </c>
      <c r="BD109">
        <v>0</v>
      </c>
      <c r="BE109">
        <v>0</v>
      </c>
      <c r="BG109">
        <v>0</v>
      </c>
      <c r="BH109">
        <v>0</v>
      </c>
      <c r="CJ109">
        <v>0</v>
      </c>
      <c r="CK109">
        <v>0</v>
      </c>
      <c r="CL109">
        <v>0</v>
      </c>
      <c r="CM109">
        <v>0</v>
      </c>
      <c r="CN109">
        <v>0</v>
      </c>
      <c r="CO109">
        <v>0</v>
      </c>
      <c r="CP109" t="s">
        <v>347</v>
      </c>
      <c r="CQ109" t="s">
        <v>348</v>
      </c>
    </row>
    <row r="110" spans="1:95">
      <c r="A110" s="5">
        <v>46188</v>
      </c>
      <c r="B110" t="s">
        <v>761</v>
      </c>
      <c r="C110" t="s">
        <v>762</v>
      </c>
      <c r="D110" t="s">
        <v>763</v>
      </c>
      <c r="E110" t="s">
        <v>764</v>
      </c>
      <c r="G110">
        <v>0</v>
      </c>
      <c r="H110">
        <v>-1</v>
      </c>
      <c r="O110" t="s">
        <v>338</v>
      </c>
      <c r="U110">
        <v>0</v>
      </c>
      <c r="V110">
        <v>0</v>
      </c>
      <c r="W110">
        <v>0</v>
      </c>
      <c r="X110">
        <v>0</v>
      </c>
      <c r="Y110" t="s">
        <v>359</v>
      </c>
      <c r="AB110">
        <v>0</v>
      </c>
      <c r="AC110">
        <v>0</v>
      </c>
      <c r="AE110">
        <v>-1</v>
      </c>
      <c r="AH110" t="s">
        <v>341</v>
      </c>
      <c r="AJ110" t="s">
        <v>342</v>
      </c>
      <c r="AK110" t="s">
        <v>353</v>
      </c>
      <c r="AM110">
        <v>0</v>
      </c>
      <c r="AN110">
        <v>0</v>
      </c>
      <c r="AQ110">
        <v>34.49</v>
      </c>
      <c r="AY110">
        <v>0</v>
      </c>
      <c r="BB110">
        <v>0</v>
      </c>
      <c r="BC110">
        <v>0</v>
      </c>
      <c r="BD110">
        <v>0</v>
      </c>
      <c r="BE110">
        <v>0</v>
      </c>
      <c r="BG110">
        <v>0</v>
      </c>
      <c r="BH110">
        <v>0</v>
      </c>
      <c r="CJ110">
        <v>0</v>
      </c>
      <c r="CK110">
        <v>0</v>
      </c>
      <c r="CL110">
        <v>0</v>
      </c>
      <c r="CM110">
        <v>0</v>
      </c>
      <c r="CN110">
        <v>0</v>
      </c>
      <c r="CO110">
        <v>0</v>
      </c>
      <c r="CP110" t="s">
        <v>347</v>
      </c>
      <c r="CQ110" t="s">
        <v>348</v>
      </c>
    </row>
    <row r="111" spans="1:95">
      <c r="A111" s="5">
        <v>46188</v>
      </c>
      <c r="B111" t="s">
        <v>765</v>
      </c>
      <c r="C111" t="s">
        <v>766</v>
      </c>
      <c r="D111" t="s">
        <v>767</v>
      </c>
      <c r="E111" t="s">
        <v>768</v>
      </c>
      <c r="G111">
        <v>0</v>
      </c>
      <c r="H111">
        <v>-1</v>
      </c>
      <c r="O111" t="s">
        <v>338</v>
      </c>
      <c r="U111">
        <v>0</v>
      </c>
      <c r="V111">
        <v>0</v>
      </c>
      <c r="W111">
        <v>0</v>
      </c>
      <c r="X111">
        <v>0</v>
      </c>
      <c r="Y111" t="s">
        <v>359</v>
      </c>
      <c r="AB111">
        <v>0</v>
      </c>
      <c r="AC111">
        <v>0</v>
      </c>
      <c r="AE111">
        <v>-1</v>
      </c>
      <c r="AH111" t="s">
        <v>341</v>
      </c>
      <c r="AJ111" t="s">
        <v>342</v>
      </c>
      <c r="AK111" t="s">
        <v>353</v>
      </c>
      <c r="AM111">
        <v>0</v>
      </c>
      <c r="AN111">
        <v>0</v>
      </c>
      <c r="AQ111">
        <v>5.99</v>
      </c>
      <c r="AY111">
        <v>0</v>
      </c>
      <c r="BB111">
        <v>0</v>
      </c>
      <c r="BC111">
        <v>0</v>
      </c>
      <c r="BD111">
        <v>0</v>
      </c>
      <c r="BE111">
        <v>0</v>
      </c>
      <c r="BG111">
        <v>0</v>
      </c>
      <c r="BH111">
        <v>0</v>
      </c>
      <c r="CJ111">
        <v>0</v>
      </c>
      <c r="CK111">
        <v>0</v>
      </c>
      <c r="CL111">
        <v>0</v>
      </c>
      <c r="CM111">
        <v>0</v>
      </c>
      <c r="CN111">
        <v>0</v>
      </c>
      <c r="CO111">
        <v>0</v>
      </c>
      <c r="CP111" t="s">
        <v>347</v>
      </c>
      <c r="CQ111" t="s">
        <v>348</v>
      </c>
    </row>
    <row r="112" spans="1:95">
      <c r="A112" s="5">
        <v>46188</v>
      </c>
      <c r="B112" t="s">
        <v>769</v>
      </c>
      <c r="C112" t="s">
        <v>770</v>
      </c>
      <c r="D112" t="s">
        <v>771</v>
      </c>
      <c r="E112" t="s">
        <v>772</v>
      </c>
      <c r="G112">
        <v>0</v>
      </c>
      <c r="H112">
        <v>-1</v>
      </c>
      <c r="O112" t="s">
        <v>338</v>
      </c>
      <c r="U112">
        <v>0</v>
      </c>
      <c r="V112">
        <v>0</v>
      </c>
      <c r="W112">
        <v>0</v>
      </c>
      <c r="X112">
        <v>0</v>
      </c>
      <c r="Y112" t="s">
        <v>359</v>
      </c>
      <c r="AB112">
        <v>0</v>
      </c>
      <c r="AC112">
        <v>0</v>
      </c>
      <c r="AE112">
        <v>-1</v>
      </c>
      <c r="AH112" t="s">
        <v>341</v>
      </c>
      <c r="AJ112" t="s">
        <v>342</v>
      </c>
      <c r="AK112" t="s">
        <v>353</v>
      </c>
      <c r="AN112">
        <v>0</v>
      </c>
      <c r="AQ112">
        <v>15.99</v>
      </c>
      <c r="AY112">
        <v>0</v>
      </c>
      <c r="BB112">
        <v>0</v>
      </c>
      <c r="BC112">
        <v>0</v>
      </c>
      <c r="BD112">
        <v>0</v>
      </c>
      <c r="BE112">
        <v>0</v>
      </c>
      <c r="BG112">
        <v>0</v>
      </c>
      <c r="BH112">
        <v>0</v>
      </c>
      <c r="CJ112">
        <v>0</v>
      </c>
      <c r="CK112">
        <v>0</v>
      </c>
      <c r="CL112">
        <v>0</v>
      </c>
      <c r="CM112">
        <v>0</v>
      </c>
      <c r="CN112">
        <v>0</v>
      </c>
      <c r="CP112" t="s">
        <v>347</v>
      </c>
      <c r="CQ112" t="s">
        <v>348</v>
      </c>
    </row>
    <row r="113" spans="1:95">
      <c r="A113" s="5">
        <v>46188</v>
      </c>
      <c r="B113" t="s">
        <v>773</v>
      </c>
      <c r="C113" t="s">
        <v>219</v>
      </c>
      <c r="D113" t="s">
        <v>774</v>
      </c>
      <c r="E113" t="s">
        <v>415</v>
      </c>
      <c r="G113">
        <v>0</v>
      </c>
      <c r="H113">
        <v>-1</v>
      </c>
      <c r="O113" t="s">
        <v>338</v>
      </c>
      <c r="U113">
        <v>0</v>
      </c>
      <c r="V113">
        <v>0</v>
      </c>
      <c r="W113">
        <v>0</v>
      </c>
      <c r="X113">
        <v>0</v>
      </c>
      <c r="Y113" t="s">
        <v>359</v>
      </c>
      <c r="AB113">
        <v>0</v>
      </c>
      <c r="AC113">
        <v>0</v>
      </c>
      <c r="AE113">
        <v>-1</v>
      </c>
      <c r="AH113" t="s">
        <v>341</v>
      </c>
      <c r="AJ113" t="s">
        <v>342</v>
      </c>
      <c r="AK113" t="s">
        <v>343</v>
      </c>
      <c r="AM113">
        <v>0</v>
      </c>
      <c r="AN113">
        <v>0</v>
      </c>
      <c r="AQ113">
        <v>18.85</v>
      </c>
      <c r="AY113">
        <v>0</v>
      </c>
      <c r="BB113">
        <v>0</v>
      </c>
      <c r="BC113">
        <v>0</v>
      </c>
      <c r="BD113">
        <v>0</v>
      </c>
      <c r="BE113">
        <v>0</v>
      </c>
      <c r="BG113">
        <v>0</v>
      </c>
      <c r="BH113">
        <v>0</v>
      </c>
      <c r="CJ113">
        <v>0</v>
      </c>
      <c r="CK113">
        <v>0</v>
      </c>
      <c r="CL113">
        <v>0</v>
      </c>
      <c r="CM113">
        <v>0</v>
      </c>
      <c r="CN113">
        <v>0</v>
      </c>
      <c r="CO113">
        <v>0</v>
      </c>
      <c r="CP113" t="s">
        <v>347</v>
      </c>
      <c r="CQ113" t="s">
        <v>348</v>
      </c>
    </row>
    <row r="114" spans="1:95">
      <c r="A114" s="5">
        <v>46188</v>
      </c>
      <c r="B114" t="s">
        <v>775</v>
      </c>
      <c r="C114" t="s">
        <v>776</v>
      </c>
      <c r="D114" t="s">
        <v>777</v>
      </c>
      <c r="E114" t="s">
        <v>778</v>
      </c>
      <c r="F114" t="s">
        <v>337</v>
      </c>
      <c r="G114">
        <v>48</v>
      </c>
      <c r="H114">
        <v>0</v>
      </c>
      <c r="I114">
        <v>50</v>
      </c>
      <c r="J114">
        <v>0</v>
      </c>
      <c r="K114">
        <v>0</v>
      </c>
      <c r="L114">
        <v>0</v>
      </c>
      <c r="M114">
        <v>0</v>
      </c>
      <c r="N114">
        <v>0</v>
      </c>
      <c r="O114" t="s">
        <v>338</v>
      </c>
      <c r="P114">
        <v>3</v>
      </c>
      <c r="Q114">
        <v>17</v>
      </c>
      <c r="R114">
        <v>37</v>
      </c>
      <c r="S114">
        <v>53</v>
      </c>
      <c r="U114">
        <v>39.99</v>
      </c>
      <c r="V114">
        <v>32.49</v>
      </c>
      <c r="W114">
        <v>32.49</v>
      </c>
      <c r="X114">
        <v>0</v>
      </c>
      <c r="Y114" t="s">
        <v>464</v>
      </c>
      <c r="AB114">
        <v>0</v>
      </c>
      <c r="AC114">
        <v>0</v>
      </c>
      <c r="AE114">
        <v>1.09</v>
      </c>
      <c r="AF114">
        <v>0.407249</v>
      </c>
      <c r="AG114" t="s">
        <v>340</v>
      </c>
      <c r="AH114" t="s">
        <v>341</v>
      </c>
      <c r="AI114">
        <v>19.547952</v>
      </c>
      <c r="AJ114" t="s">
        <v>342</v>
      </c>
      <c r="AK114" t="s">
        <v>353</v>
      </c>
      <c r="AL114">
        <v>26497</v>
      </c>
      <c r="AM114">
        <v>53</v>
      </c>
      <c r="AN114">
        <v>0</v>
      </c>
      <c r="AO114">
        <v>18</v>
      </c>
      <c r="AP114">
        <v>19</v>
      </c>
      <c r="AQ114">
        <v>32.49</v>
      </c>
      <c r="AR114">
        <v>97.47</v>
      </c>
      <c r="AS114">
        <v>548.33</v>
      </c>
      <c r="AT114">
        <v>1185.33</v>
      </c>
      <c r="AU114">
        <v>1678.52</v>
      </c>
      <c r="AV114">
        <v>8</v>
      </c>
      <c r="AW114">
        <v>42</v>
      </c>
      <c r="AX114">
        <v>0</v>
      </c>
      <c r="AY114">
        <v>0</v>
      </c>
      <c r="AZ114">
        <v>0</v>
      </c>
      <c r="BB114">
        <v>31</v>
      </c>
      <c r="BC114">
        <v>15</v>
      </c>
      <c r="BD114">
        <v>16</v>
      </c>
      <c r="BE114">
        <v>0</v>
      </c>
      <c r="BG114">
        <v>2</v>
      </c>
      <c r="BH114">
        <v>0</v>
      </c>
      <c r="BY114">
        <v>93.8</v>
      </c>
      <c r="BZ114">
        <v>75</v>
      </c>
      <c r="CA114" t="s">
        <v>344</v>
      </c>
      <c r="CB114">
        <v>72</v>
      </c>
      <c r="CC114" s="5">
        <v>46195</v>
      </c>
      <c r="CD114" s="5">
        <v>46188</v>
      </c>
      <c r="CE114" t="s">
        <v>345</v>
      </c>
      <c r="CF114" t="s">
        <v>346</v>
      </c>
      <c r="CG114">
        <v>93.8</v>
      </c>
      <c r="CH114">
        <v>74.9</v>
      </c>
      <c r="CI114" s="5">
        <v>46186</v>
      </c>
      <c r="CJ114">
        <v>79</v>
      </c>
      <c r="CK114">
        <v>0</v>
      </c>
      <c r="CL114">
        <v>2</v>
      </c>
      <c r="CM114">
        <v>0</v>
      </c>
      <c r="CN114">
        <v>0</v>
      </c>
      <c r="CO114">
        <v>69</v>
      </c>
      <c r="CP114" t="s">
        <v>347</v>
      </c>
      <c r="CQ114" t="s">
        <v>348</v>
      </c>
    </row>
    <row r="115" spans="1:95">
      <c r="A115" s="5">
        <v>46188</v>
      </c>
      <c r="B115" t="s">
        <v>779</v>
      </c>
      <c r="C115" t="s">
        <v>31</v>
      </c>
      <c r="D115" t="s">
        <v>59</v>
      </c>
      <c r="E115" t="s">
        <v>780</v>
      </c>
      <c r="F115" t="s">
        <v>337</v>
      </c>
      <c r="G115">
        <v>32</v>
      </c>
      <c r="H115">
        <v>0</v>
      </c>
      <c r="I115">
        <v>32</v>
      </c>
      <c r="J115">
        <v>0</v>
      </c>
      <c r="K115">
        <v>0</v>
      </c>
      <c r="L115">
        <v>0</v>
      </c>
      <c r="M115">
        <v>0</v>
      </c>
      <c r="N115">
        <v>0</v>
      </c>
      <c r="O115" t="s">
        <v>338</v>
      </c>
      <c r="P115">
        <v>1</v>
      </c>
      <c r="Q115">
        <v>3</v>
      </c>
      <c r="R115">
        <v>6</v>
      </c>
      <c r="S115">
        <v>13</v>
      </c>
      <c r="T115" t="s">
        <v>351</v>
      </c>
      <c r="U115">
        <v>23.99</v>
      </c>
      <c r="V115">
        <v>0</v>
      </c>
      <c r="W115">
        <v>23.99</v>
      </c>
      <c r="X115">
        <v>0</v>
      </c>
      <c r="Y115" t="s">
        <v>352</v>
      </c>
      <c r="AA115">
        <v>11.99</v>
      </c>
      <c r="AB115">
        <v>2</v>
      </c>
      <c r="AC115">
        <v>0</v>
      </c>
      <c r="AD115">
        <v>157.78</v>
      </c>
      <c r="AE115">
        <v>0.6</v>
      </c>
      <c r="AF115">
        <v>0.098612</v>
      </c>
      <c r="AG115" t="s">
        <v>340</v>
      </c>
      <c r="AH115" t="s">
        <v>341</v>
      </c>
      <c r="AI115">
        <v>3.155584</v>
      </c>
      <c r="AJ115" t="s">
        <v>342</v>
      </c>
      <c r="AK115" t="s">
        <v>353</v>
      </c>
      <c r="AL115">
        <v>294731</v>
      </c>
      <c r="AM115">
        <v>194</v>
      </c>
      <c r="AN115">
        <v>0</v>
      </c>
      <c r="AO115">
        <v>42</v>
      </c>
      <c r="AP115">
        <v>32</v>
      </c>
      <c r="AQ115">
        <v>17.99</v>
      </c>
      <c r="AR115">
        <v>17.99</v>
      </c>
      <c r="AS115">
        <v>53.97</v>
      </c>
      <c r="AT115">
        <v>107.94</v>
      </c>
      <c r="AU115">
        <v>244.67</v>
      </c>
      <c r="AV115">
        <v>10</v>
      </c>
      <c r="AW115">
        <v>22</v>
      </c>
      <c r="AX115">
        <v>0</v>
      </c>
      <c r="AY115">
        <v>0</v>
      </c>
      <c r="AZ115">
        <v>0</v>
      </c>
      <c r="BA115">
        <v>2.29</v>
      </c>
      <c r="BB115">
        <v>0</v>
      </c>
      <c r="BC115">
        <v>0</v>
      </c>
      <c r="BD115">
        <v>0</v>
      </c>
      <c r="BE115">
        <v>0</v>
      </c>
      <c r="BG115">
        <v>0</v>
      </c>
      <c r="BH115">
        <v>0</v>
      </c>
      <c r="BY115">
        <v>316</v>
      </c>
      <c r="BZ115">
        <v>6</v>
      </c>
      <c r="CA115" t="s">
        <v>360</v>
      </c>
      <c r="CD115" s="5">
        <v>46188</v>
      </c>
      <c r="CE115" t="s">
        <v>345</v>
      </c>
      <c r="CF115" t="s">
        <v>346</v>
      </c>
      <c r="CG115">
        <v>316</v>
      </c>
      <c r="CH115">
        <v>152.6</v>
      </c>
      <c r="CI115" s="5">
        <v>46186</v>
      </c>
      <c r="CJ115">
        <v>34</v>
      </c>
      <c r="CK115">
        <v>2</v>
      </c>
      <c r="CL115">
        <v>0</v>
      </c>
      <c r="CM115">
        <v>0</v>
      </c>
      <c r="CN115">
        <v>0</v>
      </c>
      <c r="CO115">
        <v>194</v>
      </c>
      <c r="CP115" t="s">
        <v>347</v>
      </c>
      <c r="CQ115" t="s">
        <v>348</v>
      </c>
    </row>
    <row r="116" spans="1:95">
      <c r="A116" s="5">
        <v>46188</v>
      </c>
      <c r="B116" t="s">
        <v>781</v>
      </c>
      <c r="C116" t="s">
        <v>782</v>
      </c>
      <c r="D116" t="s">
        <v>783</v>
      </c>
      <c r="E116" t="s">
        <v>784</v>
      </c>
      <c r="F116" t="s">
        <v>337</v>
      </c>
      <c r="G116">
        <v>27</v>
      </c>
      <c r="H116">
        <v>0</v>
      </c>
      <c r="I116">
        <v>28</v>
      </c>
      <c r="J116">
        <v>0</v>
      </c>
      <c r="K116">
        <v>0</v>
      </c>
      <c r="L116">
        <v>0</v>
      </c>
      <c r="M116">
        <v>0</v>
      </c>
      <c r="N116">
        <v>0</v>
      </c>
      <c r="O116" t="s">
        <v>338</v>
      </c>
      <c r="P116">
        <v>2</v>
      </c>
      <c r="Q116">
        <v>8</v>
      </c>
      <c r="R116">
        <v>11</v>
      </c>
      <c r="S116">
        <v>20</v>
      </c>
      <c r="U116">
        <v>39.99</v>
      </c>
      <c r="V116">
        <v>0</v>
      </c>
      <c r="W116">
        <v>31.99</v>
      </c>
      <c r="X116">
        <v>0</v>
      </c>
      <c r="Y116" t="s">
        <v>359</v>
      </c>
      <c r="AA116">
        <v>0</v>
      </c>
      <c r="AB116">
        <v>0</v>
      </c>
      <c r="AC116">
        <v>0</v>
      </c>
      <c r="AD116">
        <v>8.81</v>
      </c>
      <c r="AE116">
        <v>1.74</v>
      </c>
      <c r="AF116">
        <v>0.238209</v>
      </c>
      <c r="AG116" t="s">
        <v>340</v>
      </c>
      <c r="AH116" t="s">
        <v>341</v>
      </c>
      <c r="AI116">
        <v>6.431643</v>
      </c>
      <c r="AJ116" t="s">
        <v>342</v>
      </c>
      <c r="AK116" t="s">
        <v>353</v>
      </c>
      <c r="AL116">
        <v>9437</v>
      </c>
      <c r="AM116">
        <v>152</v>
      </c>
      <c r="AN116">
        <v>0</v>
      </c>
      <c r="AO116">
        <v>21</v>
      </c>
      <c r="AP116">
        <v>27</v>
      </c>
      <c r="AQ116">
        <v>39.99</v>
      </c>
      <c r="AR116">
        <v>71.98</v>
      </c>
      <c r="AS116">
        <v>263.92</v>
      </c>
      <c r="AT116">
        <v>359.89</v>
      </c>
      <c r="AU116">
        <v>625.96</v>
      </c>
      <c r="AV116">
        <v>28</v>
      </c>
      <c r="AW116">
        <v>0</v>
      </c>
      <c r="AX116">
        <v>0</v>
      </c>
      <c r="AY116">
        <v>0</v>
      </c>
      <c r="AZ116">
        <v>0</v>
      </c>
      <c r="BA116">
        <v>4.29</v>
      </c>
      <c r="BB116">
        <v>15</v>
      </c>
      <c r="BC116">
        <v>15</v>
      </c>
      <c r="BD116">
        <v>0</v>
      </c>
      <c r="BE116">
        <v>0</v>
      </c>
      <c r="BG116">
        <v>1</v>
      </c>
      <c r="BH116">
        <v>0</v>
      </c>
      <c r="BY116">
        <v>91.6</v>
      </c>
      <c r="BZ116">
        <v>21</v>
      </c>
      <c r="CA116" t="s">
        <v>360</v>
      </c>
      <c r="CD116" s="5">
        <v>46188</v>
      </c>
      <c r="CE116" t="s">
        <v>345</v>
      </c>
      <c r="CF116" t="s">
        <v>346</v>
      </c>
      <c r="CG116">
        <v>91.6</v>
      </c>
      <c r="CH116">
        <v>46</v>
      </c>
      <c r="CI116" s="5">
        <v>46186</v>
      </c>
      <c r="CJ116">
        <v>42</v>
      </c>
      <c r="CK116">
        <v>0</v>
      </c>
      <c r="CL116">
        <v>1</v>
      </c>
      <c r="CM116">
        <v>0</v>
      </c>
      <c r="CN116">
        <v>0</v>
      </c>
      <c r="CO116">
        <v>185</v>
      </c>
      <c r="CP116" t="s">
        <v>347</v>
      </c>
      <c r="CQ116" t="s">
        <v>348</v>
      </c>
    </row>
    <row r="117" spans="1:95">
      <c r="A117" s="5">
        <v>46188</v>
      </c>
      <c r="B117" t="s">
        <v>785</v>
      </c>
      <c r="C117" t="s">
        <v>786</v>
      </c>
      <c r="D117" t="s">
        <v>787</v>
      </c>
      <c r="E117" t="s">
        <v>788</v>
      </c>
      <c r="G117">
        <v>0</v>
      </c>
      <c r="H117">
        <v>-1</v>
      </c>
      <c r="O117" t="s">
        <v>338</v>
      </c>
      <c r="U117">
        <v>0</v>
      </c>
      <c r="V117">
        <v>0</v>
      </c>
      <c r="W117">
        <v>0</v>
      </c>
      <c r="X117">
        <v>0</v>
      </c>
      <c r="Y117" t="s">
        <v>359</v>
      </c>
      <c r="AB117">
        <v>0</v>
      </c>
      <c r="AC117">
        <v>0</v>
      </c>
      <c r="AE117">
        <v>-1</v>
      </c>
      <c r="AJ117" t="s">
        <v>342</v>
      </c>
      <c r="AK117" t="s">
        <v>404</v>
      </c>
      <c r="AN117">
        <v>0</v>
      </c>
      <c r="AY117">
        <v>0</v>
      </c>
      <c r="BB117">
        <v>0</v>
      </c>
      <c r="BG117">
        <v>0</v>
      </c>
      <c r="BH117">
        <v>0</v>
      </c>
      <c r="CJ117">
        <v>0</v>
      </c>
      <c r="CK117">
        <v>0</v>
      </c>
      <c r="CL117">
        <v>0</v>
      </c>
      <c r="CM117">
        <v>0</v>
      </c>
      <c r="CN117">
        <v>0</v>
      </c>
      <c r="CP117" t="s">
        <v>347</v>
      </c>
      <c r="CQ117" t="s">
        <v>348</v>
      </c>
    </row>
    <row r="118" spans="1:95">
      <c r="A118" s="5">
        <v>46188</v>
      </c>
      <c r="B118" t="s">
        <v>789</v>
      </c>
      <c r="C118" t="s">
        <v>44</v>
      </c>
      <c r="D118" t="s">
        <v>66</v>
      </c>
      <c r="E118" t="s">
        <v>790</v>
      </c>
      <c r="F118" t="s">
        <v>337</v>
      </c>
      <c r="G118">
        <v>11</v>
      </c>
      <c r="H118">
        <v>0</v>
      </c>
      <c r="I118">
        <v>0</v>
      </c>
      <c r="J118">
        <v>11</v>
      </c>
      <c r="K118">
        <v>0</v>
      </c>
      <c r="L118">
        <v>0</v>
      </c>
      <c r="M118">
        <v>0</v>
      </c>
      <c r="N118">
        <v>0</v>
      </c>
      <c r="O118" t="s">
        <v>338</v>
      </c>
      <c r="P118">
        <v>0</v>
      </c>
      <c r="Q118">
        <v>1</v>
      </c>
      <c r="R118">
        <v>7</v>
      </c>
      <c r="S118">
        <v>7</v>
      </c>
      <c r="T118" t="s">
        <v>351</v>
      </c>
      <c r="U118">
        <v>36.99</v>
      </c>
      <c r="V118">
        <v>28.99</v>
      </c>
      <c r="W118">
        <v>28.99</v>
      </c>
      <c r="X118">
        <v>0</v>
      </c>
      <c r="Y118" t="s">
        <v>339</v>
      </c>
      <c r="AA118">
        <v>0</v>
      </c>
      <c r="AB118">
        <v>0</v>
      </c>
      <c r="AC118">
        <v>0</v>
      </c>
      <c r="AD118">
        <v>121.03</v>
      </c>
      <c r="AE118">
        <v>0.47</v>
      </c>
      <c r="AF118">
        <v>0.18417</v>
      </c>
      <c r="AG118" t="s">
        <v>340</v>
      </c>
      <c r="AH118" t="s">
        <v>341</v>
      </c>
      <c r="AI118">
        <v>2.02587</v>
      </c>
      <c r="AJ118" t="s">
        <v>342</v>
      </c>
      <c r="AK118" t="s">
        <v>353</v>
      </c>
      <c r="AL118">
        <v>674781</v>
      </c>
      <c r="AM118">
        <v>131</v>
      </c>
      <c r="AN118">
        <v>0</v>
      </c>
      <c r="AO118">
        <v>68</v>
      </c>
      <c r="AP118">
        <v>31</v>
      </c>
      <c r="AQ118">
        <v>28.99</v>
      </c>
      <c r="AR118">
        <v>0</v>
      </c>
      <c r="AS118">
        <v>28.99</v>
      </c>
      <c r="AT118">
        <v>200.13</v>
      </c>
      <c r="AU118">
        <v>200.13</v>
      </c>
      <c r="AV118">
        <v>0</v>
      </c>
      <c r="AW118">
        <v>0</v>
      </c>
      <c r="AX118">
        <v>0</v>
      </c>
      <c r="AY118">
        <v>0</v>
      </c>
      <c r="AZ118">
        <v>0</v>
      </c>
      <c r="BA118">
        <v>2.24</v>
      </c>
      <c r="BB118">
        <v>6</v>
      </c>
      <c r="BC118">
        <v>0</v>
      </c>
      <c r="BD118">
        <v>6</v>
      </c>
      <c r="BE118">
        <v>0</v>
      </c>
      <c r="BG118">
        <v>0</v>
      </c>
      <c r="BH118">
        <v>0</v>
      </c>
      <c r="BY118">
        <v>334</v>
      </c>
      <c r="BZ118">
        <v>6</v>
      </c>
      <c r="CA118" t="s">
        <v>360</v>
      </c>
      <c r="CD118" s="5">
        <v>46188</v>
      </c>
      <c r="CE118" t="s">
        <v>345</v>
      </c>
      <c r="CF118" t="s">
        <v>346</v>
      </c>
      <c r="CG118">
        <v>334</v>
      </c>
      <c r="CH118">
        <v>186.6</v>
      </c>
      <c r="CI118" s="5">
        <v>46186</v>
      </c>
      <c r="CJ118">
        <v>17</v>
      </c>
      <c r="CK118">
        <v>0</v>
      </c>
      <c r="CL118">
        <v>0</v>
      </c>
      <c r="CM118">
        <v>0</v>
      </c>
      <c r="CN118">
        <v>0</v>
      </c>
      <c r="CO118">
        <v>131</v>
      </c>
      <c r="CP118" t="s">
        <v>347</v>
      </c>
      <c r="CQ118" t="s">
        <v>348</v>
      </c>
    </row>
    <row r="119" spans="1:95">
      <c r="A119" s="5">
        <v>46188</v>
      </c>
      <c r="B119" t="s">
        <v>791</v>
      </c>
      <c r="C119" t="s">
        <v>792</v>
      </c>
      <c r="D119" t="s">
        <v>793</v>
      </c>
      <c r="E119" t="s">
        <v>794</v>
      </c>
      <c r="G119">
        <v>28</v>
      </c>
      <c r="H119">
        <v>0</v>
      </c>
      <c r="I119">
        <v>31</v>
      </c>
      <c r="J119">
        <v>0</v>
      </c>
      <c r="K119">
        <v>0</v>
      </c>
      <c r="L119">
        <v>0</v>
      </c>
      <c r="M119">
        <v>0</v>
      </c>
      <c r="N119">
        <v>0</v>
      </c>
      <c r="O119" t="s">
        <v>338</v>
      </c>
      <c r="P119">
        <v>6</v>
      </c>
      <c r="Q119">
        <v>18</v>
      </c>
      <c r="R119">
        <v>26</v>
      </c>
      <c r="S119">
        <v>51</v>
      </c>
      <c r="T119" t="s">
        <v>351</v>
      </c>
      <c r="W119">
        <v>14.49</v>
      </c>
      <c r="X119">
        <v>-1</v>
      </c>
      <c r="Y119" t="s">
        <v>359</v>
      </c>
      <c r="AA119">
        <v>0</v>
      </c>
      <c r="AB119">
        <v>0</v>
      </c>
      <c r="AC119">
        <v>0</v>
      </c>
      <c r="AD119">
        <v>0</v>
      </c>
      <c r="AE119">
        <v>2.32</v>
      </c>
      <c r="AF119">
        <v>0.09587</v>
      </c>
      <c r="AG119" t="s">
        <v>340</v>
      </c>
      <c r="AH119" t="s">
        <v>341</v>
      </c>
      <c r="AI119">
        <v>2.68436</v>
      </c>
      <c r="AJ119" t="s">
        <v>342</v>
      </c>
      <c r="AK119" t="s">
        <v>404</v>
      </c>
      <c r="AL119">
        <v>181709</v>
      </c>
      <c r="AM119">
        <v>71</v>
      </c>
      <c r="AN119">
        <v>0</v>
      </c>
      <c r="AO119">
        <v>8</v>
      </c>
      <c r="AP119">
        <v>9</v>
      </c>
      <c r="AQ119">
        <v>14.49</v>
      </c>
      <c r="AR119">
        <v>86.94</v>
      </c>
      <c r="AS119">
        <v>285.32</v>
      </c>
      <c r="AT119">
        <v>403.49</v>
      </c>
      <c r="AU119">
        <v>733.25</v>
      </c>
      <c r="AV119">
        <v>31</v>
      </c>
      <c r="AW119">
        <v>0</v>
      </c>
      <c r="AX119">
        <v>0</v>
      </c>
      <c r="AY119">
        <v>0</v>
      </c>
      <c r="AZ119">
        <v>0</v>
      </c>
      <c r="BA119">
        <v>1.7</v>
      </c>
      <c r="BB119">
        <v>10</v>
      </c>
      <c r="BC119">
        <v>10</v>
      </c>
      <c r="BD119">
        <v>0</v>
      </c>
      <c r="BE119">
        <v>0</v>
      </c>
      <c r="BG119">
        <v>0</v>
      </c>
      <c r="BH119">
        <v>0</v>
      </c>
      <c r="BY119">
        <v>48.5</v>
      </c>
      <c r="BZ119">
        <v>21</v>
      </c>
      <c r="CA119" t="s">
        <v>360</v>
      </c>
      <c r="CD119" s="5">
        <v>46188</v>
      </c>
      <c r="CE119" t="s">
        <v>345</v>
      </c>
      <c r="CF119" t="s">
        <v>346</v>
      </c>
      <c r="CG119">
        <v>48.5</v>
      </c>
      <c r="CH119">
        <v>35.9</v>
      </c>
      <c r="CI119" s="5">
        <v>46186</v>
      </c>
      <c r="CJ119">
        <v>44</v>
      </c>
      <c r="CK119">
        <v>6</v>
      </c>
      <c r="CL119">
        <v>0</v>
      </c>
      <c r="CM119">
        <v>0</v>
      </c>
      <c r="CN119">
        <v>0</v>
      </c>
      <c r="CO119">
        <v>93</v>
      </c>
      <c r="CP119" t="s">
        <v>347</v>
      </c>
      <c r="CQ119" t="s">
        <v>348</v>
      </c>
    </row>
    <row r="120" spans="1:95">
      <c r="A120" s="5">
        <v>46188</v>
      </c>
      <c r="B120" t="s">
        <v>795</v>
      </c>
      <c r="C120" t="s">
        <v>796</v>
      </c>
      <c r="D120" t="s">
        <v>797</v>
      </c>
      <c r="E120" t="s">
        <v>798</v>
      </c>
      <c r="F120" t="s">
        <v>337</v>
      </c>
      <c r="G120">
        <v>21</v>
      </c>
      <c r="H120">
        <v>0</v>
      </c>
      <c r="I120">
        <v>1</v>
      </c>
      <c r="J120">
        <v>20</v>
      </c>
      <c r="K120">
        <v>0</v>
      </c>
      <c r="L120">
        <v>0</v>
      </c>
      <c r="M120">
        <v>0</v>
      </c>
      <c r="N120">
        <v>0</v>
      </c>
      <c r="O120" t="s">
        <v>338</v>
      </c>
      <c r="P120">
        <v>0</v>
      </c>
      <c r="Q120">
        <v>0</v>
      </c>
      <c r="R120">
        <v>0</v>
      </c>
      <c r="S120">
        <v>3</v>
      </c>
      <c r="T120" t="s">
        <v>351</v>
      </c>
      <c r="U120">
        <v>39.99</v>
      </c>
      <c r="V120">
        <v>0</v>
      </c>
      <c r="W120">
        <v>19.99</v>
      </c>
      <c r="X120">
        <v>0</v>
      </c>
      <c r="Y120" t="s">
        <v>391</v>
      </c>
      <c r="AA120">
        <v>0</v>
      </c>
      <c r="AB120">
        <v>0</v>
      </c>
      <c r="AC120">
        <v>0</v>
      </c>
      <c r="AD120">
        <v>1388.11</v>
      </c>
      <c r="AE120">
        <v>0.14</v>
      </c>
      <c r="AF120">
        <v>0.288167</v>
      </c>
      <c r="AG120" t="s">
        <v>340</v>
      </c>
      <c r="AH120" t="s">
        <v>341</v>
      </c>
      <c r="AI120">
        <v>6.051507</v>
      </c>
      <c r="AJ120" t="s">
        <v>342</v>
      </c>
      <c r="AK120" t="s">
        <v>353</v>
      </c>
      <c r="AM120">
        <v>366</v>
      </c>
      <c r="AN120">
        <v>21</v>
      </c>
      <c r="AP120">
        <v>91</v>
      </c>
      <c r="AQ120">
        <v>19.99</v>
      </c>
      <c r="AR120">
        <v>0</v>
      </c>
      <c r="AS120">
        <v>0</v>
      </c>
      <c r="AT120">
        <v>0</v>
      </c>
      <c r="AU120">
        <v>94.37</v>
      </c>
      <c r="AV120">
        <v>0</v>
      </c>
      <c r="AW120">
        <v>1</v>
      </c>
      <c r="AX120">
        <v>0</v>
      </c>
      <c r="AY120">
        <v>0</v>
      </c>
      <c r="AZ120">
        <v>0</v>
      </c>
      <c r="BA120">
        <v>4.33</v>
      </c>
      <c r="BB120">
        <v>0</v>
      </c>
      <c r="BC120">
        <v>0</v>
      </c>
      <c r="BD120">
        <v>0</v>
      </c>
      <c r="BE120">
        <v>0</v>
      </c>
      <c r="BG120">
        <v>0</v>
      </c>
      <c r="BH120">
        <v>0</v>
      </c>
      <c r="BZ120">
        <v>1</v>
      </c>
      <c r="CA120" t="s">
        <v>354</v>
      </c>
      <c r="CH120">
        <v>624</v>
      </c>
      <c r="CI120" s="5">
        <v>46186</v>
      </c>
      <c r="CJ120">
        <v>21</v>
      </c>
      <c r="CK120">
        <v>0</v>
      </c>
      <c r="CL120">
        <v>0</v>
      </c>
      <c r="CM120">
        <v>0</v>
      </c>
      <c r="CN120">
        <v>0</v>
      </c>
      <c r="CO120">
        <v>366</v>
      </c>
      <c r="CP120" t="s">
        <v>347</v>
      </c>
      <c r="CQ120" t="s">
        <v>348</v>
      </c>
    </row>
    <row r="121" spans="1:95">
      <c r="A121" s="5">
        <v>46188</v>
      </c>
      <c r="B121" t="s">
        <v>799</v>
      </c>
      <c r="C121" t="s">
        <v>800</v>
      </c>
      <c r="D121" t="s">
        <v>801</v>
      </c>
      <c r="E121" t="s">
        <v>802</v>
      </c>
      <c r="G121">
        <v>0</v>
      </c>
      <c r="H121">
        <v>-1</v>
      </c>
      <c r="O121" t="s">
        <v>338</v>
      </c>
      <c r="P121">
        <v>0</v>
      </c>
      <c r="Q121">
        <v>0</v>
      </c>
      <c r="R121">
        <v>0</v>
      </c>
      <c r="S121">
        <v>0</v>
      </c>
      <c r="U121">
        <v>0</v>
      </c>
      <c r="V121">
        <v>0</v>
      </c>
      <c r="W121">
        <v>0</v>
      </c>
      <c r="X121">
        <v>0</v>
      </c>
      <c r="Y121" t="s">
        <v>359</v>
      </c>
      <c r="AB121">
        <v>0</v>
      </c>
      <c r="AC121">
        <v>0</v>
      </c>
      <c r="AE121">
        <v>-1</v>
      </c>
      <c r="AH121" t="s">
        <v>341</v>
      </c>
      <c r="AJ121" t="s">
        <v>342</v>
      </c>
      <c r="AK121" t="s">
        <v>353</v>
      </c>
      <c r="AM121">
        <v>0</v>
      </c>
      <c r="AN121">
        <v>0</v>
      </c>
      <c r="AQ121">
        <v>26.26</v>
      </c>
      <c r="AR121">
        <v>0</v>
      </c>
      <c r="AS121">
        <v>0</v>
      </c>
      <c r="AT121">
        <v>0</v>
      </c>
      <c r="AU121">
        <v>0</v>
      </c>
      <c r="AY121">
        <v>0</v>
      </c>
      <c r="BB121">
        <v>0</v>
      </c>
      <c r="BC121">
        <v>0</v>
      </c>
      <c r="BD121">
        <v>0</v>
      </c>
      <c r="BE121">
        <v>0</v>
      </c>
      <c r="BG121">
        <v>0</v>
      </c>
      <c r="BH121">
        <v>9</v>
      </c>
      <c r="BZ121">
        <v>1</v>
      </c>
      <c r="CA121" t="s">
        <v>429</v>
      </c>
      <c r="CJ121">
        <v>0</v>
      </c>
      <c r="CK121">
        <v>0</v>
      </c>
      <c r="CL121">
        <v>0</v>
      </c>
      <c r="CM121">
        <v>0</v>
      </c>
      <c r="CN121">
        <v>0</v>
      </c>
      <c r="CO121">
        <v>0</v>
      </c>
      <c r="CQ121" t="s">
        <v>348</v>
      </c>
    </row>
    <row r="122" spans="1:95">
      <c r="A122" s="5">
        <v>46188</v>
      </c>
      <c r="B122" t="s">
        <v>803</v>
      </c>
      <c r="C122" t="s">
        <v>804</v>
      </c>
      <c r="D122" t="s">
        <v>805</v>
      </c>
      <c r="E122" t="s">
        <v>806</v>
      </c>
      <c r="G122">
        <v>0</v>
      </c>
      <c r="H122">
        <v>-1</v>
      </c>
      <c r="O122" t="s">
        <v>338</v>
      </c>
      <c r="U122">
        <v>0</v>
      </c>
      <c r="V122">
        <v>0</v>
      </c>
      <c r="W122">
        <v>0</v>
      </c>
      <c r="X122">
        <v>0</v>
      </c>
      <c r="Y122" t="s">
        <v>359</v>
      </c>
      <c r="AB122">
        <v>0</v>
      </c>
      <c r="AC122">
        <v>0</v>
      </c>
      <c r="AE122">
        <v>-1</v>
      </c>
      <c r="AH122" t="s">
        <v>341</v>
      </c>
      <c r="AJ122" t="s">
        <v>342</v>
      </c>
      <c r="AK122" t="s">
        <v>353</v>
      </c>
      <c r="AM122">
        <v>0</v>
      </c>
      <c r="AN122">
        <v>0</v>
      </c>
      <c r="AQ122">
        <v>35</v>
      </c>
      <c r="AY122">
        <v>0</v>
      </c>
      <c r="BB122">
        <v>0</v>
      </c>
      <c r="BC122">
        <v>0</v>
      </c>
      <c r="BD122">
        <v>0</v>
      </c>
      <c r="BE122">
        <v>0</v>
      </c>
      <c r="BG122">
        <v>0</v>
      </c>
      <c r="BH122">
        <v>0</v>
      </c>
      <c r="CJ122">
        <v>0</v>
      </c>
      <c r="CK122">
        <v>0</v>
      </c>
      <c r="CL122">
        <v>0</v>
      </c>
      <c r="CM122">
        <v>0</v>
      </c>
      <c r="CN122">
        <v>0</v>
      </c>
      <c r="CO122">
        <v>0</v>
      </c>
      <c r="CP122" t="s">
        <v>347</v>
      </c>
      <c r="CQ122" t="s">
        <v>348</v>
      </c>
    </row>
    <row r="123" spans="1:95">
      <c r="A123" s="5">
        <v>46188</v>
      </c>
      <c r="B123" t="s">
        <v>807</v>
      </c>
      <c r="C123" t="s">
        <v>808</v>
      </c>
      <c r="D123" t="s">
        <v>809</v>
      </c>
      <c r="E123" t="s">
        <v>810</v>
      </c>
      <c r="G123">
        <v>0</v>
      </c>
      <c r="H123">
        <v>-1</v>
      </c>
      <c r="O123" t="s">
        <v>338</v>
      </c>
      <c r="P123">
        <v>0</v>
      </c>
      <c r="Q123">
        <v>4</v>
      </c>
      <c r="R123">
        <v>11</v>
      </c>
      <c r="S123">
        <v>11</v>
      </c>
      <c r="W123">
        <v>-1</v>
      </c>
      <c r="X123">
        <v>-1</v>
      </c>
      <c r="Y123" t="s">
        <v>464</v>
      </c>
      <c r="AA123">
        <v>0</v>
      </c>
      <c r="AB123">
        <v>0</v>
      </c>
      <c r="AC123">
        <v>0</v>
      </c>
      <c r="AD123">
        <v>0</v>
      </c>
      <c r="AE123">
        <v>-1</v>
      </c>
      <c r="AH123" t="s">
        <v>341</v>
      </c>
      <c r="AJ123" t="s">
        <v>342</v>
      </c>
      <c r="AK123" t="s">
        <v>353</v>
      </c>
      <c r="AM123">
        <v>32</v>
      </c>
      <c r="AN123">
        <v>0</v>
      </c>
      <c r="AO123">
        <v>30</v>
      </c>
      <c r="AP123">
        <v>35</v>
      </c>
      <c r="AQ123">
        <v>26.99</v>
      </c>
      <c r="AR123">
        <v>0</v>
      </c>
      <c r="AS123">
        <v>90.68</v>
      </c>
      <c r="AT123">
        <v>253.01</v>
      </c>
      <c r="AU123">
        <v>253.01</v>
      </c>
      <c r="AY123">
        <v>0</v>
      </c>
      <c r="BA123">
        <v>1.99</v>
      </c>
      <c r="BB123">
        <v>30</v>
      </c>
      <c r="BC123">
        <v>0</v>
      </c>
      <c r="BD123">
        <v>30</v>
      </c>
      <c r="BE123">
        <v>0</v>
      </c>
      <c r="BG123">
        <v>0</v>
      </c>
      <c r="BH123">
        <v>0</v>
      </c>
      <c r="BY123">
        <v>15.6</v>
      </c>
      <c r="BZ123">
        <v>42</v>
      </c>
      <c r="CA123" t="s">
        <v>429</v>
      </c>
      <c r="CB123">
        <v>39</v>
      </c>
      <c r="CC123" s="5">
        <v>46195</v>
      </c>
      <c r="CD123" s="5">
        <v>46188</v>
      </c>
      <c r="CE123" t="s">
        <v>345</v>
      </c>
      <c r="CF123" t="s">
        <v>346</v>
      </c>
      <c r="CG123">
        <v>6.6</v>
      </c>
      <c r="CH123">
        <v>15.6</v>
      </c>
      <c r="CJ123">
        <v>30</v>
      </c>
      <c r="CK123">
        <v>0</v>
      </c>
      <c r="CL123">
        <v>0</v>
      </c>
      <c r="CM123">
        <v>0</v>
      </c>
      <c r="CN123">
        <v>0</v>
      </c>
      <c r="CO123">
        <v>32</v>
      </c>
      <c r="CP123" t="s">
        <v>347</v>
      </c>
      <c r="CQ123" t="s">
        <v>348</v>
      </c>
    </row>
    <row r="124" spans="1:95">
      <c r="A124" s="5">
        <v>46188</v>
      </c>
      <c r="B124" t="s">
        <v>811</v>
      </c>
      <c r="C124" t="s">
        <v>104</v>
      </c>
      <c r="D124" t="s">
        <v>812</v>
      </c>
      <c r="E124" t="s">
        <v>813</v>
      </c>
      <c r="F124" t="s">
        <v>337</v>
      </c>
      <c r="G124">
        <v>123</v>
      </c>
      <c r="H124">
        <v>0</v>
      </c>
      <c r="I124">
        <v>3</v>
      </c>
      <c r="J124">
        <v>168</v>
      </c>
      <c r="K124">
        <v>0</v>
      </c>
      <c r="L124">
        <v>0</v>
      </c>
      <c r="M124">
        <v>0</v>
      </c>
      <c r="N124">
        <v>0</v>
      </c>
      <c r="O124" t="s">
        <v>338</v>
      </c>
      <c r="P124">
        <v>2</v>
      </c>
      <c r="Q124">
        <v>5</v>
      </c>
      <c r="R124">
        <v>17</v>
      </c>
      <c r="S124">
        <v>42</v>
      </c>
      <c r="T124" t="s">
        <v>351</v>
      </c>
      <c r="U124">
        <v>25.99</v>
      </c>
      <c r="V124">
        <v>15.49</v>
      </c>
      <c r="W124">
        <v>15.49</v>
      </c>
      <c r="X124">
        <v>0</v>
      </c>
      <c r="Y124" t="s">
        <v>339</v>
      </c>
      <c r="AA124">
        <v>0</v>
      </c>
      <c r="AB124">
        <v>0</v>
      </c>
      <c r="AC124">
        <v>0</v>
      </c>
      <c r="AD124">
        <v>0</v>
      </c>
      <c r="AE124">
        <v>0.23</v>
      </c>
      <c r="AF124">
        <v>0.076957</v>
      </c>
      <c r="AG124" t="s">
        <v>340</v>
      </c>
      <c r="AH124" t="s">
        <v>341</v>
      </c>
      <c r="AI124">
        <v>9.465711</v>
      </c>
      <c r="AJ124" t="s">
        <v>342</v>
      </c>
      <c r="AK124" t="s">
        <v>353</v>
      </c>
      <c r="AL124">
        <v>223008</v>
      </c>
      <c r="AM124">
        <v>155</v>
      </c>
      <c r="AN124">
        <v>0</v>
      </c>
      <c r="AO124">
        <v>98</v>
      </c>
      <c r="AP124">
        <v>38</v>
      </c>
      <c r="AQ124">
        <v>15.49</v>
      </c>
      <c r="AR124">
        <v>30.98</v>
      </c>
      <c r="AS124">
        <v>76.55</v>
      </c>
      <c r="AT124">
        <v>269.63</v>
      </c>
      <c r="AU124">
        <v>669.38</v>
      </c>
      <c r="AV124">
        <v>0</v>
      </c>
      <c r="AW124">
        <v>0</v>
      </c>
      <c r="AX124">
        <v>3</v>
      </c>
      <c r="AY124">
        <v>0</v>
      </c>
      <c r="AZ124">
        <v>0</v>
      </c>
      <c r="BA124">
        <v>6.39</v>
      </c>
      <c r="BB124">
        <v>0</v>
      </c>
      <c r="BC124">
        <v>0</v>
      </c>
      <c r="BD124">
        <v>0</v>
      </c>
      <c r="BE124">
        <v>0</v>
      </c>
      <c r="BG124">
        <v>48</v>
      </c>
      <c r="BH124">
        <v>0</v>
      </c>
      <c r="BY124">
        <v>1307.5</v>
      </c>
      <c r="BZ124">
        <v>68</v>
      </c>
      <c r="CA124" t="s">
        <v>360</v>
      </c>
      <c r="CD124" s="5">
        <v>46188</v>
      </c>
      <c r="CE124" t="s">
        <v>345</v>
      </c>
      <c r="CF124" t="s">
        <v>346</v>
      </c>
      <c r="CG124">
        <v>1307.5</v>
      </c>
      <c r="CH124">
        <v>408.9</v>
      </c>
      <c r="CI124" s="5">
        <v>46186</v>
      </c>
      <c r="CJ124">
        <v>123</v>
      </c>
      <c r="CK124">
        <v>0</v>
      </c>
      <c r="CL124">
        <v>0</v>
      </c>
      <c r="CM124">
        <v>0</v>
      </c>
      <c r="CN124">
        <v>48</v>
      </c>
      <c r="CO124">
        <v>182</v>
      </c>
      <c r="CP124" t="s">
        <v>347</v>
      </c>
      <c r="CQ124" t="s">
        <v>348</v>
      </c>
    </row>
    <row r="125" spans="1:95">
      <c r="A125" s="5">
        <v>46188</v>
      </c>
      <c r="B125" t="s">
        <v>814</v>
      </c>
      <c r="C125" t="s">
        <v>815</v>
      </c>
      <c r="D125" t="s">
        <v>816</v>
      </c>
      <c r="E125" t="s">
        <v>817</v>
      </c>
      <c r="G125">
        <v>0</v>
      </c>
      <c r="H125">
        <v>-1</v>
      </c>
      <c r="O125" t="s">
        <v>338</v>
      </c>
      <c r="U125">
        <v>0</v>
      </c>
      <c r="V125">
        <v>0</v>
      </c>
      <c r="W125">
        <v>0</v>
      </c>
      <c r="X125">
        <v>0</v>
      </c>
      <c r="Y125" t="s">
        <v>359</v>
      </c>
      <c r="AB125">
        <v>0</v>
      </c>
      <c r="AC125">
        <v>0</v>
      </c>
      <c r="AE125">
        <v>-1</v>
      </c>
      <c r="AH125" t="s">
        <v>341</v>
      </c>
      <c r="AJ125" t="s">
        <v>342</v>
      </c>
      <c r="AK125" t="s">
        <v>404</v>
      </c>
      <c r="AM125">
        <v>0</v>
      </c>
      <c r="AN125">
        <v>0</v>
      </c>
      <c r="AQ125">
        <v>4.99</v>
      </c>
      <c r="AY125">
        <v>0</v>
      </c>
      <c r="BB125">
        <v>0</v>
      </c>
      <c r="BC125">
        <v>0</v>
      </c>
      <c r="BD125">
        <v>0</v>
      </c>
      <c r="BE125">
        <v>0</v>
      </c>
      <c r="BG125">
        <v>0</v>
      </c>
      <c r="BH125">
        <v>0</v>
      </c>
      <c r="CJ125">
        <v>0</v>
      </c>
      <c r="CK125">
        <v>0</v>
      </c>
      <c r="CL125">
        <v>0</v>
      </c>
      <c r="CM125">
        <v>0</v>
      </c>
      <c r="CN125">
        <v>0</v>
      </c>
      <c r="CO125">
        <v>0</v>
      </c>
      <c r="CP125" t="s">
        <v>347</v>
      </c>
      <c r="CQ125" t="s">
        <v>348</v>
      </c>
    </row>
    <row r="126" spans="1:95">
      <c r="A126" s="5">
        <v>46188</v>
      </c>
      <c r="B126" t="s">
        <v>818</v>
      </c>
      <c r="C126" t="s">
        <v>819</v>
      </c>
      <c r="D126" t="s">
        <v>820</v>
      </c>
      <c r="E126" t="s">
        <v>821</v>
      </c>
      <c r="F126" t="s">
        <v>337</v>
      </c>
      <c r="G126">
        <v>101</v>
      </c>
      <c r="H126">
        <v>-1</v>
      </c>
      <c r="O126" t="s">
        <v>338</v>
      </c>
      <c r="P126">
        <v>15</v>
      </c>
      <c r="Q126">
        <v>62</v>
      </c>
      <c r="R126">
        <v>93</v>
      </c>
      <c r="S126">
        <v>156</v>
      </c>
      <c r="U126">
        <v>19.99</v>
      </c>
      <c r="V126">
        <v>0</v>
      </c>
      <c r="W126">
        <v>0</v>
      </c>
      <c r="X126">
        <v>0</v>
      </c>
      <c r="Y126" t="s">
        <v>359</v>
      </c>
      <c r="AA126">
        <v>0</v>
      </c>
      <c r="AB126">
        <v>0</v>
      </c>
      <c r="AC126">
        <v>0</v>
      </c>
      <c r="AD126">
        <v>0</v>
      </c>
      <c r="AE126">
        <v>-1</v>
      </c>
      <c r="AH126" t="s">
        <v>341</v>
      </c>
      <c r="AJ126" t="s">
        <v>342</v>
      </c>
      <c r="AK126" t="s">
        <v>404</v>
      </c>
      <c r="AL126">
        <v>2409</v>
      </c>
      <c r="AM126">
        <v>52</v>
      </c>
      <c r="AN126">
        <v>0</v>
      </c>
      <c r="AO126">
        <v>10</v>
      </c>
      <c r="AP126">
        <v>13</v>
      </c>
      <c r="AQ126">
        <v>13.99</v>
      </c>
      <c r="AR126">
        <v>236.65</v>
      </c>
      <c r="AS126">
        <v>1004.18</v>
      </c>
      <c r="AT126">
        <v>1496.85</v>
      </c>
      <c r="AU126">
        <v>2500.53</v>
      </c>
      <c r="AY126">
        <v>0</v>
      </c>
      <c r="BA126">
        <v>5.2</v>
      </c>
      <c r="BB126">
        <v>61</v>
      </c>
      <c r="BC126">
        <v>60</v>
      </c>
      <c r="BD126">
        <v>0</v>
      </c>
      <c r="BE126">
        <v>1</v>
      </c>
      <c r="BG126">
        <v>9</v>
      </c>
      <c r="BH126">
        <v>0</v>
      </c>
      <c r="BY126">
        <v>53.5</v>
      </c>
      <c r="CB126">
        <v>97</v>
      </c>
      <c r="CC126" s="5">
        <v>46195</v>
      </c>
      <c r="CD126" s="5">
        <v>46188</v>
      </c>
      <c r="CE126" t="s">
        <v>345</v>
      </c>
      <c r="CF126" t="s">
        <v>346</v>
      </c>
      <c r="CG126">
        <v>53.5</v>
      </c>
      <c r="CH126">
        <v>35.3</v>
      </c>
      <c r="CJ126">
        <v>168</v>
      </c>
      <c r="CK126">
        <v>6</v>
      </c>
      <c r="CL126">
        <v>7</v>
      </c>
      <c r="CM126">
        <v>2</v>
      </c>
      <c r="CN126">
        <v>0</v>
      </c>
      <c r="CO126">
        <v>98</v>
      </c>
      <c r="CP126" t="s">
        <v>347</v>
      </c>
      <c r="CQ126" t="s">
        <v>348</v>
      </c>
    </row>
    <row r="127" spans="1:95">
      <c r="A127" s="5">
        <v>46188</v>
      </c>
      <c r="B127" t="s">
        <v>822</v>
      </c>
      <c r="C127" t="s">
        <v>823</v>
      </c>
      <c r="D127" t="s">
        <v>824</v>
      </c>
      <c r="E127" t="s">
        <v>825</v>
      </c>
      <c r="F127" t="s">
        <v>337</v>
      </c>
      <c r="G127">
        <v>23</v>
      </c>
      <c r="H127">
        <v>-1</v>
      </c>
      <c r="O127" t="s">
        <v>338</v>
      </c>
      <c r="P127">
        <v>0</v>
      </c>
      <c r="Q127">
        <v>0</v>
      </c>
      <c r="R127">
        <v>2</v>
      </c>
      <c r="S127">
        <v>3</v>
      </c>
      <c r="U127">
        <v>40.59</v>
      </c>
      <c r="V127">
        <v>0</v>
      </c>
      <c r="W127">
        <v>0</v>
      </c>
      <c r="X127">
        <v>0</v>
      </c>
      <c r="Y127" t="s">
        <v>372</v>
      </c>
      <c r="AA127">
        <v>0</v>
      </c>
      <c r="AB127">
        <v>0</v>
      </c>
      <c r="AC127">
        <v>0</v>
      </c>
      <c r="AD127">
        <v>259.85</v>
      </c>
      <c r="AE127">
        <v>-1</v>
      </c>
      <c r="AH127" t="s">
        <v>341</v>
      </c>
      <c r="AJ127" t="s">
        <v>342</v>
      </c>
      <c r="AK127" t="s">
        <v>353</v>
      </c>
      <c r="AL127">
        <v>606948</v>
      </c>
      <c r="AM127">
        <v>206</v>
      </c>
      <c r="AN127">
        <v>0</v>
      </c>
      <c r="AP127">
        <v>99</v>
      </c>
      <c r="AQ127">
        <v>24.99</v>
      </c>
      <c r="AR127">
        <v>0</v>
      </c>
      <c r="AS127">
        <v>0</v>
      </c>
      <c r="AT127">
        <v>78.58</v>
      </c>
      <c r="AU127">
        <v>119.17</v>
      </c>
      <c r="AY127">
        <v>0</v>
      </c>
      <c r="BA127">
        <v>6.8</v>
      </c>
      <c r="BB127">
        <v>0</v>
      </c>
      <c r="BC127">
        <v>0</v>
      </c>
      <c r="BD127">
        <v>0</v>
      </c>
      <c r="BE127">
        <v>0</v>
      </c>
      <c r="BG127">
        <v>0</v>
      </c>
      <c r="BH127">
        <v>0</v>
      </c>
      <c r="BZ127">
        <v>6</v>
      </c>
      <c r="CA127" t="s">
        <v>360</v>
      </c>
      <c r="CB127">
        <v>9</v>
      </c>
      <c r="CC127" s="5">
        <v>46186</v>
      </c>
      <c r="CH127">
        <v>604</v>
      </c>
      <c r="CJ127">
        <v>23</v>
      </c>
      <c r="CK127">
        <v>0</v>
      </c>
      <c r="CL127">
        <v>0</v>
      </c>
      <c r="CM127">
        <v>0</v>
      </c>
      <c r="CN127">
        <v>0</v>
      </c>
      <c r="CO127">
        <v>206</v>
      </c>
      <c r="CP127" t="s">
        <v>347</v>
      </c>
      <c r="CQ127" t="s">
        <v>348</v>
      </c>
    </row>
    <row r="128" spans="1:95">
      <c r="A128" s="5">
        <v>46188</v>
      </c>
      <c r="B128" t="s">
        <v>826</v>
      </c>
      <c r="C128" t="s">
        <v>827</v>
      </c>
      <c r="D128" t="s">
        <v>828</v>
      </c>
      <c r="E128" t="s">
        <v>829</v>
      </c>
      <c r="G128">
        <v>0</v>
      </c>
      <c r="H128">
        <v>-1</v>
      </c>
      <c r="O128" t="s">
        <v>338</v>
      </c>
      <c r="U128">
        <v>0</v>
      </c>
      <c r="V128">
        <v>0</v>
      </c>
      <c r="W128">
        <v>0</v>
      </c>
      <c r="X128">
        <v>0</v>
      </c>
      <c r="Y128" t="s">
        <v>359</v>
      </c>
      <c r="AB128">
        <v>0</v>
      </c>
      <c r="AC128">
        <v>0</v>
      </c>
      <c r="AE128">
        <v>-1</v>
      </c>
      <c r="AJ128" t="s">
        <v>342</v>
      </c>
      <c r="AK128" t="s">
        <v>353</v>
      </c>
      <c r="AN128">
        <v>0</v>
      </c>
      <c r="AY128">
        <v>0</v>
      </c>
      <c r="BB128">
        <v>0</v>
      </c>
      <c r="BG128">
        <v>0</v>
      </c>
      <c r="BH128">
        <v>0</v>
      </c>
      <c r="CJ128">
        <v>0</v>
      </c>
      <c r="CK128">
        <v>0</v>
      </c>
      <c r="CL128">
        <v>0</v>
      </c>
      <c r="CM128">
        <v>0</v>
      </c>
      <c r="CN128">
        <v>0</v>
      </c>
      <c r="CP128" t="s">
        <v>347</v>
      </c>
      <c r="CQ128" t="s">
        <v>348</v>
      </c>
    </row>
    <row r="129" spans="1:95">
      <c r="A129" s="5">
        <v>46188</v>
      </c>
      <c r="B129" t="s">
        <v>830</v>
      </c>
      <c r="C129" t="s">
        <v>831</v>
      </c>
      <c r="D129" t="s">
        <v>832</v>
      </c>
      <c r="E129" t="s">
        <v>833</v>
      </c>
      <c r="G129">
        <v>0</v>
      </c>
      <c r="H129">
        <v>-1</v>
      </c>
      <c r="O129" t="s">
        <v>338</v>
      </c>
      <c r="U129">
        <v>0</v>
      </c>
      <c r="V129">
        <v>0</v>
      </c>
      <c r="W129">
        <v>0</v>
      </c>
      <c r="X129">
        <v>0</v>
      </c>
      <c r="Y129" t="s">
        <v>359</v>
      </c>
      <c r="AB129">
        <v>0</v>
      </c>
      <c r="AC129">
        <v>0</v>
      </c>
      <c r="AE129">
        <v>-1</v>
      </c>
      <c r="AJ129" t="s">
        <v>342</v>
      </c>
      <c r="AK129" t="s">
        <v>343</v>
      </c>
      <c r="AN129">
        <v>0</v>
      </c>
      <c r="AY129">
        <v>0</v>
      </c>
      <c r="BB129">
        <v>0</v>
      </c>
      <c r="BG129">
        <v>0</v>
      </c>
      <c r="BH129">
        <v>0</v>
      </c>
      <c r="CJ129">
        <v>0</v>
      </c>
      <c r="CK129">
        <v>0</v>
      </c>
      <c r="CL129">
        <v>0</v>
      </c>
      <c r="CM129">
        <v>0</v>
      </c>
      <c r="CN129">
        <v>0</v>
      </c>
      <c r="CP129" t="s">
        <v>347</v>
      </c>
      <c r="CQ129" t="s">
        <v>348</v>
      </c>
    </row>
    <row r="130" spans="1:95">
      <c r="A130" s="5">
        <v>46188</v>
      </c>
      <c r="B130" t="s">
        <v>834</v>
      </c>
      <c r="C130" t="s">
        <v>46</v>
      </c>
      <c r="D130" t="s">
        <v>68</v>
      </c>
      <c r="E130" t="s">
        <v>835</v>
      </c>
      <c r="F130" t="s">
        <v>337</v>
      </c>
      <c r="G130">
        <v>71</v>
      </c>
      <c r="H130">
        <v>0</v>
      </c>
      <c r="I130">
        <v>76</v>
      </c>
      <c r="J130">
        <v>0</v>
      </c>
      <c r="K130">
        <v>0</v>
      </c>
      <c r="L130">
        <v>0</v>
      </c>
      <c r="M130">
        <v>0</v>
      </c>
      <c r="N130">
        <v>0</v>
      </c>
      <c r="O130" t="s">
        <v>338</v>
      </c>
      <c r="P130">
        <v>7</v>
      </c>
      <c r="Q130">
        <v>21</v>
      </c>
      <c r="R130">
        <v>58</v>
      </c>
      <c r="S130">
        <v>79</v>
      </c>
      <c r="T130" t="s">
        <v>351</v>
      </c>
      <c r="U130">
        <v>29.99</v>
      </c>
      <c r="V130">
        <v>0</v>
      </c>
      <c r="W130">
        <v>29.99</v>
      </c>
      <c r="X130">
        <v>0</v>
      </c>
      <c r="Y130" t="s">
        <v>339</v>
      </c>
      <c r="AA130">
        <v>0</v>
      </c>
      <c r="AB130">
        <v>0</v>
      </c>
      <c r="AC130">
        <v>0</v>
      </c>
      <c r="AD130">
        <v>0</v>
      </c>
      <c r="AE130">
        <v>2.09</v>
      </c>
      <c r="AF130">
        <v>0.298313</v>
      </c>
      <c r="AG130" t="s">
        <v>340</v>
      </c>
      <c r="AH130" t="s">
        <v>341</v>
      </c>
      <c r="AI130">
        <v>21.180223</v>
      </c>
      <c r="AJ130" t="s">
        <v>342</v>
      </c>
      <c r="AK130" t="s">
        <v>353</v>
      </c>
      <c r="AL130">
        <v>227718</v>
      </c>
      <c r="AM130">
        <v>89</v>
      </c>
      <c r="AN130">
        <v>0</v>
      </c>
      <c r="AO130">
        <v>18</v>
      </c>
      <c r="AP130">
        <v>15</v>
      </c>
      <c r="AQ130">
        <v>26.99</v>
      </c>
      <c r="AR130">
        <v>188.93</v>
      </c>
      <c r="AS130">
        <v>569.79</v>
      </c>
      <c r="AT130">
        <v>1622.42</v>
      </c>
      <c r="AU130">
        <v>2228.21</v>
      </c>
      <c r="AV130">
        <v>36</v>
      </c>
      <c r="AW130">
        <v>40</v>
      </c>
      <c r="AX130">
        <v>0</v>
      </c>
      <c r="AY130">
        <v>0</v>
      </c>
      <c r="AZ130">
        <v>0</v>
      </c>
      <c r="BA130">
        <v>13.64</v>
      </c>
      <c r="BB130">
        <v>24</v>
      </c>
      <c r="BC130">
        <v>24</v>
      </c>
      <c r="BD130">
        <v>0</v>
      </c>
      <c r="BE130">
        <v>0</v>
      </c>
      <c r="BG130">
        <v>1</v>
      </c>
      <c r="BH130">
        <v>0</v>
      </c>
      <c r="BY130">
        <v>116.8</v>
      </c>
      <c r="BZ130">
        <v>36</v>
      </c>
      <c r="CA130" t="s">
        <v>360</v>
      </c>
      <c r="CD130" s="5">
        <v>46188</v>
      </c>
      <c r="CE130" t="s">
        <v>345</v>
      </c>
      <c r="CF130" t="s">
        <v>346</v>
      </c>
      <c r="CG130">
        <v>116.8</v>
      </c>
      <c r="CH130">
        <v>49.1</v>
      </c>
      <c r="CI130" s="5">
        <v>46186</v>
      </c>
      <c r="CJ130">
        <v>97</v>
      </c>
      <c r="CK130">
        <v>2</v>
      </c>
      <c r="CL130">
        <v>1</v>
      </c>
      <c r="CM130">
        <v>0</v>
      </c>
      <c r="CN130">
        <v>0</v>
      </c>
      <c r="CO130">
        <v>131</v>
      </c>
      <c r="CP130" t="s">
        <v>347</v>
      </c>
      <c r="CQ130" t="s">
        <v>348</v>
      </c>
    </row>
    <row r="131" spans="1:95">
      <c r="A131" s="5">
        <v>46188</v>
      </c>
      <c r="B131" t="s">
        <v>836</v>
      </c>
      <c r="C131" t="s">
        <v>837</v>
      </c>
      <c r="D131" t="s">
        <v>838</v>
      </c>
      <c r="E131" t="s">
        <v>839</v>
      </c>
      <c r="F131" t="s">
        <v>337</v>
      </c>
      <c r="G131">
        <v>7</v>
      </c>
      <c r="H131">
        <v>0</v>
      </c>
      <c r="I131">
        <v>15</v>
      </c>
      <c r="J131">
        <v>0</v>
      </c>
      <c r="K131">
        <v>0</v>
      </c>
      <c r="L131">
        <v>0</v>
      </c>
      <c r="M131">
        <v>0</v>
      </c>
      <c r="N131">
        <v>0</v>
      </c>
      <c r="O131" t="s">
        <v>338</v>
      </c>
      <c r="P131">
        <v>1</v>
      </c>
      <c r="Q131">
        <v>3</v>
      </c>
      <c r="R131">
        <v>8</v>
      </c>
      <c r="S131">
        <v>14</v>
      </c>
      <c r="U131">
        <v>94.99</v>
      </c>
      <c r="V131">
        <v>0</v>
      </c>
      <c r="W131">
        <v>94.99</v>
      </c>
      <c r="X131">
        <v>0</v>
      </c>
      <c r="Y131" t="s">
        <v>464</v>
      </c>
      <c r="AA131">
        <v>0</v>
      </c>
      <c r="AB131">
        <v>0</v>
      </c>
      <c r="AC131">
        <v>0</v>
      </c>
      <c r="AD131">
        <v>0</v>
      </c>
      <c r="AE131">
        <v>0.83</v>
      </c>
      <c r="AF131">
        <v>0.452588</v>
      </c>
      <c r="AG131" t="s">
        <v>340</v>
      </c>
      <c r="AH131" t="s">
        <v>341</v>
      </c>
      <c r="AI131">
        <v>3.168116</v>
      </c>
      <c r="AJ131" t="s">
        <v>342</v>
      </c>
      <c r="AK131" t="s">
        <v>353</v>
      </c>
      <c r="AL131">
        <v>206385</v>
      </c>
      <c r="AM131">
        <v>121</v>
      </c>
      <c r="AN131">
        <v>0</v>
      </c>
      <c r="AO131">
        <v>20</v>
      </c>
      <c r="AP131">
        <v>13</v>
      </c>
      <c r="AQ131">
        <v>72.19</v>
      </c>
      <c r="AR131">
        <v>72.19</v>
      </c>
      <c r="AS131">
        <v>216.57</v>
      </c>
      <c r="AT131">
        <v>585.12</v>
      </c>
      <c r="AU131">
        <v>1110.06</v>
      </c>
      <c r="AV131">
        <v>9</v>
      </c>
      <c r="AW131">
        <v>1</v>
      </c>
      <c r="AX131">
        <v>5</v>
      </c>
      <c r="AY131">
        <v>0</v>
      </c>
      <c r="AZ131">
        <v>0</v>
      </c>
      <c r="BA131">
        <v>8.64</v>
      </c>
      <c r="BB131">
        <v>8</v>
      </c>
      <c r="BC131">
        <v>0</v>
      </c>
      <c r="BD131">
        <v>8</v>
      </c>
      <c r="BE131">
        <v>0</v>
      </c>
      <c r="BG131">
        <v>0</v>
      </c>
      <c r="BH131">
        <v>2</v>
      </c>
      <c r="BY131">
        <v>110.3</v>
      </c>
      <c r="BZ131">
        <v>16</v>
      </c>
      <c r="CA131" t="s">
        <v>344</v>
      </c>
      <c r="CD131" s="5">
        <v>46188</v>
      </c>
      <c r="CE131" t="s">
        <v>345</v>
      </c>
      <c r="CF131" t="s">
        <v>346</v>
      </c>
      <c r="CG131">
        <v>110.3</v>
      </c>
      <c r="CH131">
        <v>100.2</v>
      </c>
      <c r="CI131" s="5">
        <v>46186</v>
      </c>
      <c r="CJ131">
        <v>23</v>
      </c>
      <c r="CK131">
        <v>8</v>
      </c>
      <c r="CL131">
        <v>0</v>
      </c>
      <c r="CM131">
        <v>0</v>
      </c>
      <c r="CN131">
        <v>0</v>
      </c>
      <c r="CO131">
        <v>121</v>
      </c>
      <c r="CP131" t="s">
        <v>347</v>
      </c>
      <c r="CQ131" t="s">
        <v>348</v>
      </c>
    </row>
    <row r="132" spans="1:95">
      <c r="A132" s="5">
        <v>46188</v>
      </c>
      <c r="B132" t="s">
        <v>840</v>
      </c>
      <c r="C132" t="s">
        <v>841</v>
      </c>
      <c r="D132" t="s">
        <v>842</v>
      </c>
      <c r="E132" t="s">
        <v>843</v>
      </c>
      <c r="F132" t="s">
        <v>337</v>
      </c>
      <c r="G132">
        <v>31</v>
      </c>
      <c r="H132">
        <v>0</v>
      </c>
      <c r="I132">
        <v>0</v>
      </c>
      <c r="J132">
        <v>31</v>
      </c>
      <c r="K132">
        <v>0</v>
      </c>
      <c r="L132">
        <v>0</v>
      </c>
      <c r="M132">
        <v>0</v>
      </c>
      <c r="N132">
        <v>0</v>
      </c>
      <c r="O132" t="s">
        <v>338</v>
      </c>
      <c r="P132">
        <v>3</v>
      </c>
      <c r="Q132">
        <v>17</v>
      </c>
      <c r="R132">
        <v>30</v>
      </c>
      <c r="S132">
        <v>46</v>
      </c>
      <c r="U132">
        <v>21.99</v>
      </c>
      <c r="V132">
        <v>0</v>
      </c>
      <c r="W132">
        <v>21.99</v>
      </c>
      <c r="X132">
        <v>0</v>
      </c>
      <c r="Y132" t="s">
        <v>359</v>
      </c>
      <c r="AA132">
        <v>0</v>
      </c>
      <c r="AB132">
        <v>0</v>
      </c>
      <c r="AC132">
        <v>0</v>
      </c>
      <c r="AD132">
        <v>0</v>
      </c>
      <c r="AE132">
        <v>0.87</v>
      </c>
      <c r="AF132">
        <v>0.12279</v>
      </c>
      <c r="AG132" t="s">
        <v>340</v>
      </c>
      <c r="AH132" t="s">
        <v>341</v>
      </c>
      <c r="AI132">
        <v>3.80649</v>
      </c>
      <c r="AJ132" t="s">
        <v>342</v>
      </c>
      <c r="AK132" t="s">
        <v>353</v>
      </c>
      <c r="AL132">
        <v>9437</v>
      </c>
      <c r="AM132">
        <v>36</v>
      </c>
      <c r="AN132">
        <v>0</v>
      </c>
      <c r="AO132">
        <v>22</v>
      </c>
      <c r="AP132">
        <v>27</v>
      </c>
      <c r="AQ132">
        <v>21.99</v>
      </c>
      <c r="AR132">
        <v>65.97</v>
      </c>
      <c r="AS132">
        <v>373.83</v>
      </c>
      <c r="AT132">
        <v>653.1</v>
      </c>
      <c r="AU132">
        <v>992.84</v>
      </c>
      <c r="AV132">
        <v>0</v>
      </c>
      <c r="AW132">
        <v>0</v>
      </c>
      <c r="AX132">
        <v>0</v>
      </c>
      <c r="AY132">
        <v>0</v>
      </c>
      <c r="AZ132">
        <v>0</v>
      </c>
      <c r="BA132">
        <v>2.9</v>
      </c>
      <c r="BB132">
        <v>65</v>
      </c>
      <c r="BC132">
        <v>55</v>
      </c>
      <c r="BD132">
        <v>10</v>
      </c>
      <c r="BE132">
        <v>0</v>
      </c>
      <c r="BG132">
        <v>0</v>
      </c>
      <c r="BH132">
        <v>0</v>
      </c>
      <c r="BY132">
        <v>97.7</v>
      </c>
      <c r="BZ132">
        <v>50</v>
      </c>
      <c r="CA132" t="s">
        <v>344</v>
      </c>
      <c r="CB132">
        <v>9</v>
      </c>
      <c r="CC132" s="5">
        <v>46193</v>
      </c>
      <c r="CD132" s="5">
        <v>46188</v>
      </c>
      <c r="CE132" t="s">
        <v>345</v>
      </c>
      <c r="CF132" t="s">
        <v>346</v>
      </c>
      <c r="CG132">
        <v>63.6</v>
      </c>
      <c r="CH132">
        <v>97.7</v>
      </c>
      <c r="CI132" s="5">
        <v>46186</v>
      </c>
      <c r="CJ132">
        <v>96</v>
      </c>
      <c r="CK132">
        <v>0</v>
      </c>
      <c r="CL132">
        <v>0</v>
      </c>
      <c r="CM132">
        <v>0</v>
      </c>
      <c r="CN132">
        <v>0</v>
      </c>
      <c r="CO132">
        <v>139</v>
      </c>
      <c r="CP132" t="s">
        <v>347</v>
      </c>
      <c r="CQ132" t="s">
        <v>348</v>
      </c>
    </row>
    <row r="133" spans="1:95">
      <c r="A133" s="5">
        <v>46188</v>
      </c>
      <c r="B133" t="s">
        <v>844</v>
      </c>
      <c r="C133" t="s">
        <v>41</v>
      </c>
      <c r="D133" t="s">
        <v>42</v>
      </c>
      <c r="E133" t="s">
        <v>845</v>
      </c>
      <c r="G133">
        <v>0</v>
      </c>
      <c r="H133">
        <v>0</v>
      </c>
      <c r="I133">
        <v>1</v>
      </c>
      <c r="J133">
        <v>0</v>
      </c>
      <c r="K133">
        <v>0</v>
      </c>
      <c r="L133">
        <v>0</v>
      </c>
      <c r="M133">
        <v>0</v>
      </c>
      <c r="N133">
        <v>0</v>
      </c>
      <c r="O133" t="s">
        <v>338</v>
      </c>
      <c r="P133">
        <v>0</v>
      </c>
      <c r="Q133">
        <v>6</v>
      </c>
      <c r="R133">
        <v>25</v>
      </c>
      <c r="S133">
        <v>34</v>
      </c>
      <c r="U133">
        <v>0</v>
      </c>
      <c r="V133">
        <v>0</v>
      </c>
      <c r="W133">
        <v>0</v>
      </c>
      <c r="X133">
        <v>0</v>
      </c>
      <c r="Y133" t="s">
        <v>359</v>
      </c>
      <c r="AB133">
        <v>0</v>
      </c>
      <c r="AC133">
        <v>0</v>
      </c>
      <c r="AE133">
        <v>1.94</v>
      </c>
      <c r="AF133">
        <v>0.038835</v>
      </c>
      <c r="AG133" t="s">
        <v>340</v>
      </c>
      <c r="AH133" t="s">
        <v>341</v>
      </c>
      <c r="AI133">
        <v>0</v>
      </c>
      <c r="AJ133" t="s">
        <v>342</v>
      </c>
      <c r="AK133" t="s">
        <v>353</v>
      </c>
      <c r="AL133">
        <v>298958</v>
      </c>
      <c r="AM133">
        <v>0</v>
      </c>
      <c r="AN133">
        <v>0</v>
      </c>
      <c r="AO133">
        <v>48</v>
      </c>
      <c r="AP133">
        <v>27</v>
      </c>
      <c r="AQ133">
        <v>16.49</v>
      </c>
      <c r="AR133">
        <v>0</v>
      </c>
      <c r="AS133">
        <v>103.44</v>
      </c>
      <c r="AT133">
        <v>426.86</v>
      </c>
      <c r="AU133">
        <v>586.39</v>
      </c>
      <c r="AV133">
        <v>1</v>
      </c>
      <c r="AW133">
        <v>0</v>
      </c>
      <c r="AX133">
        <v>0</v>
      </c>
      <c r="AY133">
        <v>0</v>
      </c>
      <c r="AZ133">
        <v>0</v>
      </c>
      <c r="BB133">
        <v>72</v>
      </c>
      <c r="BC133">
        <v>72</v>
      </c>
      <c r="BD133">
        <v>0</v>
      </c>
      <c r="BE133">
        <v>0</v>
      </c>
      <c r="BG133">
        <v>1</v>
      </c>
      <c r="BH133">
        <v>0</v>
      </c>
      <c r="BY133">
        <v>46</v>
      </c>
      <c r="BZ133">
        <v>27</v>
      </c>
      <c r="CA133" t="s">
        <v>429</v>
      </c>
      <c r="CD133" s="5">
        <v>46188</v>
      </c>
      <c r="CE133" t="s">
        <v>345</v>
      </c>
      <c r="CF133" t="s">
        <v>346</v>
      </c>
      <c r="CG133">
        <v>14.4</v>
      </c>
      <c r="CH133">
        <v>46</v>
      </c>
      <c r="CI133" s="5">
        <v>46186</v>
      </c>
      <c r="CJ133">
        <v>72</v>
      </c>
      <c r="CK133">
        <v>0</v>
      </c>
      <c r="CL133">
        <v>1</v>
      </c>
      <c r="CM133">
        <v>0</v>
      </c>
      <c r="CN133">
        <v>0</v>
      </c>
      <c r="CO133">
        <v>109</v>
      </c>
      <c r="CP133" t="s">
        <v>347</v>
      </c>
      <c r="CQ133" t="s">
        <v>348</v>
      </c>
    </row>
    <row r="134" spans="1:95">
      <c r="A134" s="5">
        <v>46188</v>
      </c>
      <c r="B134" t="s">
        <v>846</v>
      </c>
      <c r="C134" t="s">
        <v>110</v>
      </c>
      <c r="D134" t="s">
        <v>847</v>
      </c>
      <c r="E134" t="s">
        <v>848</v>
      </c>
      <c r="F134" t="s">
        <v>337</v>
      </c>
      <c r="G134">
        <v>0</v>
      </c>
      <c r="H134">
        <v>-1</v>
      </c>
      <c r="O134" t="s">
        <v>338</v>
      </c>
      <c r="P134">
        <v>0</v>
      </c>
      <c r="Q134">
        <v>0</v>
      </c>
      <c r="R134">
        <v>0</v>
      </c>
      <c r="S134">
        <v>0</v>
      </c>
      <c r="U134">
        <v>19.99</v>
      </c>
      <c r="V134">
        <v>0</v>
      </c>
      <c r="W134">
        <v>0</v>
      </c>
      <c r="X134">
        <v>0</v>
      </c>
      <c r="Y134" t="s">
        <v>372</v>
      </c>
      <c r="AB134">
        <v>0</v>
      </c>
      <c r="AC134">
        <v>0</v>
      </c>
      <c r="AE134">
        <v>-1</v>
      </c>
      <c r="AH134" t="s">
        <v>341</v>
      </c>
      <c r="AJ134" t="s">
        <v>342</v>
      </c>
      <c r="AK134" t="s">
        <v>353</v>
      </c>
      <c r="AM134">
        <v>0</v>
      </c>
      <c r="AN134">
        <v>0</v>
      </c>
      <c r="AQ134">
        <v>17.99</v>
      </c>
      <c r="AR134">
        <v>0</v>
      </c>
      <c r="AS134">
        <v>0</v>
      </c>
      <c r="AT134">
        <v>0</v>
      </c>
      <c r="AU134">
        <v>0</v>
      </c>
      <c r="AY134">
        <v>0</v>
      </c>
      <c r="BB134">
        <v>50</v>
      </c>
      <c r="BC134">
        <v>50</v>
      </c>
      <c r="BD134">
        <v>0</v>
      </c>
      <c r="BE134">
        <v>0</v>
      </c>
      <c r="BG134">
        <v>0</v>
      </c>
      <c r="BH134">
        <v>0</v>
      </c>
      <c r="BZ134">
        <v>1</v>
      </c>
      <c r="CA134" t="s">
        <v>429</v>
      </c>
      <c r="CJ134">
        <v>50</v>
      </c>
      <c r="CK134">
        <v>0</v>
      </c>
      <c r="CL134">
        <v>0</v>
      </c>
      <c r="CM134">
        <v>0</v>
      </c>
      <c r="CN134">
        <v>0</v>
      </c>
      <c r="CO134">
        <v>366</v>
      </c>
      <c r="CP134" t="s">
        <v>347</v>
      </c>
      <c r="CQ134" t="s">
        <v>348</v>
      </c>
    </row>
    <row r="135" spans="1:95">
      <c r="A135" s="5">
        <v>46188</v>
      </c>
      <c r="B135" t="s">
        <v>849</v>
      </c>
      <c r="C135" t="s">
        <v>850</v>
      </c>
      <c r="D135" t="s">
        <v>851</v>
      </c>
      <c r="G135">
        <v>0</v>
      </c>
      <c r="H135">
        <v>-1</v>
      </c>
      <c r="O135" t="s">
        <v>338</v>
      </c>
      <c r="U135">
        <v>0</v>
      </c>
      <c r="V135">
        <v>0</v>
      </c>
      <c r="W135">
        <v>0</v>
      </c>
      <c r="X135">
        <v>0</v>
      </c>
      <c r="Y135" t="s">
        <v>359</v>
      </c>
      <c r="AB135">
        <v>0</v>
      </c>
      <c r="AC135">
        <v>0</v>
      </c>
      <c r="AE135">
        <v>-1</v>
      </c>
      <c r="AJ135" t="s">
        <v>342</v>
      </c>
      <c r="AN135">
        <v>0</v>
      </c>
      <c r="AY135">
        <v>0</v>
      </c>
      <c r="BB135">
        <v>0</v>
      </c>
      <c r="BG135">
        <v>0</v>
      </c>
      <c r="BH135">
        <v>0</v>
      </c>
      <c r="CJ135">
        <v>0</v>
      </c>
      <c r="CK135">
        <v>0</v>
      </c>
      <c r="CL135">
        <v>0</v>
      </c>
      <c r="CM135">
        <v>0</v>
      </c>
      <c r="CN135">
        <v>0</v>
      </c>
      <c r="CP135" t="s">
        <v>347</v>
      </c>
      <c r="CQ135" t="s">
        <v>348</v>
      </c>
    </row>
    <row r="136" spans="1:95">
      <c r="A136" s="5">
        <v>46188</v>
      </c>
      <c r="B136" t="s">
        <v>852</v>
      </c>
      <c r="C136" t="s">
        <v>174</v>
      </c>
      <c r="D136" t="s">
        <v>853</v>
      </c>
      <c r="E136" t="s">
        <v>854</v>
      </c>
      <c r="F136" t="s">
        <v>337</v>
      </c>
      <c r="G136">
        <v>17</v>
      </c>
      <c r="H136">
        <v>0</v>
      </c>
      <c r="I136">
        <v>0</v>
      </c>
      <c r="J136">
        <v>18</v>
      </c>
      <c r="K136">
        <v>0</v>
      </c>
      <c r="L136">
        <v>0</v>
      </c>
      <c r="M136">
        <v>0</v>
      </c>
      <c r="N136">
        <v>0</v>
      </c>
      <c r="O136" t="s">
        <v>338</v>
      </c>
      <c r="P136">
        <v>2</v>
      </c>
      <c r="Q136">
        <v>9</v>
      </c>
      <c r="R136">
        <v>16</v>
      </c>
      <c r="S136">
        <v>30</v>
      </c>
      <c r="U136">
        <v>27.99</v>
      </c>
      <c r="V136">
        <v>0</v>
      </c>
      <c r="W136">
        <v>27.99</v>
      </c>
      <c r="X136">
        <v>0</v>
      </c>
      <c r="Y136" t="s">
        <v>464</v>
      </c>
      <c r="AA136">
        <v>0</v>
      </c>
      <c r="AB136">
        <v>0</v>
      </c>
      <c r="AC136">
        <v>0</v>
      </c>
      <c r="AD136">
        <v>0</v>
      </c>
      <c r="AE136">
        <v>0.87</v>
      </c>
      <c r="AF136">
        <v>0.114141</v>
      </c>
      <c r="AG136" t="s">
        <v>340</v>
      </c>
      <c r="AH136" t="s">
        <v>341</v>
      </c>
      <c r="AI136">
        <v>1.940397</v>
      </c>
      <c r="AJ136" t="s">
        <v>342</v>
      </c>
      <c r="AK136" t="s">
        <v>353</v>
      </c>
      <c r="AL136">
        <v>9437</v>
      </c>
      <c r="AM136">
        <v>34</v>
      </c>
      <c r="AN136">
        <v>0</v>
      </c>
      <c r="AO136">
        <v>7</v>
      </c>
      <c r="AP136">
        <v>7</v>
      </c>
      <c r="AQ136">
        <v>20.89</v>
      </c>
      <c r="AR136">
        <v>41.78</v>
      </c>
      <c r="AS136">
        <v>186.91</v>
      </c>
      <c r="AT136">
        <v>330.94</v>
      </c>
      <c r="AU136">
        <v>638.8</v>
      </c>
      <c r="AV136">
        <v>0</v>
      </c>
      <c r="AW136">
        <v>0</v>
      </c>
      <c r="AX136">
        <v>0</v>
      </c>
      <c r="AY136">
        <v>0</v>
      </c>
      <c r="AZ136">
        <v>0</v>
      </c>
      <c r="BA136">
        <v>1.04</v>
      </c>
      <c r="BB136">
        <v>0</v>
      </c>
      <c r="BC136">
        <v>0</v>
      </c>
      <c r="BD136">
        <v>0</v>
      </c>
      <c r="BE136">
        <v>0</v>
      </c>
      <c r="BG136">
        <v>0</v>
      </c>
      <c r="BH136">
        <v>1</v>
      </c>
      <c r="BY136">
        <v>98.4</v>
      </c>
      <c r="BZ136">
        <v>31</v>
      </c>
      <c r="CA136" t="s">
        <v>344</v>
      </c>
      <c r="CB136">
        <v>40</v>
      </c>
      <c r="CC136" s="5">
        <v>46194</v>
      </c>
      <c r="CD136" s="5">
        <v>46188</v>
      </c>
      <c r="CE136" t="s">
        <v>345</v>
      </c>
      <c r="CF136" t="s">
        <v>346</v>
      </c>
      <c r="CG136">
        <v>94.3</v>
      </c>
      <c r="CH136">
        <v>98.4</v>
      </c>
      <c r="CI136" s="5">
        <v>46186</v>
      </c>
      <c r="CJ136">
        <v>17</v>
      </c>
      <c r="CK136">
        <v>0</v>
      </c>
      <c r="CL136">
        <v>0</v>
      </c>
      <c r="CM136">
        <v>0</v>
      </c>
      <c r="CN136">
        <v>0</v>
      </c>
      <c r="CO136">
        <v>34</v>
      </c>
      <c r="CP136" t="s">
        <v>347</v>
      </c>
      <c r="CQ136" t="s">
        <v>348</v>
      </c>
    </row>
    <row r="137" spans="1:95">
      <c r="A137" s="5">
        <v>46188</v>
      </c>
      <c r="B137" t="s">
        <v>855</v>
      </c>
      <c r="C137" t="s">
        <v>32</v>
      </c>
      <c r="D137" t="s">
        <v>60</v>
      </c>
      <c r="E137" t="s">
        <v>856</v>
      </c>
      <c r="F137" t="s">
        <v>337</v>
      </c>
      <c r="G137">
        <v>22</v>
      </c>
      <c r="H137">
        <v>0</v>
      </c>
      <c r="I137">
        <v>22</v>
      </c>
      <c r="J137">
        <v>0</v>
      </c>
      <c r="K137">
        <v>0</v>
      </c>
      <c r="L137">
        <v>0</v>
      </c>
      <c r="M137">
        <v>0</v>
      </c>
      <c r="N137">
        <v>0</v>
      </c>
      <c r="O137" t="s">
        <v>338</v>
      </c>
      <c r="P137">
        <v>1</v>
      </c>
      <c r="Q137">
        <v>6</v>
      </c>
      <c r="R137">
        <v>8</v>
      </c>
      <c r="S137">
        <v>8</v>
      </c>
      <c r="T137" t="s">
        <v>351</v>
      </c>
      <c r="U137">
        <v>23.99</v>
      </c>
      <c r="V137">
        <v>0</v>
      </c>
      <c r="W137">
        <v>23.99</v>
      </c>
      <c r="X137">
        <v>0</v>
      </c>
      <c r="Y137" t="s">
        <v>339</v>
      </c>
      <c r="AA137">
        <v>0</v>
      </c>
      <c r="AB137">
        <v>0</v>
      </c>
      <c r="AC137">
        <v>0</v>
      </c>
      <c r="AD137">
        <v>356.4</v>
      </c>
      <c r="AE137">
        <v>0.64</v>
      </c>
      <c r="AF137">
        <v>0.098612</v>
      </c>
      <c r="AG137" t="s">
        <v>340</v>
      </c>
      <c r="AH137" t="s">
        <v>341</v>
      </c>
      <c r="AI137">
        <v>2.169464</v>
      </c>
      <c r="AJ137" t="s">
        <v>342</v>
      </c>
      <c r="AK137" t="s">
        <v>353</v>
      </c>
      <c r="AL137">
        <v>294731</v>
      </c>
      <c r="AM137">
        <v>142</v>
      </c>
      <c r="AN137">
        <v>0</v>
      </c>
      <c r="AO137">
        <v>14</v>
      </c>
      <c r="AP137">
        <v>35</v>
      </c>
      <c r="AQ137">
        <v>15.99</v>
      </c>
      <c r="AR137">
        <v>18.49</v>
      </c>
      <c r="AS137">
        <v>127.44</v>
      </c>
      <c r="AT137">
        <v>175.42</v>
      </c>
      <c r="AU137">
        <v>175.42</v>
      </c>
      <c r="AV137">
        <v>0</v>
      </c>
      <c r="AW137">
        <v>22</v>
      </c>
      <c r="AX137">
        <v>0</v>
      </c>
      <c r="AY137">
        <v>0</v>
      </c>
      <c r="AZ137">
        <v>0</v>
      </c>
      <c r="BA137">
        <v>1.55</v>
      </c>
      <c r="BB137">
        <v>0</v>
      </c>
      <c r="BC137">
        <v>0</v>
      </c>
      <c r="BD137">
        <v>0</v>
      </c>
      <c r="BE137">
        <v>0</v>
      </c>
      <c r="BG137">
        <v>0</v>
      </c>
      <c r="BH137">
        <v>0</v>
      </c>
      <c r="BY137">
        <v>188.5</v>
      </c>
      <c r="BZ137">
        <v>8</v>
      </c>
      <c r="CA137" t="s">
        <v>360</v>
      </c>
      <c r="CD137" s="5">
        <v>46188</v>
      </c>
      <c r="CE137" t="s">
        <v>345</v>
      </c>
      <c r="CF137" t="s">
        <v>346</v>
      </c>
      <c r="CG137">
        <v>125</v>
      </c>
      <c r="CH137">
        <v>188.5</v>
      </c>
      <c r="CI137" s="5">
        <v>46186</v>
      </c>
      <c r="CJ137">
        <v>22</v>
      </c>
      <c r="CK137">
        <v>0</v>
      </c>
      <c r="CL137">
        <v>0</v>
      </c>
      <c r="CM137">
        <v>0</v>
      </c>
      <c r="CN137">
        <v>0</v>
      </c>
      <c r="CO137">
        <v>142</v>
      </c>
      <c r="CQ137" t="s">
        <v>348</v>
      </c>
    </row>
    <row r="138" spans="1:95">
      <c r="A138" s="5">
        <v>46188</v>
      </c>
      <c r="B138" t="s">
        <v>857</v>
      </c>
      <c r="C138" t="s">
        <v>858</v>
      </c>
      <c r="D138" t="s">
        <v>859</v>
      </c>
      <c r="E138" t="s">
        <v>860</v>
      </c>
      <c r="G138">
        <v>0</v>
      </c>
      <c r="H138">
        <v>-1</v>
      </c>
      <c r="O138" t="s">
        <v>338</v>
      </c>
      <c r="U138">
        <v>0</v>
      </c>
      <c r="V138">
        <v>0</v>
      </c>
      <c r="W138">
        <v>0</v>
      </c>
      <c r="X138">
        <v>0</v>
      </c>
      <c r="Y138" t="s">
        <v>359</v>
      </c>
      <c r="AB138">
        <v>0</v>
      </c>
      <c r="AC138">
        <v>0</v>
      </c>
      <c r="AE138">
        <v>-1</v>
      </c>
      <c r="AH138" t="s">
        <v>424</v>
      </c>
      <c r="AJ138" t="s">
        <v>342</v>
      </c>
      <c r="AK138" t="s">
        <v>465</v>
      </c>
      <c r="AN138">
        <v>0</v>
      </c>
      <c r="AQ138">
        <v>49.99</v>
      </c>
      <c r="AY138">
        <v>0</v>
      </c>
      <c r="BB138">
        <v>0</v>
      </c>
      <c r="BC138">
        <v>0</v>
      </c>
      <c r="BD138">
        <v>0</v>
      </c>
      <c r="BE138">
        <v>0</v>
      </c>
      <c r="BG138">
        <v>0</v>
      </c>
      <c r="BH138">
        <v>0</v>
      </c>
      <c r="CJ138">
        <v>0</v>
      </c>
      <c r="CK138">
        <v>0</v>
      </c>
      <c r="CL138">
        <v>0</v>
      </c>
      <c r="CM138">
        <v>0</v>
      </c>
      <c r="CN138">
        <v>0</v>
      </c>
      <c r="CP138" t="s">
        <v>347</v>
      </c>
      <c r="CQ138" t="s">
        <v>348</v>
      </c>
    </row>
    <row r="139" spans="1:95">
      <c r="A139" s="5">
        <v>46188</v>
      </c>
      <c r="B139" t="s">
        <v>861</v>
      </c>
      <c r="C139" t="s">
        <v>862</v>
      </c>
      <c r="D139" t="s">
        <v>863</v>
      </c>
      <c r="E139" t="s">
        <v>864</v>
      </c>
      <c r="G139">
        <v>0</v>
      </c>
      <c r="H139">
        <v>-1</v>
      </c>
      <c r="O139" t="s">
        <v>338</v>
      </c>
      <c r="U139">
        <v>0</v>
      </c>
      <c r="V139">
        <v>0</v>
      </c>
      <c r="W139">
        <v>0</v>
      </c>
      <c r="X139">
        <v>0</v>
      </c>
      <c r="Y139" t="s">
        <v>359</v>
      </c>
      <c r="AB139">
        <v>0</v>
      </c>
      <c r="AC139">
        <v>0</v>
      </c>
      <c r="AE139">
        <v>-1</v>
      </c>
      <c r="AH139" t="s">
        <v>341</v>
      </c>
      <c r="AJ139" t="s">
        <v>342</v>
      </c>
      <c r="AK139" t="s">
        <v>343</v>
      </c>
      <c r="AN139">
        <v>0</v>
      </c>
      <c r="AQ139">
        <v>9.99</v>
      </c>
      <c r="AY139">
        <v>0</v>
      </c>
      <c r="BB139">
        <v>0</v>
      </c>
      <c r="BC139">
        <v>0</v>
      </c>
      <c r="BD139">
        <v>0</v>
      </c>
      <c r="BE139">
        <v>0</v>
      </c>
      <c r="BG139">
        <v>0</v>
      </c>
      <c r="BH139">
        <v>0</v>
      </c>
      <c r="CJ139">
        <v>0</v>
      </c>
      <c r="CK139">
        <v>0</v>
      </c>
      <c r="CL139">
        <v>0</v>
      </c>
      <c r="CM139">
        <v>0</v>
      </c>
      <c r="CN139">
        <v>0</v>
      </c>
      <c r="CP139" t="s">
        <v>347</v>
      </c>
      <c r="CQ139" t="s">
        <v>348</v>
      </c>
    </row>
    <row r="140" spans="1:95">
      <c r="A140" s="5">
        <v>46188</v>
      </c>
      <c r="B140" t="s">
        <v>865</v>
      </c>
      <c r="C140" t="s">
        <v>45</v>
      </c>
      <c r="D140" t="s">
        <v>67</v>
      </c>
      <c r="E140" t="s">
        <v>866</v>
      </c>
      <c r="F140" t="s">
        <v>337</v>
      </c>
      <c r="G140">
        <v>22</v>
      </c>
      <c r="H140">
        <v>0</v>
      </c>
      <c r="I140">
        <v>40</v>
      </c>
      <c r="J140">
        <v>0</v>
      </c>
      <c r="K140">
        <v>0</v>
      </c>
      <c r="L140">
        <v>0</v>
      </c>
      <c r="M140">
        <v>0</v>
      </c>
      <c r="N140">
        <v>0</v>
      </c>
      <c r="O140" t="s">
        <v>338</v>
      </c>
      <c r="P140">
        <v>2</v>
      </c>
      <c r="Q140">
        <v>2</v>
      </c>
      <c r="R140">
        <v>3</v>
      </c>
      <c r="S140">
        <v>19</v>
      </c>
      <c r="T140" t="s">
        <v>351</v>
      </c>
      <c r="U140">
        <v>38.99</v>
      </c>
      <c r="V140">
        <v>29.99</v>
      </c>
      <c r="W140">
        <v>29.99</v>
      </c>
      <c r="X140">
        <v>0</v>
      </c>
      <c r="Y140" t="s">
        <v>339</v>
      </c>
      <c r="AA140">
        <v>0</v>
      </c>
      <c r="AB140">
        <v>0</v>
      </c>
      <c r="AC140">
        <v>0</v>
      </c>
      <c r="AD140">
        <v>0</v>
      </c>
      <c r="AE140">
        <v>1.31</v>
      </c>
      <c r="AF140">
        <v>0.18417</v>
      </c>
      <c r="AG140" t="s">
        <v>340</v>
      </c>
      <c r="AH140" t="s">
        <v>341</v>
      </c>
      <c r="AI140">
        <v>4.05174</v>
      </c>
      <c r="AJ140" t="s">
        <v>342</v>
      </c>
      <c r="AK140" t="s">
        <v>353</v>
      </c>
      <c r="AL140">
        <v>309540</v>
      </c>
      <c r="AM140">
        <v>186</v>
      </c>
      <c r="AN140">
        <v>0</v>
      </c>
      <c r="AO140">
        <v>44</v>
      </c>
      <c r="AP140">
        <v>15</v>
      </c>
      <c r="AQ140">
        <v>29.99</v>
      </c>
      <c r="AR140">
        <v>59.98</v>
      </c>
      <c r="AS140">
        <v>59.98</v>
      </c>
      <c r="AT140">
        <v>98.97</v>
      </c>
      <c r="AU140">
        <v>687.89</v>
      </c>
      <c r="AV140">
        <v>40</v>
      </c>
      <c r="AW140">
        <v>0</v>
      </c>
      <c r="AX140">
        <v>0</v>
      </c>
      <c r="AY140">
        <v>0</v>
      </c>
      <c r="AZ140">
        <v>0</v>
      </c>
      <c r="BA140">
        <v>4.29</v>
      </c>
      <c r="BB140">
        <v>0</v>
      </c>
      <c r="BC140">
        <v>0</v>
      </c>
      <c r="BD140">
        <v>0</v>
      </c>
      <c r="BE140">
        <v>0</v>
      </c>
      <c r="BG140">
        <v>0</v>
      </c>
      <c r="BH140">
        <v>0</v>
      </c>
      <c r="BY140">
        <v>270</v>
      </c>
      <c r="BZ140">
        <v>8</v>
      </c>
      <c r="CA140" t="s">
        <v>360</v>
      </c>
      <c r="CD140" s="5">
        <v>46188</v>
      </c>
      <c r="CE140" t="s">
        <v>345</v>
      </c>
      <c r="CF140" t="s">
        <v>346</v>
      </c>
      <c r="CG140">
        <v>270</v>
      </c>
      <c r="CH140">
        <v>45.9</v>
      </c>
      <c r="CI140" s="5">
        <v>46186</v>
      </c>
      <c r="CJ140">
        <v>40</v>
      </c>
      <c r="CK140">
        <v>18</v>
      </c>
      <c r="CL140">
        <v>0</v>
      </c>
      <c r="CM140">
        <v>0</v>
      </c>
      <c r="CN140">
        <v>0</v>
      </c>
      <c r="CO140">
        <v>186</v>
      </c>
      <c r="CP140" t="s">
        <v>347</v>
      </c>
      <c r="CQ140" t="s">
        <v>348</v>
      </c>
    </row>
    <row r="141" spans="1:95">
      <c r="A141" s="5">
        <v>46188</v>
      </c>
      <c r="B141" t="s">
        <v>867</v>
      </c>
      <c r="C141" t="s">
        <v>467</v>
      </c>
      <c r="D141" t="s">
        <v>868</v>
      </c>
      <c r="E141" t="s">
        <v>469</v>
      </c>
      <c r="G141">
        <v>0</v>
      </c>
      <c r="H141">
        <v>-1</v>
      </c>
      <c r="O141" t="s">
        <v>338</v>
      </c>
      <c r="U141">
        <v>0</v>
      </c>
      <c r="V141">
        <v>0</v>
      </c>
      <c r="W141">
        <v>0</v>
      </c>
      <c r="X141">
        <v>0</v>
      </c>
      <c r="Y141" t="s">
        <v>359</v>
      </c>
      <c r="AB141">
        <v>0</v>
      </c>
      <c r="AC141">
        <v>0</v>
      </c>
      <c r="AE141">
        <v>-1</v>
      </c>
      <c r="AH141" t="s">
        <v>341</v>
      </c>
      <c r="AJ141" t="s">
        <v>342</v>
      </c>
      <c r="AK141" t="s">
        <v>353</v>
      </c>
      <c r="AL141">
        <v>203254</v>
      </c>
      <c r="AM141">
        <v>0</v>
      </c>
      <c r="AN141">
        <v>0</v>
      </c>
      <c r="AQ141">
        <v>29.99</v>
      </c>
      <c r="AY141">
        <v>0</v>
      </c>
      <c r="BB141">
        <v>0</v>
      </c>
      <c r="BC141">
        <v>0</v>
      </c>
      <c r="BD141">
        <v>0</v>
      </c>
      <c r="BE141">
        <v>0</v>
      </c>
      <c r="BG141">
        <v>0</v>
      </c>
      <c r="BH141">
        <v>0</v>
      </c>
      <c r="CJ141">
        <v>0</v>
      </c>
      <c r="CK141">
        <v>0</v>
      </c>
      <c r="CL141">
        <v>0</v>
      </c>
      <c r="CM141">
        <v>0</v>
      </c>
      <c r="CN141">
        <v>0</v>
      </c>
      <c r="CO141">
        <v>0</v>
      </c>
      <c r="CQ141" t="s">
        <v>348</v>
      </c>
    </row>
    <row r="142" spans="1:95">
      <c r="A142" s="5">
        <v>46188</v>
      </c>
      <c r="B142" t="s">
        <v>869</v>
      </c>
      <c r="C142" t="s">
        <v>870</v>
      </c>
      <c r="D142" t="s">
        <v>871</v>
      </c>
      <c r="E142" t="s">
        <v>872</v>
      </c>
      <c r="F142" t="s">
        <v>337</v>
      </c>
      <c r="G142">
        <v>14</v>
      </c>
      <c r="H142">
        <v>0</v>
      </c>
      <c r="I142">
        <v>15</v>
      </c>
      <c r="J142">
        <v>0</v>
      </c>
      <c r="K142">
        <v>0</v>
      </c>
      <c r="L142">
        <v>0</v>
      </c>
      <c r="M142">
        <v>0</v>
      </c>
      <c r="N142">
        <v>0</v>
      </c>
      <c r="O142" t="s">
        <v>338</v>
      </c>
      <c r="U142">
        <v>19.99</v>
      </c>
      <c r="V142">
        <v>0</v>
      </c>
      <c r="W142">
        <v>17.99</v>
      </c>
      <c r="X142">
        <v>0</v>
      </c>
      <c r="Y142" t="s">
        <v>372</v>
      </c>
      <c r="AA142">
        <v>0</v>
      </c>
      <c r="AB142">
        <v>0</v>
      </c>
      <c r="AC142">
        <v>0</v>
      </c>
      <c r="AD142">
        <v>0</v>
      </c>
      <c r="AE142">
        <v>1.42</v>
      </c>
      <c r="AF142">
        <v>0.175456</v>
      </c>
      <c r="AG142" t="s">
        <v>340</v>
      </c>
      <c r="AH142" t="s">
        <v>341</v>
      </c>
      <c r="AI142">
        <v>2.456384</v>
      </c>
      <c r="AJ142" t="s">
        <v>342</v>
      </c>
      <c r="AK142" t="s">
        <v>353</v>
      </c>
      <c r="AL142">
        <v>2409</v>
      </c>
      <c r="AM142">
        <v>50</v>
      </c>
      <c r="AN142">
        <v>0</v>
      </c>
      <c r="AQ142">
        <v>17.99</v>
      </c>
      <c r="AV142">
        <v>10</v>
      </c>
      <c r="AW142">
        <v>5</v>
      </c>
      <c r="AX142">
        <v>0</v>
      </c>
      <c r="AY142">
        <v>0</v>
      </c>
      <c r="AZ142">
        <v>0</v>
      </c>
      <c r="BA142">
        <v>1.85</v>
      </c>
      <c r="BB142">
        <v>0</v>
      </c>
      <c r="BC142">
        <v>0</v>
      </c>
      <c r="BD142">
        <v>0</v>
      </c>
      <c r="BE142">
        <v>0</v>
      </c>
      <c r="BG142">
        <v>0</v>
      </c>
      <c r="BH142">
        <v>0</v>
      </c>
      <c r="BY142">
        <v>220.5</v>
      </c>
      <c r="BZ142">
        <v>24</v>
      </c>
      <c r="CA142" t="s">
        <v>344</v>
      </c>
      <c r="CB142">
        <v>21</v>
      </c>
      <c r="CC142" s="5">
        <v>46195</v>
      </c>
      <c r="CD142" s="5">
        <v>46188</v>
      </c>
      <c r="CE142" t="s">
        <v>345</v>
      </c>
      <c r="CF142" t="s">
        <v>346</v>
      </c>
      <c r="CG142">
        <v>220.5</v>
      </c>
      <c r="CH142">
        <v>55.7</v>
      </c>
      <c r="CI142" s="5">
        <v>46186</v>
      </c>
      <c r="CJ142">
        <v>17</v>
      </c>
      <c r="CK142">
        <v>3</v>
      </c>
      <c r="CL142">
        <v>0</v>
      </c>
      <c r="CM142">
        <v>0</v>
      </c>
      <c r="CN142">
        <v>0</v>
      </c>
      <c r="CO142">
        <v>50</v>
      </c>
      <c r="CP142" t="s">
        <v>347</v>
      </c>
      <c r="CQ142" t="s">
        <v>348</v>
      </c>
    </row>
    <row r="143" spans="1:95">
      <c r="A143" s="5">
        <v>46188</v>
      </c>
      <c r="B143" t="s">
        <v>873</v>
      </c>
      <c r="C143" t="s">
        <v>874</v>
      </c>
      <c r="D143" t="s">
        <v>875</v>
      </c>
      <c r="E143" t="s">
        <v>876</v>
      </c>
      <c r="G143">
        <v>0</v>
      </c>
      <c r="H143">
        <v>-1</v>
      </c>
      <c r="O143" t="s">
        <v>338</v>
      </c>
      <c r="U143">
        <v>0</v>
      </c>
      <c r="V143">
        <v>0</v>
      </c>
      <c r="W143">
        <v>0</v>
      </c>
      <c r="X143">
        <v>0</v>
      </c>
      <c r="Y143" t="s">
        <v>359</v>
      </c>
      <c r="AB143">
        <v>0</v>
      </c>
      <c r="AC143">
        <v>0</v>
      </c>
      <c r="AE143">
        <v>-1</v>
      </c>
      <c r="AH143" t="s">
        <v>341</v>
      </c>
      <c r="AJ143" t="s">
        <v>342</v>
      </c>
      <c r="AK143" t="s">
        <v>343</v>
      </c>
      <c r="AN143">
        <v>0</v>
      </c>
      <c r="AQ143">
        <v>14.99</v>
      </c>
      <c r="AY143">
        <v>0</v>
      </c>
      <c r="BB143">
        <v>0</v>
      </c>
      <c r="BC143">
        <v>0</v>
      </c>
      <c r="BD143">
        <v>0</v>
      </c>
      <c r="BE143">
        <v>0</v>
      </c>
      <c r="BG143">
        <v>0</v>
      </c>
      <c r="BH143">
        <v>0</v>
      </c>
      <c r="CJ143">
        <v>0</v>
      </c>
      <c r="CK143">
        <v>0</v>
      </c>
      <c r="CL143">
        <v>0</v>
      </c>
      <c r="CM143">
        <v>0</v>
      </c>
      <c r="CN143">
        <v>0</v>
      </c>
      <c r="CP143" t="s">
        <v>347</v>
      </c>
      <c r="CQ143" t="s">
        <v>348</v>
      </c>
    </row>
    <row r="144" spans="1:95">
      <c r="A144" s="5">
        <v>46188</v>
      </c>
      <c r="B144" t="s">
        <v>877</v>
      </c>
      <c r="C144" t="s">
        <v>878</v>
      </c>
      <c r="D144" t="s">
        <v>879</v>
      </c>
      <c r="G144">
        <v>0</v>
      </c>
      <c r="H144">
        <v>-1</v>
      </c>
      <c r="O144" t="s">
        <v>338</v>
      </c>
      <c r="U144">
        <v>0</v>
      </c>
      <c r="V144">
        <v>0</v>
      </c>
      <c r="W144">
        <v>0</v>
      </c>
      <c r="X144">
        <v>0</v>
      </c>
      <c r="Y144" t="s">
        <v>359</v>
      </c>
      <c r="AB144">
        <v>0</v>
      </c>
      <c r="AC144">
        <v>0</v>
      </c>
      <c r="AE144">
        <v>-1</v>
      </c>
      <c r="AJ144" t="s">
        <v>342</v>
      </c>
      <c r="AN144">
        <v>0</v>
      </c>
      <c r="AY144">
        <v>0</v>
      </c>
      <c r="BB144">
        <v>0</v>
      </c>
      <c r="BG144">
        <v>0</v>
      </c>
      <c r="BH144">
        <v>0</v>
      </c>
      <c r="CJ144">
        <v>0</v>
      </c>
      <c r="CK144">
        <v>0</v>
      </c>
      <c r="CL144">
        <v>0</v>
      </c>
      <c r="CM144">
        <v>0</v>
      </c>
      <c r="CN144">
        <v>0</v>
      </c>
      <c r="CP144" t="s">
        <v>347</v>
      </c>
      <c r="CQ144" t="s">
        <v>348</v>
      </c>
    </row>
    <row r="145" spans="1:95">
      <c r="A145" s="5">
        <v>46188</v>
      </c>
      <c r="B145" t="s">
        <v>880</v>
      </c>
      <c r="C145" t="s">
        <v>881</v>
      </c>
      <c r="D145" t="s">
        <v>882</v>
      </c>
      <c r="E145" t="s">
        <v>883</v>
      </c>
      <c r="G145">
        <v>0</v>
      </c>
      <c r="H145">
        <v>-1</v>
      </c>
      <c r="O145" t="s">
        <v>338</v>
      </c>
      <c r="U145">
        <v>0</v>
      </c>
      <c r="V145">
        <v>0</v>
      </c>
      <c r="W145">
        <v>0</v>
      </c>
      <c r="X145">
        <v>0</v>
      </c>
      <c r="Y145" t="s">
        <v>359</v>
      </c>
      <c r="AB145">
        <v>0</v>
      </c>
      <c r="AC145">
        <v>0</v>
      </c>
      <c r="AE145">
        <v>-1</v>
      </c>
      <c r="AJ145" t="s">
        <v>342</v>
      </c>
      <c r="AK145" t="s">
        <v>353</v>
      </c>
      <c r="AM145">
        <v>0</v>
      </c>
      <c r="AN145">
        <v>0</v>
      </c>
      <c r="AQ145">
        <v>28.99</v>
      </c>
      <c r="AY145">
        <v>0</v>
      </c>
      <c r="BB145">
        <v>0</v>
      </c>
      <c r="BG145">
        <v>0</v>
      </c>
      <c r="BH145">
        <v>0</v>
      </c>
      <c r="CJ145">
        <v>0</v>
      </c>
      <c r="CK145">
        <v>0</v>
      </c>
      <c r="CL145">
        <v>0</v>
      </c>
      <c r="CM145">
        <v>0</v>
      </c>
      <c r="CN145">
        <v>0</v>
      </c>
      <c r="CO145">
        <v>0</v>
      </c>
      <c r="CP145" t="s">
        <v>347</v>
      </c>
      <c r="CQ145" t="s">
        <v>348</v>
      </c>
    </row>
    <row r="146" spans="1:95">
      <c r="A146" s="5">
        <v>46188</v>
      </c>
      <c r="B146" t="s">
        <v>884</v>
      </c>
      <c r="C146" t="s">
        <v>885</v>
      </c>
      <c r="D146" t="s">
        <v>886</v>
      </c>
      <c r="E146" t="s">
        <v>887</v>
      </c>
      <c r="G146">
        <v>0</v>
      </c>
      <c r="H146">
        <v>-1</v>
      </c>
      <c r="O146" t="s">
        <v>338</v>
      </c>
      <c r="P146">
        <v>0</v>
      </c>
      <c r="Q146">
        <v>0</v>
      </c>
      <c r="R146">
        <v>0</v>
      </c>
      <c r="S146">
        <v>0</v>
      </c>
      <c r="U146">
        <v>0</v>
      </c>
      <c r="V146">
        <v>0</v>
      </c>
      <c r="W146">
        <v>0</v>
      </c>
      <c r="X146">
        <v>0</v>
      </c>
      <c r="Y146" t="s">
        <v>359</v>
      </c>
      <c r="AB146">
        <v>0</v>
      </c>
      <c r="AC146">
        <v>0</v>
      </c>
      <c r="AE146">
        <v>-1</v>
      </c>
      <c r="AH146" t="s">
        <v>424</v>
      </c>
      <c r="AJ146" t="s">
        <v>342</v>
      </c>
      <c r="AK146" t="s">
        <v>353</v>
      </c>
      <c r="AM146">
        <v>0</v>
      </c>
      <c r="AN146">
        <v>0</v>
      </c>
      <c r="AQ146">
        <v>59.99</v>
      </c>
      <c r="AR146">
        <v>0</v>
      </c>
      <c r="AS146">
        <v>0</v>
      </c>
      <c r="AT146">
        <v>0</v>
      </c>
      <c r="AU146">
        <v>0</v>
      </c>
      <c r="AY146">
        <v>0</v>
      </c>
      <c r="BB146">
        <v>0</v>
      </c>
      <c r="BC146">
        <v>0</v>
      </c>
      <c r="BD146">
        <v>0</v>
      </c>
      <c r="BE146">
        <v>0</v>
      </c>
      <c r="BG146">
        <v>0</v>
      </c>
      <c r="BH146">
        <v>0</v>
      </c>
      <c r="BZ146">
        <v>1</v>
      </c>
      <c r="CA146" t="s">
        <v>429</v>
      </c>
      <c r="CJ146">
        <v>0</v>
      </c>
      <c r="CK146">
        <v>0</v>
      </c>
      <c r="CL146">
        <v>0</v>
      </c>
      <c r="CM146">
        <v>0</v>
      </c>
      <c r="CN146">
        <v>0</v>
      </c>
      <c r="CO146">
        <v>0</v>
      </c>
      <c r="CP146" t="s">
        <v>347</v>
      </c>
      <c r="CQ146" t="s">
        <v>348</v>
      </c>
    </row>
    <row r="147" spans="1:95">
      <c r="A147" s="5">
        <v>46188</v>
      </c>
      <c r="B147" t="s">
        <v>888</v>
      </c>
      <c r="C147" t="s">
        <v>889</v>
      </c>
      <c r="D147" t="s">
        <v>890</v>
      </c>
      <c r="E147" t="s">
        <v>891</v>
      </c>
      <c r="G147">
        <v>0</v>
      </c>
      <c r="H147">
        <v>-1</v>
      </c>
      <c r="O147" t="s">
        <v>338</v>
      </c>
      <c r="U147">
        <v>0</v>
      </c>
      <c r="V147">
        <v>0</v>
      </c>
      <c r="W147">
        <v>0</v>
      </c>
      <c r="X147">
        <v>0</v>
      </c>
      <c r="Y147" t="s">
        <v>359</v>
      </c>
      <c r="AB147">
        <v>0</v>
      </c>
      <c r="AC147">
        <v>0</v>
      </c>
      <c r="AE147">
        <v>-1</v>
      </c>
      <c r="AJ147" t="s">
        <v>342</v>
      </c>
      <c r="AK147" t="s">
        <v>353</v>
      </c>
      <c r="AN147">
        <v>0</v>
      </c>
      <c r="AY147">
        <v>0</v>
      </c>
      <c r="BB147">
        <v>0</v>
      </c>
      <c r="BG147">
        <v>0</v>
      </c>
      <c r="BH147">
        <v>0</v>
      </c>
      <c r="CJ147">
        <v>0</v>
      </c>
      <c r="CK147">
        <v>0</v>
      </c>
      <c r="CL147">
        <v>0</v>
      </c>
      <c r="CM147">
        <v>0</v>
      </c>
      <c r="CN147">
        <v>0</v>
      </c>
      <c r="CP147" t="s">
        <v>347</v>
      </c>
      <c r="CQ147" t="s">
        <v>348</v>
      </c>
    </row>
    <row r="148" spans="1:95">
      <c r="A148" s="5">
        <v>46188</v>
      </c>
      <c r="B148" t="s">
        <v>892</v>
      </c>
      <c r="C148" t="s">
        <v>893</v>
      </c>
      <c r="D148" t="s">
        <v>894</v>
      </c>
      <c r="E148" t="s">
        <v>895</v>
      </c>
      <c r="G148">
        <v>0</v>
      </c>
      <c r="H148">
        <v>-1</v>
      </c>
      <c r="O148" t="s">
        <v>338</v>
      </c>
      <c r="U148">
        <v>0</v>
      </c>
      <c r="V148">
        <v>0</v>
      </c>
      <c r="W148">
        <v>0</v>
      </c>
      <c r="X148">
        <v>0</v>
      </c>
      <c r="Y148" t="s">
        <v>359</v>
      </c>
      <c r="AB148">
        <v>0</v>
      </c>
      <c r="AC148">
        <v>0</v>
      </c>
      <c r="AE148">
        <v>-1</v>
      </c>
      <c r="AH148" t="s">
        <v>424</v>
      </c>
      <c r="AJ148" t="s">
        <v>342</v>
      </c>
      <c r="AK148" t="s">
        <v>353</v>
      </c>
      <c r="AM148">
        <v>0</v>
      </c>
      <c r="AN148">
        <v>0</v>
      </c>
      <c r="AQ148">
        <v>68.79</v>
      </c>
      <c r="AY148">
        <v>0</v>
      </c>
      <c r="BB148">
        <v>0</v>
      </c>
      <c r="BC148">
        <v>0</v>
      </c>
      <c r="BD148">
        <v>0</v>
      </c>
      <c r="BE148">
        <v>0</v>
      </c>
      <c r="BG148">
        <v>0</v>
      </c>
      <c r="BH148">
        <v>0</v>
      </c>
      <c r="CJ148">
        <v>0</v>
      </c>
      <c r="CK148">
        <v>0</v>
      </c>
      <c r="CL148">
        <v>0</v>
      </c>
      <c r="CM148">
        <v>0</v>
      </c>
      <c r="CN148">
        <v>0</v>
      </c>
      <c r="CO148">
        <v>0</v>
      </c>
      <c r="CP148" t="s">
        <v>347</v>
      </c>
      <c r="CQ148" t="s">
        <v>348</v>
      </c>
    </row>
    <row r="149" spans="1:95">
      <c r="A149" s="5">
        <v>46188</v>
      </c>
      <c r="B149" t="s">
        <v>896</v>
      </c>
      <c r="C149" t="s">
        <v>897</v>
      </c>
      <c r="D149" t="s">
        <v>898</v>
      </c>
      <c r="E149" t="s">
        <v>899</v>
      </c>
      <c r="G149">
        <v>0</v>
      </c>
      <c r="H149">
        <v>-1</v>
      </c>
      <c r="O149" t="s">
        <v>338</v>
      </c>
      <c r="U149">
        <v>0</v>
      </c>
      <c r="V149">
        <v>0</v>
      </c>
      <c r="W149">
        <v>0</v>
      </c>
      <c r="X149">
        <v>0</v>
      </c>
      <c r="Y149" t="s">
        <v>359</v>
      </c>
      <c r="AB149">
        <v>0</v>
      </c>
      <c r="AC149">
        <v>0</v>
      </c>
      <c r="AE149">
        <v>-1</v>
      </c>
      <c r="AH149" t="s">
        <v>341</v>
      </c>
      <c r="AJ149" t="s">
        <v>342</v>
      </c>
      <c r="AK149" t="s">
        <v>404</v>
      </c>
      <c r="AM149">
        <v>0</v>
      </c>
      <c r="AN149">
        <v>0</v>
      </c>
      <c r="AQ149">
        <v>6.99</v>
      </c>
      <c r="AY149">
        <v>0</v>
      </c>
      <c r="BB149">
        <v>0</v>
      </c>
      <c r="BC149">
        <v>0</v>
      </c>
      <c r="BD149">
        <v>0</v>
      </c>
      <c r="BE149">
        <v>0</v>
      </c>
      <c r="BG149">
        <v>0</v>
      </c>
      <c r="BH149">
        <v>0</v>
      </c>
      <c r="CJ149">
        <v>0</v>
      </c>
      <c r="CK149">
        <v>0</v>
      </c>
      <c r="CL149">
        <v>0</v>
      </c>
      <c r="CM149">
        <v>0</v>
      </c>
      <c r="CN149">
        <v>0</v>
      </c>
      <c r="CO149">
        <v>0</v>
      </c>
      <c r="CP149" t="s">
        <v>347</v>
      </c>
      <c r="CQ149" t="s">
        <v>348</v>
      </c>
    </row>
    <row r="150" spans="1:95">
      <c r="A150" s="5">
        <v>46188</v>
      </c>
      <c r="B150" t="s">
        <v>900</v>
      </c>
      <c r="C150" t="s">
        <v>900</v>
      </c>
      <c r="D150" t="s">
        <v>901</v>
      </c>
      <c r="E150" t="s">
        <v>902</v>
      </c>
      <c r="G150">
        <v>0</v>
      </c>
      <c r="H150">
        <v>-1</v>
      </c>
      <c r="O150" t="s">
        <v>338</v>
      </c>
      <c r="U150">
        <v>0</v>
      </c>
      <c r="V150">
        <v>0</v>
      </c>
      <c r="W150">
        <v>0</v>
      </c>
      <c r="X150">
        <v>0</v>
      </c>
      <c r="Y150" t="s">
        <v>359</v>
      </c>
      <c r="AB150">
        <v>0</v>
      </c>
      <c r="AC150">
        <v>0</v>
      </c>
      <c r="AE150">
        <v>-1</v>
      </c>
      <c r="AJ150" t="s">
        <v>342</v>
      </c>
      <c r="AK150" t="s">
        <v>353</v>
      </c>
      <c r="AN150">
        <v>0</v>
      </c>
      <c r="AQ150">
        <v>15.89</v>
      </c>
      <c r="AY150">
        <v>0</v>
      </c>
      <c r="BB150">
        <v>0</v>
      </c>
      <c r="BG150">
        <v>0</v>
      </c>
      <c r="BH150">
        <v>0</v>
      </c>
      <c r="CJ150">
        <v>0</v>
      </c>
      <c r="CK150">
        <v>0</v>
      </c>
      <c r="CL150">
        <v>0</v>
      </c>
      <c r="CM150">
        <v>0</v>
      </c>
      <c r="CN150">
        <v>0</v>
      </c>
      <c r="CP150" t="s">
        <v>347</v>
      </c>
      <c r="CQ150" t="s">
        <v>348</v>
      </c>
    </row>
    <row r="151" spans="1:95">
      <c r="A151" s="5">
        <v>46188</v>
      </c>
      <c r="B151" t="s">
        <v>903</v>
      </c>
      <c r="C151" t="s">
        <v>904</v>
      </c>
      <c r="D151" t="s">
        <v>905</v>
      </c>
      <c r="E151" t="s">
        <v>906</v>
      </c>
      <c r="G151">
        <v>0</v>
      </c>
      <c r="H151">
        <v>0</v>
      </c>
      <c r="I151">
        <v>0</v>
      </c>
      <c r="J151">
        <v>17</v>
      </c>
      <c r="K151">
        <v>0</v>
      </c>
      <c r="L151">
        <v>0</v>
      </c>
      <c r="M151">
        <v>0</v>
      </c>
      <c r="N151">
        <v>0</v>
      </c>
      <c r="O151" t="s">
        <v>338</v>
      </c>
      <c r="P151">
        <v>0</v>
      </c>
      <c r="Q151">
        <v>4</v>
      </c>
      <c r="R151">
        <v>6</v>
      </c>
      <c r="S151">
        <v>9</v>
      </c>
      <c r="U151">
        <v>0</v>
      </c>
      <c r="V151">
        <v>0</v>
      </c>
      <c r="W151">
        <v>0</v>
      </c>
      <c r="X151">
        <v>0</v>
      </c>
      <c r="Y151" t="s">
        <v>464</v>
      </c>
      <c r="AB151">
        <v>0</v>
      </c>
      <c r="AC151">
        <v>0</v>
      </c>
      <c r="AE151">
        <v>0.41</v>
      </c>
      <c r="AF151">
        <v>0.248264</v>
      </c>
      <c r="AG151" t="s">
        <v>340</v>
      </c>
      <c r="AH151" t="s">
        <v>341</v>
      </c>
      <c r="AI151">
        <v>0</v>
      </c>
      <c r="AJ151" t="s">
        <v>342</v>
      </c>
      <c r="AK151" t="s">
        <v>353</v>
      </c>
      <c r="AL151">
        <v>203254</v>
      </c>
      <c r="AM151">
        <v>0</v>
      </c>
      <c r="AN151">
        <v>0</v>
      </c>
      <c r="AO151">
        <v>0</v>
      </c>
      <c r="AP151">
        <v>0</v>
      </c>
      <c r="AQ151">
        <v>39.49</v>
      </c>
      <c r="AR151">
        <v>0</v>
      </c>
      <c r="AS151">
        <v>174.86</v>
      </c>
      <c r="AT151">
        <v>262.84</v>
      </c>
      <c r="AU151">
        <v>371.11</v>
      </c>
      <c r="AV151">
        <v>0</v>
      </c>
      <c r="AW151">
        <v>0</v>
      </c>
      <c r="AX151">
        <v>0</v>
      </c>
      <c r="AY151">
        <v>0</v>
      </c>
      <c r="AZ151">
        <v>0</v>
      </c>
      <c r="BB151">
        <v>0</v>
      </c>
      <c r="BC151">
        <v>0</v>
      </c>
      <c r="BD151">
        <v>0</v>
      </c>
      <c r="BE151">
        <v>0</v>
      </c>
      <c r="BG151">
        <v>17</v>
      </c>
      <c r="BH151">
        <v>0</v>
      </c>
      <c r="BY151">
        <v>216.3</v>
      </c>
      <c r="BZ151">
        <v>6</v>
      </c>
      <c r="CA151" t="s">
        <v>429</v>
      </c>
      <c r="CD151" s="5">
        <v>46188</v>
      </c>
      <c r="CE151" t="s">
        <v>345</v>
      </c>
      <c r="CF151" t="s">
        <v>346</v>
      </c>
      <c r="CG151">
        <v>135.3</v>
      </c>
      <c r="CH151">
        <v>216.3</v>
      </c>
      <c r="CI151" s="5">
        <v>46186</v>
      </c>
      <c r="CJ151">
        <v>0</v>
      </c>
      <c r="CK151">
        <v>0</v>
      </c>
      <c r="CL151">
        <v>0</v>
      </c>
      <c r="CM151">
        <v>0</v>
      </c>
      <c r="CN151">
        <v>17</v>
      </c>
      <c r="CO151">
        <v>74</v>
      </c>
      <c r="CP151" t="s">
        <v>347</v>
      </c>
      <c r="CQ151" t="s">
        <v>348</v>
      </c>
    </row>
    <row r="152" spans="1:95">
      <c r="A152" s="5">
        <v>46188</v>
      </c>
      <c r="B152" t="s">
        <v>907</v>
      </c>
      <c r="C152" t="s">
        <v>908</v>
      </c>
      <c r="D152" t="s">
        <v>909</v>
      </c>
      <c r="E152" t="s">
        <v>910</v>
      </c>
      <c r="G152">
        <v>0</v>
      </c>
      <c r="H152">
        <v>-1</v>
      </c>
      <c r="O152" t="s">
        <v>338</v>
      </c>
      <c r="U152">
        <v>0</v>
      </c>
      <c r="V152">
        <v>0</v>
      </c>
      <c r="W152">
        <v>0</v>
      </c>
      <c r="X152">
        <v>0</v>
      </c>
      <c r="Y152" t="s">
        <v>359</v>
      </c>
      <c r="AB152">
        <v>0</v>
      </c>
      <c r="AC152">
        <v>0</v>
      </c>
      <c r="AE152">
        <v>-1</v>
      </c>
      <c r="AJ152" t="s">
        <v>342</v>
      </c>
      <c r="AK152" t="s">
        <v>587</v>
      </c>
      <c r="AM152">
        <v>0</v>
      </c>
      <c r="AN152">
        <v>0</v>
      </c>
      <c r="AQ152">
        <v>133.99</v>
      </c>
      <c r="AY152">
        <v>0</v>
      </c>
      <c r="BB152">
        <v>0</v>
      </c>
      <c r="BG152">
        <v>0</v>
      </c>
      <c r="BH152">
        <v>0</v>
      </c>
      <c r="CJ152">
        <v>0</v>
      </c>
      <c r="CK152">
        <v>0</v>
      </c>
      <c r="CL152">
        <v>0</v>
      </c>
      <c r="CM152">
        <v>0</v>
      </c>
      <c r="CN152">
        <v>0</v>
      </c>
      <c r="CO152">
        <v>0</v>
      </c>
      <c r="CP152" t="s">
        <v>347</v>
      </c>
      <c r="CQ152" t="s">
        <v>348</v>
      </c>
    </row>
    <row r="153" spans="1:95">
      <c r="A153" s="5">
        <v>46188</v>
      </c>
      <c r="B153" t="s">
        <v>911</v>
      </c>
      <c r="C153" t="s">
        <v>912</v>
      </c>
      <c r="D153" t="s">
        <v>913</v>
      </c>
      <c r="E153" t="s">
        <v>914</v>
      </c>
      <c r="G153">
        <v>51</v>
      </c>
      <c r="H153">
        <v>0</v>
      </c>
      <c r="I153">
        <v>0</v>
      </c>
      <c r="J153">
        <v>86</v>
      </c>
      <c r="K153">
        <v>2</v>
      </c>
      <c r="L153">
        <v>0</v>
      </c>
      <c r="M153">
        <v>0</v>
      </c>
      <c r="N153">
        <v>0</v>
      </c>
      <c r="O153" t="s">
        <v>338</v>
      </c>
      <c r="P153">
        <v>1</v>
      </c>
      <c r="Q153">
        <v>3</v>
      </c>
      <c r="R153">
        <v>14</v>
      </c>
      <c r="S153">
        <v>33</v>
      </c>
      <c r="W153">
        <v>29.99</v>
      </c>
      <c r="X153">
        <v>-1</v>
      </c>
      <c r="Y153" t="s">
        <v>464</v>
      </c>
      <c r="AB153">
        <v>0</v>
      </c>
      <c r="AC153">
        <v>0</v>
      </c>
      <c r="AE153">
        <v>0.33</v>
      </c>
      <c r="AF153">
        <v>0.125532</v>
      </c>
      <c r="AG153" t="s">
        <v>340</v>
      </c>
      <c r="AH153" t="s">
        <v>341</v>
      </c>
      <c r="AI153">
        <v>6.402132</v>
      </c>
      <c r="AJ153" t="s">
        <v>342</v>
      </c>
      <c r="AK153" t="s">
        <v>353</v>
      </c>
      <c r="AL153">
        <v>2409</v>
      </c>
      <c r="AM153">
        <v>78</v>
      </c>
      <c r="AN153">
        <v>0</v>
      </c>
      <c r="AO153">
        <v>68</v>
      </c>
      <c r="AP153">
        <v>20</v>
      </c>
      <c r="AQ153">
        <v>29.99</v>
      </c>
      <c r="AR153">
        <v>29.99</v>
      </c>
      <c r="AS153">
        <v>73.97</v>
      </c>
      <c r="AT153">
        <v>299.86</v>
      </c>
      <c r="AU153">
        <v>679.67</v>
      </c>
      <c r="AV153">
        <v>0</v>
      </c>
      <c r="AW153">
        <v>0</v>
      </c>
      <c r="AX153">
        <v>0</v>
      </c>
      <c r="AY153">
        <v>2</v>
      </c>
      <c r="AZ153">
        <v>0</v>
      </c>
      <c r="BB153">
        <v>0</v>
      </c>
      <c r="BC153">
        <v>0</v>
      </c>
      <c r="BD153">
        <v>0</v>
      </c>
      <c r="BE153">
        <v>0</v>
      </c>
      <c r="BG153">
        <v>37</v>
      </c>
      <c r="BH153">
        <v>0</v>
      </c>
      <c r="BI153">
        <v>2</v>
      </c>
      <c r="BJ153">
        <v>0.13</v>
      </c>
      <c r="BK153">
        <v>0</v>
      </c>
      <c r="BL153">
        <v>0</v>
      </c>
      <c r="BM153">
        <v>0</v>
      </c>
      <c r="BN153">
        <v>0</v>
      </c>
      <c r="BO153">
        <v>0</v>
      </c>
      <c r="BP153">
        <v>0</v>
      </c>
      <c r="BQ153">
        <v>0</v>
      </c>
      <c r="BR153">
        <v>0</v>
      </c>
      <c r="BS153">
        <v>0</v>
      </c>
      <c r="BT153">
        <v>0</v>
      </c>
      <c r="BU153">
        <v>0</v>
      </c>
      <c r="BV153">
        <v>0</v>
      </c>
      <c r="BW153">
        <v>0</v>
      </c>
      <c r="BX153">
        <v>0</v>
      </c>
      <c r="BY153">
        <v>672.5</v>
      </c>
      <c r="BZ153">
        <v>36</v>
      </c>
      <c r="CA153" t="s">
        <v>360</v>
      </c>
      <c r="CD153" s="5">
        <v>46188</v>
      </c>
      <c r="CE153" t="s">
        <v>345</v>
      </c>
      <c r="CF153" t="s">
        <v>346</v>
      </c>
      <c r="CG153">
        <v>672.5</v>
      </c>
      <c r="CH153">
        <v>256.4</v>
      </c>
      <c r="CI153" s="5">
        <v>46186</v>
      </c>
      <c r="CJ153">
        <v>51</v>
      </c>
      <c r="CK153">
        <v>0</v>
      </c>
      <c r="CL153">
        <v>0</v>
      </c>
      <c r="CM153">
        <v>1</v>
      </c>
      <c r="CN153">
        <v>36</v>
      </c>
      <c r="CO153">
        <v>156</v>
      </c>
      <c r="CP153" t="s">
        <v>347</v>
      </c>
      <c r="CQ153" t="s">
        <v>348</v>
      </c>
    </row>
    <row r="154" spans="1:95">
      <c r="A154" s="5">
        <v>46188</v>
      </c>
      <c r="B154" t="s">
        <v>915</v>
      </c>
      <c r="C154" t="s">
        <v>916</v>
      </c>
      <c r="D154" t="s">
        <v>917</v>
      </c>
      <c r="E154" t="s">
        <v>918</v>
      </c>
      <c r="G154">
        <v>0</v>
      </c>
      <c r="H154">
        <v>-1</v>
      </c>
      <c r="O154" t="s">
        <v>338</v>
      </c>
      <c r="U154">
        <v>0</v>
      </c>
      <c r="V154">
        <v>0</v>
      </c>
      <c r="W154">
        <v>0</v>
      </c>
      <c r="X154">
        <v>0</v>
      </c>
      <c r="Y154" t="s">
        <v>359</v>
      </c>
      <c r="AB154">
        <v>0</v>
      </c>
      <c r="AC154">
        <v>0</v>
      </c>
      <c r="AE154">
        <v>-1</v>
      </c>
      <c r="AH154" t="s">
        <v>341</v>
      </c>
      <c r="AJ154" t="s">
        <v>342</v>
      </c>
      <c r="AK154" t="s">
        <v>353</v>
      </c>
      <c r="AN154">
        <v>0</v>
      </c>
      <c r="AY154">
        <v>0</v>
      </c>
      <c r="BB154">
        <v>0</v>
      </c>
      <c r="BG154">
        <v>0</v>
      </c>
      <c r="BH154">
        <v>0</v>
      </c>
      <c r="CJ154">
        <v>0</v>
      </c>
      <c r="CK154">
        <v>0</v>
      </c>
      <c r="CL154">
        <v>0</v>
      </c>
      <c r="CM154">
        <v>0</v>
      </c>
      <c r="CN154">
        <v>0</v>
      </c>
      <c r="CP154" t="s">
        <v>347</v>
      </c>
      <c r="CQ154" t="s">
        <v>348</v>
      </c>
    </row>
    <row r="155" spans="1:95">
      <c r="A155" s="5">
        <v>46188</v>
      </c>
      <c r="B155" t="s">
        <v>919</v>
      </c>
      <c r="C155" t="s">
        <v>920</v>
      </c>
      <c r="D155" t="s">
        <v>921</v>
      </c>
      <c r="E155" t="s">
        <v>922</v>
      </c>
      <c r="G155">
        <v>0</v>
      </c>
      <c r="H155">
        <v>-1</v>
      </c>
      <c r="O155" t="s">
        <v>338</v>
      </c>
      <c r="U155">
        <v>0</v>
      </c>
      <c r="V155">
        <v>0</v>
      </c>
      <c r="W155">
        <v>0</v>
      </c>
      <c r="X155">
        <v>0</v>
      </c>
      <c r="Y155" t="s">
        <v>359</v>
      </c>
      <c r="AB155">
        <v>0</v>
      </c>
      <c r="AC155">
        <v>0</v>
      </c>
      <c r="AE155">
        <v>-1</v>
      </c>
      <c r="AH155" t="s">
        <v>341</v>
      </c>
      <c r="AJ155" t="s">
        <v>342</v>
      </c>
      <c r="AK155" t="s">
        <v>343</v>
      </c>
      <c r="AN155">
        <v>0</v>
      </c>
      <c r="AQ155">
        <v>16.99</v>
      </c>
      <c r="AY155">
        <v>0</v>
      </c>
      <c r="BB155">
        <v>0</v>
      </c>
      <c r="BC155">
        <v>0</v>
      </c>
      <c r="BD155">
        <v>0</v>
      </c>
      <c r="BE155">
        <v>0</v>
      </c>
      <c r="BG155">
        <v>0</v>
      </c>
      <c r="BH155">
        <v>0</v>
      </c>
      <c r="CJ155">
        <v>0</v>
      </c>
      <c r="CK155">
        <v>0</v>
      </c>
      <c r="CL155">
        <v>0</v>
      </c>
      <c r="CM155">
        <v>0</v>
      </c>
      <c r="CN155">
        <v>0</v>
      </c>
      <c r="CP155" t="s">
        <v>347</v>
      </c>
      <c r="CQ155" t="s">
        <v>348</v>
      </c>
    </row>
    <row r="156" spans="1:95">
      <c r="A156" s="5">
        <v>46188</v>
      </c>
      <c r="B156" t="s">
        <v>923</v>
      </c>
      <c r="C156" t="s">
        <v>924</v>
      </c>
      <c r="D156" t="s">
        <v>925</v>
      </c>
      <c r="E156" t="s">
        <v>926</v>
      </c>
      <c r="F156" t="s">
        <v>337</v>
      </c>
      <c r="H156">
        <v>0</v>
      </c>
      <c r="I156">
        <v>88</v>
      </c>
      <c r="J156">
        <v>0</v>
      </c>
      <c r="K156">
        <v>0</v>
      </c>
      <c r="L156">
        <v>0</v>
      </c>
      <c r="M156">
        <v>0</v>
      </c>
      <c r="N156">
        <v>0</v>
      </c>
      <c r="O156" t="s">
        <v>338</v>
      </c>
      <c r="U156">
        <v>39.99</v>
      </c>
      <c r="V156">
        <v>0</v>
      </c>
      <c r="W156">
        <v>39.99</v>
      </c>
      <c r="X156">
        <v>0</v>
      </c>
      <c r="Y156" t="s">
        <v>359</v>
      </c>
      <c r="AA156">
        <v>0</v>
      </c>
      <c r="AB156">
        <v>0</v>
      </c>
      <c r="AC156">
        <v>0</v>
      </c>
      <c r="AD156">
        <v>0</v>
      </c>
      <c r="AE156">
        <v>2.38</v>
      </c>
      <c r="AF156">
        <v>0.093735</v>
      </c>
      <c r="AG156" t="s">
        <v>340</v>
      </c>
      <c r="AH156" t="s">
        <v>341</v>
      </c>
      <c r="AI156">
        <v>0</v>
      </c>
      <c r="AJ156" t="s">
        <v>342</v>
      </c>
      <c r="AK156" t="s">
        <v>353</v>
      </c>
      <c r="AL156">
        <v>9437</v>
      </c>
      <c r="AM156">
        <v>0</v>
      </c>
      <c r="AN156">
        <v>0</v>
      </c>
      <c r="AQ156">
        <v>19.99</v>
      </c>
      <c r="AV156">
        <v>88</v>
      </c>
      <c r="AW156">
        <v>0</v>
      </c>
      <c r="AX156">
        <v>0</v>
      </c>
      <c r="AY156">
        <v>0</v>
      </c>
      <c r="AZ156">
        <v>0</v>
      </c>
      <c r="BA156">
        <v>5.47</v>
      </c>
      <c r="BB156">
        <v>0</v>
      </c>
      <c r="BG156">
        <v>0</v>
      </c>
      <c r="BY156">
        <v>62.9</v>
      </c>
      <c r="BZ156">
        <v>131</v>
      </c>
      <c r="CB156">
        <v>197</v>
      </c>
      <c r="CC156" s="5">
        <v>46188</v>
      </c>
      <c r="CD156" s="5">
        <v>46188</v>
      </c>
      <c r="CE156" t="s">
        <v>345</v>
      </c>
      <c r="CF156" t="s">
        <v>346</v>
      </c>
      <c r="CG156">
        <v>62.9</v>
      </c>
      <c r="CH156">
        <v>38.6</v>
      </c>
      <c r="CI156" s="5">
        <v>46185</v>
      </c>
      <c r="CJ156">
        <v>0</v>
      </c>
      <c r="CL156">
        <v>0</v>
      </c>
      <c r="CN156">
        <v>0</v>
      </c>
      <c r="CO156">
        <v>0</v>
      </c>
      <c r="CP156" t="s">
        <v>347</v>
      </c>
      <c r="CQ156" t="s">
        <v>348</v>
      </c>
    </row>
    <row r="157" spans="1:95">
      <c r="A157" s="5">
        <v>46188</v>
      </c>
      <c r="B157" t="s">
        <v>927</v>
      </c>
      <c r="C157" t="s">
        <v>928</v>
      </c>
      <c r="D157" t="s">
        <v>929</v>
      </c>
      <c r="E157" t="s">
        <v>930</v>
      </c>
      <c r="G157">
        <v>0</v>
      </c>
      <c r="H157">
        <v>-1</v>
      </c>
      <c r="O157" t="s">
        <v>338</v>
      </c>
      <c r="U157">
        <v>0</v>
      </c>
      <c r="V157">
        <v>0</v>
      </c>
      <c r="W157">
        <v>0</v>
      </c>
      <c r="X157">
        <v>0</v>
      </c>
      <c r="Y157" t="s">
        <v>359</v>
      </c>
      <c r="AB157">
        <v>0</v>
      </c>
      <c r="AC157">
        <v>0</v>
      </c>
      <c r="AE157">
        <v>-1</v>
      </c>
      <c r="AH157" t="s">
        <v>377</v>
      </c>
      <c r="AJ157" t="s">
        <v>342</v>
      </c>
      <c r="AK157" t="s">
        <v>465</v>
      </c>
      <c r="AN157">
        <v>0</v>
      </c>
      <c r="AY157">
        <v>0</v>
      </c>
      <c r="BB157">
        <v>0</v>
      </c>
      <c r="BG157">
        <v>0</v>
      </c>
      <c r="BH157">
        <v>0</v>
      </c>
      <c r="CJ157">
        <v>0</v>
      </c>
      <c r="CK157">
        <v>0</v>
      </c>
      <c r="CL157">
        <v>0</v>
      </c>
      <c r="CM157">
        <v>0</v>
      </c>
      <c r="CN157">
        <v>0</v>
      </c>
      <c r="CP157" t="s">
        <v>347</v>
      </c>
      <c r="CQ157" t="s">
        <v>348</v>
      </c>
    </row>
    <row r="158" spans="1:95">
      <c r="A158" s="5">
        <v>46188</v>
      </c>
      <c r="B158" t="s">
        <v>931</v>
      </c>
      <c r="C158" t="s">
        <v>20</v>
      </c>
      <c r="D158" t="s">
        <v>22</v>
      </c>
      <c r="E158" t="s">
        <v>612</v>
      </c>
      <c r="F158" t="s">
        <v>337</v>
      </c>
      <c r="G158">
        <v>16</v>
      </c>
      <c r="H158">
        <v>0</v>
      </c>
      <c r="I158">
        <v>0</v>
      </c>
      <c r="J158">
        <v>16</v>
      </c>
      <c r="K158">
        <v>0</v>
      </c>
      <c r="L158">
        <v>0</v>
      </c>
      <c r="M158">
        <v>0</v>
      </c>
      <c r="N158">
        <v>0</v>
      </c>
      <c r="O158" t="s">
        <v>338</v>
      </c>
      <c r="T158" t="s">
        <v>351</v>
      </c>
      <c r="U158">
        <v>43.39</v>
      </c>
      <c r="V158">
        <v>0</v>
      </c>
      <c r="W158">
        <v>35.99</v>
      </c>
      <c r="X158">
        <v>0</v>
      </c>
      <c r="Y158" t="s">
        <v>391</v>
      </c>
      <c r="AA158">
        <v>38.99</v>
      </c>
      <c r="AB158">
        <v>9</v>
      </c>
      <c r="AC158">
        <v>0</v>
      </c>
      <c r="AD158">
        <v>782.35</v>
      </c>
      <c r="AE158">
        <v>0</v>
      </c>
      <c r="AF158">
        <v>0.270031</v>
      </c>
      <c r="AG158" t="s">
        <v>340</v>
      </c>
      <c r="AH158" t="s">
        <v>341</v>
      </c>
      <c r="AI158">
        <v>4.320496</v>
      </c>
      <c r="AJ158" t="s">
        <v>342</v>
      </c>
      <c r="AK158" t="s">
        <v>343</v>
      </c>
      <c r="AL158">
        <v>680561</v>
      </c>
      <c r="AM158">
        <v>196</v>
      </c>
      <c r="AN158">
        <v>14</v>
      </c>
      <c r="AQ158">
        <v>35.99</v>
      </c>
      <c r="AV158">
        <v>0</v>
      </c>
      <c r="AW158">
        <v>0</v>
      </c>
      <c r="AX158">
        <v>0</v>
      </c>
      <c r="AY158">
        <v>0</v>
      </c>
      <c r="AZ158">
        <v>0</v>
      </c>
      <c r="BA158">
        <v>3.09</v>
      </c>
      <c r="BB158">
        <v>0</v>
      </c>
      <c r="BC158">
        <v>0</v>
      </c>
      <c r="BD158">
        <v>0</v>
      </c>
      <c r="BE158">
        <v>0</v>
      </c>
      <c r="BG158">
        <v>0</v>
      </c>
      <c r="BH158">
        <v>0</v>
      </c>
      <c r="CA158" t="s">
        <v>354</v>
      </c>
      <c r="CI158" s="5">
        <v>46186</v>
      </c>
      <c r="CJ158">
        <v>16</v>
      </c>
      <c r="CK158">
        <v>0</v>
      </c>
      <c r="CL158">
        <v>0</v>
      </c>
      <c r="CM158">
        <v>0</v>
      </c>
      <c r="CN158">
        <v>0</v>
      </c>
      <c r="CO158">
        <v>196</v>
      </c>
      <c r="CP158" t="s">
        <v>347</v>
      </c>
      <c r="CQ158" t="s">
        <v>348</v>
      </c>
    </row>
    <row r="159" spans="1:95">
      <c r="A159" s="5">
        <v>46188</v>
      </c>
      <c r="B159" t="s">
        <v>932</v>
      </c>
      <c r="C159" t="s">
        <v>933</v>
      </c>
      <c r="D159" t="s">
        <v>934</v>
      </c>
      <c r="E159" t="s">
        <v>935</v>
      </c>
      <c r="F159" t="s">
        <v>337</v>
      </c>
      <c r="G159">
        <v>14</v>
      </c>
      <c r="H159">
        <v>0</v>
      </c>
      <c r="I159">
        <v>14</v>
      </c>
      <c r="J159">
        <v>0</v>
      </c>
      <c r="K159">
        <v>0</v>
      </c>
      <c r="L159">
        <v>0</v>
      </c>
      <c r="M159">
        <v>0</v>
      </c>
      <c r="N159">
        <v>0</v>
      </c>
      <c r="O159" t="s">
        <v>338</v>
      </c>
      <c r="P159">
        <v>0</v>
      </c>
      <c r="Q159">
        <v>0</v>
      </c>
      <c r="R159">
        <v>0</v>
      </c>
      <c r="S159">
        <v>0</v>
      </c>
      <c r="T159" t="s">
        <v>351</v>
      </c>
      <c r="U159">
        <v>49.99</v>
      </c>
      <c r="V159">
        <v>0</v>
      </c>
      <c r="W159">
        <v>32.49</v>
      </c>
      <c r="X159">
        <v>0</v>
      </c>
      <c r="Y159" t="s">
        <v>391</v>
      </c>
      <c r="AA159">
        <v>0</v>
      </c>
      <c r="AB159">
        <v>0</v>
      </c>
      <c r="AC159">
        <v>0</v>
      </c>
      <c r="AD159">
        <v>802.39</v>
      </c>
      <c r="AE159">
        <v>0</v>
      </c>
      <c r="AF159">
        <v>0.145355</v>
      </c>
      <c r="AG159" t="s">
        <v>340</v>
      </c>
      <c r="AH159" t="s">
        <v>341</v>
      </c>
      <c r="AI159">
        <v>2.03497</v>
      </c>
      <c r="AJ159" t="s">
        <v>342</v>
      </c>
      <c r="AK159" t="s">
        <v>353</v>
      </c>
      <c r="AN159">
        <v>0</v>
      </c>
      <c r="AQ159">
        <v>32.49</v>
      </c>
      <c r="AR159">
        <v>0</v>
      </c>
      <c r="AS159">
        <v>0</v>
      </c>
      <c r="AT159">
        <v>0</v>
      </c>
      <c r="AU159">
        <v>0</v>
      </c>
      <c r="AV159">
        <v>0</v>
      </c>
      <c r="AW159">
        <v>14</v>
      </c>
      <c r="AX159">
        <v>0</v>
      </c>
      <c r="AY159">
        <v>0</v>
      </c>
      <c r="AZ159">
        <v>0</v>
      </c>
      <c r="BA159">
        <v>6.79</v>
      </c>
      <c r="BB159">
        <v>0</v>
      </c>
      <c r="BC159">
        <v>0</v>
      </c>
      <c r="BD159">
        <v>0</v>
      </c>
      <c r="BE159">
        <v>0</v>
      </c>
      <c r="BG159">
        <v>0</v>
      </c>
      <c r="BH159">
        <v>0</v>
      </c>
      <c r="CI159" s="5">
        <v>46186</v>
      </c>
      <c r="CJ159">
        <v>14</v>
      </c>
      <c r="CK159">
        <v>0</v>
      </c>
      <c r="CL159">
        <v>0</v>
      </c>
      <c r="CM159">
        <v>0</v>
      </c>
      <c r="CN159">
        <v>0</v>
      </c>
      <c r="CP159" t="s">
        <v>347</v>
      </c>
      <c r="CQ159" t="s">
        <v>348</v>
      </c>
    </row>
    <row r="160" spans="1:95">
      <c r="A160" s="5">
        <v>46188</v>
      </c>
      <c r="B160" t="s">
        <v>936</v>
      </c>
      <c r="C160" t="s">
        <v>937</v>
      </c>
      <c r="D160" t="s">
        <v>938</v>
      </c>
      <c r="E160" t="s">
        <v>939</v>
      </c>
      <c r="G160">
        <v>0</v>
      </c>
      <c r="H160">
        <v>-1</v>
      </c>
      <c r="O160" t="s">
        <v>338</v>
      </c>
      <c r="U160">
        <v>0</v>
      </c>
      <c r="V160">
        <v>0</v>
      </c>
      <c r="W160">
        <v>0</v>
      </c>
      <c r="X160">
        <v>0</v>
      </c>
      <c r="Y160" t="s">
        <v>359</v>
      </c>
      <c r="AB160">
        <v>0</v>
      </c>
      <c r="AC160">
        <v>0</v>
      </c>
      <c r="AE160">
        <v>-1</v>
      </c>
      <c r="AH160" t="s">
        <v>341</v>
      </c>
      <c r="AJ160" t="s">
        <v>342</v>
      </c>
      <c r="AK160" t="s">
        <v>353</v>
      </c>
      <c r="AL160">
        <v>359544</v>
      </c>
      <c r="AM160">
        <v>0</v>
      </c>
      <c r="AN160">
        <v>0</v>
      </c>
      <c r="AQ160">
        <v>33.99</v>
      </c>
      <c r="AY160">
        <v>0</v>
      </c>
      <c r="BB160">
        <v>0</v>
      </c>
      <c r="BG160">
        <v>0</v>
      </c>
      <c r="BH160">
        <v>0</v>
      </c>
      <c r="CB160">
        <v>12</v>
      </c>
      <c r="CC160" s="5">
        <v>46186</v>
      </c>
      <c r="CJ160">
        <v>0</v>
      </c>
      <c r="CK160">
        <v>0</v>
      </c>
      <c r="CL160">
        <v>0</v>
      </c>
      <c r="CM160">
        <v>0</v>
      </c>
      <c r="CN160">
        <v>0</v>
      </c>
      <c r="CO160">
        <v>0</v>
      </c>
      <c r="CP160" t="s">
        <v>347</v>
      </c>
      <c r="CQ160" t="s">
        <v>348</v>
      </c>
    </row>
    <row r="161" spans="1:95">
      <c r="A161" s="5">
        <v>46188</v>
      </c>
      <c r="B161" t="s">
        <v>940</v>
      </c>
      <c r="C161" t="s">
        <v>941</v>
      </c>
      <c r="D161" t="s">
        <v>942</v>
      </c>
      <c r="E161" t="s">
        <v>943</v>
      </c>
      <c r="F161" t="s">
        <v>337</v>
      </c>
      <c r="G161">
        <v>0</v>
      </c>
      <c r="H161">
        <v>-1</v>
      </c>
      <c r="O161" t="s">
        <v>338</v>
      </c>
      <c r="P161">
        <v>0</v>
      </c>
      <c r="Q161">
        <v>0</v>
      </c>
      <c r="R161">
        <v>0</v>
      </c>
      <c r="S161">
        <v>0</v>
      </c>
      <c r="U161">
        <v>17.99</v>
      </c>
      <c r="V161">
        <v>0</v>
      </c>
      <c r="W161">
        <v>0</v>
      </c>
      <c r="X161">
        <v>0</v>
      </c>
      <c r="Y161" t="s">
        <v>372</v>
      </c>
      <c r="AB161">
        <v>0</v>
      </c>
      <c r="AC161">
        <v>0</v>
      </c>
      <c r="AE161">
        <v>-1</v>
      </c>
      <c r="AH161" t="s">
        <v>341</v>
      </c>
      <c r="AJ161" t="s">
        <v>342</v>
      </c>
      <c r="AK161" t="s">
        <v>465</v>
      </c>
      <c r="AM161">
        <v>0</v>
      </c>
      <c r="AN161">
        <v>0</v>
      </c>
      <c r="AQ161">
        <v>14.99</v>
      </c>
      <c r="AR161">
        <v>0</v>
      </c>
      <c r="AS161">
        <v>0</v>
      </c>
      <c r="AT161">
        <v>0</v>
      </c>
      <c r="AU161">
        <v>0</v>
      </c>
      <c r="AY161">
        <v>0</v>
      </c>
      <c r="BB161">
        <v>50</v>
      </c>
      <c r="BC161">
        <v>50</v>
      </c>
      <c r="BD161">
        <v>0</v>
      </c>
      <c r="BE161">
        <v>0</v>
      </c>
      <c r="BG161">
        <v>0</v>
      </c>
      <c r="BH161">
        <v>0</v>
      </c>
      <c r="BZ161">
        <v>37</v>
      </c>
      <c r="CA161" t="s">
        <v>429</v>
      </c>
      <c r="CB161">
        <v>20</v>
      </c>
      <c r="CC161" s="5">
        <v>46194</v>
      </c>
      <c r="CJ161">
        <v>50</v>
      </c>
      <c r="CK161">
        <v>0</v>
      </c>
      <c r="CL161">
        <v>0</v>
      </c>
      <c r="CM161">
        <v>0</v>
      </c>
      <c r="CN161">
        <v>0</v>
      </c>
      <c r="CO161">
        <v>366</v>
      </c>
      <c r="CP161" t="s">
        <v>347</v>
      </c>
      <c r="CQ161" t="s">
        <v>348</v>
      </c>
    </row>
    <row r="162" spans="1:95">
      <c r="A162" s="5">
        <v>46188</v>
      </c>
      <c r="B162" t="s">
        <v>944</v>
      </c>
      <c r="C162" t="s">
        <v>218</v>
      </c>
      <c r="D162" t="s">
        <v>945</v>
      </c>
      <c r="E162" t="s">
        <v>946</v>
      </c>
      <c r="F162" t="s">
        <v>337</v>
      </c>
      <c r="G162">
        <v>118</v>
      </c>
      <c r="H162">
        <v>0</v>
      </c>
      <c r="I162">
        <v>145</v>
      </c>
      <c r="J162">
        <v>0</v>
      </c>
      <c r="K162">
        <v>0</v>
      </c>
      <c r="L162">
        <v>0</v>
      </c>
      <c r="M162">
        <v>0</v>
      </c>
      <c r="N162">
        <v>0</v>
      </c>
      <c r="O162" t="s">
        <v>338</v>
      </c>
      <c r="P162">
        <v>20</v>
      </c>
      <c r="Q162">
        <v>70</v>
      </c>
      <c r="R162">
        <v>110</v>
      </c>
      <c r="S162">
        <v>164</v>
      </c>
      <c r="U162">
        <v>29.99</v>
      </c>
      <c r="V162">
        <v>0</v>
      </c>
      <c r="W162">
        <v>23.99</v>
      </c>
      <c r="X162">
        <v>0</v>
      </c>
      <c r="Y162" t="s">
        <v>464</v>
      </c>
      <c r="AA162">
        <v>0</v>
      </c>
      <c r="AB162">
        <v>0</v>
      </c>
      <c r="AC162">
        <v>0</v>
      </c>
      <c r="AD162">
        <v>0</v>
      </c>
      <c r="AE162">
        <v>1.29</v>
      </c>
      <c r="AF162">
        <v>0.181373</v>
      </c>
      <c r="AG162" t="s">
        <v>340</v>
      </c>
      <c r="AH162" t="s">
        <v>341</v>
      </c>
      <c r="AI162">
        <v>21.402014</v>
      </c>
      <c r="AJ162" t="s">
        <v>342</v>
      </c>
      <c r="AK162" t="s">
        <v>353</v>
      </c>
      <c r="AL162">
        <v>26497</v>
      </c>
      <c r="AM162">
        <v>75</v>
      </c>
      <c r="AN162">
        <v>0</v>
      </c>
      <c r="AO162">
        <v>11</v>
      </c>
      <c r="AP162">
        <v>15</v>
      </c>
      <c r="AQ162">
        <v>29.99</v>
      </c>
      <c r="AR162">
        <v>479.8</v>
      </c>
      <c r="AS162">
        <v>1679.3</v>
      </c>
      <c r="AT162">
        <v>2610.9</v>
      </c>
      <c r="AU162">
        <v>3821.54</v>
      </c>
      <c r="AV162">
        <v>45</v>
      </c>
      <c r="AW162">
        <v>100</v>
      </c>
      <c r="AX162">
        <v>0</v>
      </c>
      <c r="AY162">
        <v>0</v>
      </c>
      <c r="AZ162">
        <v>0</v>
      </c>
      <c r="BA162">
        <v>21.58</v>
      </c>
      <c r="BB162">
        <v>79</v>
      </c>
      <c r="BC162">
        <v>30</v>
      </c>
      <c r="BD162">
        <v>49</v>
      </c>
      <c r="BE162">
        <v>0</v>
      </c>
      <c r="BG162">
        <v>3</v>
      </c>
      <c r="BH162">
        <v>1</v>
      </c>
      <c r="BY162">
        <v>72.3</v>
      </c>
      <c r="BZ162">
        <v>173</v>
      </c>
      <c r="CA162" t="s">
        <v>344</v>
      </c>
      <c r="CB162">
        <v>189</v>
      </c>
      <c r="CC162" s="5">
        <v>46195</v>
      </c>
      <c r="CD162" s="5">
        <v>46188</v>
      </c>
      <c r="CE162" t="s">
        <v>346</v>
      </c>
      <c r="CF162" t="s">
        <v>346</v>
      </c>
      <c r="CG162">
        <v>72.3</v>
      </c>
      <c r="CH162">
        <v>66.4</v>
      </c>
      <c r="CI162" s="5">
        <v>46186</v>
      </c>
      <c r="CJ162">
        <v>222</v>
      </c>
      <c r="CK162">
        <v>25</v>
      </c>
      <c r="CL162">
        <v>3</v>
      </c>
      <c r="CM162">
        <v>0</v>
      </c>
      <c r="CN162">
        <v>0</v>
      </c>
      <c r="CO162">
        <v>90</v>
      </c>
      <c r="CP162" t="s">
        <v>347</v>
      </c>
      <c r="CQ162" t="s">
        <v>348</v>
      </c>
    </row>
    <row r="163" spans="1:95">
      <c r="A163" s="5">
        <v>46188</v>
      </c>
      <c r="B163" t="s">
        <v>947</v>
      </c>
      <c r="C163" t="s">
        <v>948</v>
      </c>
      <c r="D163" t="s">
        <v>949</v>
      </c>
      <c r="E163" t="s">
        <v>950</v>
      </c>
      <c r="F163" t="s">
        <v>337</v>
      </c>
      <c r="G163">
        <v>24</v>
      </c>
      <c r="H163">
        <v>-1</v>
      </c>
      <c r="O163" t="s">
        <v>338</v>
      </c>
      <c r="P163">
        <v>0</v>
      </c>
      <c r="Q163">
        <v>1</v>
      </c>
      <c r="R163">
        <v>1</v>
      </c>
      <c r="S163">
        <v>4</v>
      </c>
      <c r="U163">
        <v>24.99</v>
      </c>
      <c r="V163">
        <v>17.99</v>
      </c>
      <c r="W163">
        <v>0</v>
      </c>
      <c r="X163">
        <v>0</v>
      </c>
      <c r="Y163" t="s">
        <v>352</v>
      </c>
      <c r="AA163">
        <v>11.79</v>
      </c>
      <c r="AB163">
        <v>2</v>
      </c>
      <c r="AC163">
        <v>0</v>
      </c>
      <c r="AD163">
        <v>627.45</v>
      </c>
      <c r="AE163">
        <v>-1</v>
      </c>
      <c r="AH163" t="s">
        <v>341</v>
      </c>
      <c r="AJ163" t="s">
        <v>342</v>
      </c>
      <c r="AK163" t="s">
        <v>353</v>
      </c>
      <c r="AL163">
        <v>409152</v>
      </c>
      <c r="AM163">
        <v>232</v>
      </c>
      <c r="AN163">
        <v>0</v>
      </c>
      <c r="AO163">
        <v>96</v>
      </c>
      <c r="AP163">
        <v>78</v>
      </c>
      <c r="AQ163">
        <v>17.99</v>
      </c>
      <c r="AR163">
        <v>0</v>
      </c>
      <c r="AS163">
        <v>17.99</v>
      </c>
      <c r="AT163">
        <v>17.99</v>
      </c>
      <c r="AU163">
        <v>82.82</v>
      </c>
      <c r="AY163">
        <v>0</v>
      </c>
      <c r="BA163">
        <v>3.51</v>
      </c>
      <c r="BB163">
        <v>0</v>
      </c>
      <c r="BC163">
        <v>0</v>
      </c>
      <c r="BD163">
        <v>0</v>
      </c>
      <c r="BE163">
        <v>0</v>
      </c>
      <c r="BG163">
        <v>0</v>
      </c>
      <c r="BH163">
        <v>0</v>
      </c>
      <c r="BY163">
        <v>749</v>
      </c>
      <c r="BZ163">
        <v>4</v>
      </c>
      <c r="CA163" t="s">
        <v>360</v>
      </c>
      <c r="CD163" s="5">
        <v>46188</v>
      </c>
      <c r="CE163" t="s">
        <v>345</v>
      </c>
      <c r="CF163" t="s">
        <v>346</v>
      </c>
      <c r="CG163">
        <v>749</v>
      </c>
      <c r="CH163">
        <v>470</v>
      </c>
      <c r="CJ163">
        <v>24</v>
      </c>
      <c r="CK163">
        <v>0</v>
      </c>
      <c r="CL163">
        <v>0</v>
      </c>
      <c r="CM163">
        <v>0</v>
      </c>
      <c r="CN163">
        <v>0</v>
      </c>
      <c r="CO163">
        <v>232</v>
      </c>
      <c r="CP163" t="s">
        <v>347</v>
      </c>
      <c r="CQ163" t="s">
        <v>348</v>
      </c>
    </row>
    <row r="164" spans="1:95">
      <c r="A164" s="5">
        <v>46188</v>
      </c>
      <c r="B164" t="s">
        <v>951</v>
      </c>
      <c r="C164" t="s">
        <v>952</v>
      </c>
      <c r="D164" t="s">
        <v>953</v>
      </c>
      <c r="E164" t="s">
        <v>954</v>
      </c>
      <c r="G164">
        <v>0</v>
      </c>
      <c r="H164">
        <v>-1</v>
      </c>
      <c r="O164" t="s">
        <v>338</v>
      </c>
      <c r="U164">
        <v>0</v>
      </c>
      <c r="V164">
        <v>0</v>
      </c>
      <c r="W164">
        <v>0</v>
      </c>
      <c r="X164">
        <v>0</v>
      </c>
      <c r="Y164" t="s">
        <v>359</v>
      </c>
      <c r="AB164">
        <v>0</v>
      </c>
      <c r="AC164">
        <v>0</v>
      </c>
      <c r="AE164">
        <v>-1</v>
      </c>
      <c r="AH164" t="s">
        <v>341</v>
      </c>
      <c r="AJ164" t="s">
        <v>342</v>
      </c>
      <c r="AK164" t="s">
        <v>353</v>
      </c>
      <c r="AN164">
        <v>0</v>
      </c>
      <c r="AY164">
        <v>0</v>
      </c>
      <c r="BB164">
        <v>0</v>
      </c>
      <c r="BG164">
        <v>0</v>
      </c>
      <c r="BH164">
        <v>0</v>
      </c>
      <c r="CJ164">
        <v>0</v>
      </c>
      <c r="CK164">
        <v>0</v>
      </c>
      <c r="CL164">
        <v>0</v>
      </c>
      <c r="CM164">
        <v>0</v>
      </c>
      <c r="CN164">
        <v>0</v>
      </c>
      <c r="CP164" t="s">
        <v>347</v>
      </c>
      <c r="CQ164" t="s">
        <v>348</v>
      </c>
    </row>
    <row r="165" spans="1:95">
      <c r="A165" s="5">
        <v>46188</v>
      </c>
      <c r="B165" t="s">
        <v>955</v>
      </c>
      <c r="C165" t="s">
        <v>956</v>
      </c>
      <c r="D165" t="s">
        <v>957</v>
      </c>
      <c r="E165" t="s">
        <v>958</v>
      </c>
      <c r="G165">
        <v>0</v>
      </c>
      <c r="H165">
        <v>-1</v>
      </c>
      <c r="O165" t="s">
        <v>338</v>
      </c>
      <c r="U165">
        <v>0</v>
      </c>
      <c r="V165">
        <v>0</v>
      </c>
      <c r="W165">
        <v>0</v>
      </c>
      <c r="X165">
        <v>0</v>
      </c>
      <c r="Y165" t="s">
        <v>359</v>
      </c>
      <c r="AB165">
        <v>0</v>
      </c>
      <c r="AC165">
        <v>0</v>
      </c>
      <c r="AE165">
        <v>-1</v>
      </c>
      <c r="AH165" t="s">
        <v>341</v>
      </c>
      <c r="AJ165" t="s">
        <v>342</v>
      </c>
      <c r="AK165" t="s">
        <v>959</v>
      </c>
      <c r="AN165">
        <v>0</v>
      </c>
      <c r="AQ165">
        <v>3.99</v>
      </c>
      <c r="AY165">
        <v>0</v>
      </c>
      <c r="BB165">
        <v>0</v>
      </c>
      <c r="BC165">
        <v>0</v>
      </c>
      <c r="BD165">
        <v>0</v>
      </c>
      <c r="BE165">
        <v>0</v>
      </c>
      <c r="BG165">
        <v>0</v>
      </c>
      <c r="BH165">
        <v>0</v>
      </c>
      <c r="CJ165">
        <v>0</v>
      </c>
      <c r="CK165">
        <v>0</v>
      </c>
      <c r="CL165">
        <v>0</v>
      </c>
      <c r="CM165">
        <v>0</v>
      </c>
      <c r="CN165">
        <v>0</v>
      </c>
      <c r="CP165" t="s">
        <v>347</v>
      </c>
      <c r="CQ165" t="s">
        <v>348</v>
      </c>
    </row>
    <row r="166" spans="1:95">
      <c r="A166" s="5">
        <v>46188</v>
      </c>
      <c r="B166" t="s">
        <v>960</v>
      </c>
      <c r="C166" t="s">
        <v>108</v>
      </c>
      <c r="D166" t="s">
        <v>961</v>
      </c>
      <c r="E166" t="s">
        <v>497</v>
      </c>
      <c r="G166">
        <v>0</v>
      </c>
      <c r="H166">
        <v>-1</v>
      </c>
      <c r="O166" t="s">
        <v>338</v>
      </c>
      <c r="U166">
        <v>0</v>
      </c>
      <c r="V166">
        <v>0</v>
      </c>
      <c r="W166">
        <v>0</v>
      </c>
      <c r="X166">
        <v>0</v>
      </c>
      <c r="Y166" t="s">
        <v>359</v>
      </c>
      <c r="AB166">
        <v>0</v>
      </c>
      <c r="AC166">
        <v>0</v>
      </c>
      <c r="AE166">
        <v>-1</v>
      </c>
      <c r="AH166" t="s">
        <v>341</v>
      </c>
      <c r="AJ166" t="s">
        <v>342</v>
      </c>
      <c r="AK166" t="s">
        <v>343</v>
      </c>
      <c r="AL166">
        <v>32209</v>
      </c>
      <c r="AM166">
        <v>0</v>
      </c>
      <c r="AN166">
        <v>0</v>
      </c>
      <c r="AQ166">
        <v>34.99</v>
      </c>
      <c r="AY166">
        <v>0</v>
      </c>
      <c r="BB166">
        <v>0</v>
      </c>
      <c r="BC166">
        <v>0</v>
      </c>
      <c r="BD166">
        <v>0</v>
      </c>
      <c r="BE166">
        <v>0</v>
      </c>
      <c r="BG166">
        <v>0</v>
      </c>
      <c r="BH166">
        <v>0</v>
      </c>
      <c r="BZ166">
        <v>1</v>
      </c>
      <c r="CA166" t="s">
        <v>429</v>
      </c>
      <c r="CB166">
        <v>231</v>
      </c>
      <c r="CC166" s="5">
        <v>46188</v>
      </c>
      <c r="CJ166">
        <v>0</v>
      </c>
      <c r="CK166">
        <v>0</v>
      </c>
      <c r="CL166">
        <v>0</v>
      </c>
      <c r="CM166">
        <v>0</v>
      </c>
      <c r="CN166">
        <v>0</v>
      </c>
      <c r="CO166">
        <v>0</v>
      </c>
      <c r="CP166" t="s">
        <v>347</v>
      </c>
      <c r="CQ166" t="s">
        <v>348</v>
      </c>
    </row>
    <row r="167" spans="1:95">
      <c r="A167" s="5">
        <v>46188</v>
      </c>
      <c r="B167" t="s">
        <v>962</v>
      </c>
      <c r="C167" t="s">
        <v>15</v>
      </c>
      <c r="D167" t="s">
        <v>51</v>
      </c>
      <c r="E167" t="s">
        <v>963</v>
      </c>
      <c r="F167" t="s">
        <v>337</v>
      </c>
      <c r="G167">
        <v>17</v>
      </c>
      <c r="H167">
        <v>0</v>
      </c>
      <c r="I167">
        <v>12</v>
      </c>
      <c r="J167">
        <v>0</v>
      </c>
      <c r="K167">
        <v>0</v>
      </c>
      <c r="L167">
        <v>0</v>
      </c>
      <c r="M167">
        <v>5</v>
      </c>
      <c r="N167">
        <v>0</v>
      </c>
      <c r="O167" t="s">
        <v>338</v>
      </c>
      <c r="P167">
        <v>0</v>
      </c>
      <c r="Q167">
        <v>0</v>
      </c>
      <c r="R167">
        <v>2</v>
      </c>
      <c r="S167">
        <v>6</v>
      </c>
      <c r="T167" t="s">
        <v>351</v>
      </c>
      <c r="U167">
        <v>25.74</v>
      </c>
      <c r="V167">
        <v>0</v>
      </c>
      <c r="W167">
        <v>19.99</v>
      </c>
      <c r="X167">
        <v>0</v>
      </c>
      <c r="Y167" t="s">
        <v>339</v>
      </c>
      <c r="AA167">
        <v>0</v>
      </c>
      <c r="AB167">
        <v>0</v>
      </c>
      <c r="AC167">
        <v>0</v>
      </c>
      <c r="AD167">
        <v>596.17</v>
      </c>
      <c r="AE167">
        <v>0.39</v>
      </c>
      <c r="AF167">
        <v>0.109433</v>
      </c>
      <c r="AG167" t="s">
        <v>340</v>
      </c>
      <c r="AH167" t="s">
        <v>341</v>
      </c>
      <c r="AI167">
        <v>1.860361</v>
      </c>
      <c r="AJ167" t="s">
        <v>342</v>
      </c>
      <c r="AK167" t="s">
        <v>353</v>
      </c>
      <c r="AL167">
        <v>238733</v>
      </c>
      <c r="AM167">
        <v>192</v>
      </c>
      <c r="AN167">
        <v>5</v>
      </c>
      <c r="AP167">
        <v>36</v>
      </c>
      <c r="AQ167">
        <v>25.74</v>
      </c>
      <c r="AR167">
        <v>0</v>
      </c>
      <c r="AS167">
        <v>0</v>
      </c>
      <c r="AT167">
        <v>36.56</v>
      </c>
      <c r="AU167">
        <v>117.14</v>
      </c>
      <c r="AV167">
        <v>0</v>
      </c>
      <c r="AW167">
        <v>12</v>
      </c>
      <c r="AX167">
        <v>0</v>
      </c>
      <c r="AY167">
        <v>0</v>
      </c>
      <c r="AZ167">
        <v>0</v>
      </c>
      <c r="BA167">
        <v>5.07</v>
      </c>
      <c r="BB167">
        <v>0</v>
      </c>
      <c r="BC167">
        <v>0</v>
      </c>
      <c r="BD167">
        <v>0</v>
      </c>
      <c r="BE167">
        <v>0</v>
      </c>
      <c r="BG167">
        <v>0</v>
      </c>
      <c r="BH167">
        <v>0</v>
      </c>
      <c r="BI167">
        <v>0</v>
      </c>
      <c r="BJ167">
        <v>0</v>
      </c>
      <c r="BK167">
        <v>0</v>
      </c>
      <c r="BL167">
        <v>0</v>
      </c>
      <c r="BM167">
        <v>0</v>
      </c>
      <c r="BN167">
        <v>0</v>
      </c>
      <c r="BO167">
        <v>0</v>
      </c>
      <c r="BP167">
        <v>0</v>
      </c>
      <c r="BQ167">
        <v>0</v>
      </c>
      <c r="BR167">
        <v>0</v>
      </c>
      <c r="BS167">
        <v>0</v>
      </c>
      <c r="BT167">
        <v>0</v>
      </c>
      <c r="BU167">
        <v>5</v>
      </c>
      <c r="BV167">
        <v>3.79</v>
      </c>
      <c r="BW167">
        <v>0</v>
      </c>
      <c r="BX167">
        <v>0</v>
      </c>
      <c r="BZ167">
        <v>6</v>
      </c>
      <c r="CA167" t="s">
        <v>354</v>
      </c>
      <c r="CH167">
        <v>219.8</v>
      </c>
      <c r="CI167" s="5">
        <v>46186</v>
      </c>
      <c r="CJ167">
        <v>17</v>
      </c>
      <c r="CK167">
        <v>0</v>
      </c>
      <c r="CL167">
        <v>0</v>
      </c>
      <c r="CM167">
        <v>0</v>
      </c>
      <c r="CN167">
        <v>0</v>
      </c>
      <c r="CO167">
        <v>192</v>
      </c>
      <c r="CP167" t="s">
        <v>347</v>
      </c>
      <c r="CQ167" t="s">
        <v>348</v>
      </c>
    </row>
    <row r="168" spans="1:95">
      <c r="A168" s="5">
        <v>46188</v>
      </c>
      <c r="B168" t="s">
        <v>964</v>
      </c>
      <c r="C168" t="s">
        <v>113</v>
      </c>
      <c r="D168" t="s">
        <v>965</v>
      </c>
      <c r="E168" t="s">
        <v>579</v>
      </c>
      <c r="G168">
        <v>0</v>
      </c>
      <c r="H168">
        <v>-1</v>
      </c>
      <c r="O168" t="s">
        <v>338</v>
      </c>
      <c r="P168">
        <v>0</v>
      </c>
      <c r="Q168">
        <v>0</v>
      </c>
      <c r="R168">
        <v>0</v>
      </c>
      <c r="S168">
        <v>0</v>
      </c>
      <c r="U168">
        <v>0</v>
      </c>
      <c r="V168">
        <v>0</v>
      </c>
      <c r="W168">
        <v>0</v>
      </c>
      <c r="X168">
        <v>0</v>
      </c>
      <c r="Y168" t="s">
        <v>359</v>
      </c>
      <c r="AB168">
        <v>0</v>
      </c>
      <c r="AC168">
        <v>0</v>
      </c>
      <c r="AE168">
        <v>-1</v>
      </c>
      <c r="AH168" t="s">
        <v>341</v>
      </c>
      <c r="AJ168" t="s">
        <v>342</v>
      </c>
      <c r="AK168" t="s">
        <v>343</v>
      </c>
      <c r="AL168">
        <v>32209</v>
      </c>
      <c r="AM168">
        <v>0</v>
      </c>
      <c r="AN168">
        <v>0</v>
      </c>
      <c r="AQ168">
        <v>39.99</v>
      </c>
      <c r="AR168">
        <v>0</v>
      </c>
      <c r="AS168">
        <v>0</v>
      </c>
      <c r="AT168">
        <v>0</v>
      </c>
      <c r="AU168">
        <v>0</v>
      </c>
      <c r="AY168">
        <v>0</v>
      </c>
      <c r="BB168">
        <v>0</v>
      </c>
      <c r="BC168">
        <v>0</v>
      </c>
      <c r="BD168">
        <v>0</v>
      </c>
      <c r="BE168">
        <v>0</v>
      </c>
      <c r="BG168">
        <v>0</v>
      </c>
      <c r="BH168">
        <v>0</v>
      </c>
      <c r="BZ168">
        <v>1</v>
      </c>
      <c r="CA168" t="s">
        <v>429</v>
      </c>
      <c r="CB168">
        <v>50</v>
      </c>
      <c r="CC168" s="5">
        <v>46188</v>
      </c>
      <c r="CJ168">
        <v>0</v>
      </c>
      <c r="CK168">
        <v>0</v>
      </c>
      <c r="CL168">
        <v>0</v>
      </c>
      <c r="CM168">
        <v>0</v>
      </c>
      <c r="CN168">
        <v>0</v>
      </c>
      <c r="CO168">
        <v>0</v>
      </c>
      <c r="CP168" t="s">
        <v>347</v>
      </c>
      <c r="CQ168" t="s">
        <v>348</v>
      </c>
    </row>
    <row r="169" spans="1:95">
      <c r="A169" s="5">
        <v>46188</v>
      </c>
      <c r="B169" t="s">
        <v>966</v>
      </c>
      <c r="C169" t="s">
        <v>967</v>
      </c>
      <c r="D169" t="s">
        <v>968</v>
      </c>
      <c r="E169" t="s">
        <v>969</v>
      </c>
      <c r="G169">
        <v>0</v>
      </c>
      <c r="H169">
        <v>-1</v>
      </c>
      <c r="O169" t="s">
        <v>338</v>
      </c>
      <c r="P169">
        <v>0</v>
      </c>
      <c r="Q169">
        <v>0</v>
      </c>
      <c r="R169">
        <v>0</v>
      </c>
      <c r="S169">
        <v>0</v>
      </c>
      <c r="U169">
        <v>0</v>
      </c>
      <c r="V169">
        <v>0</v>
      </c>
      <c r="W169">
        <v>0</v>
      </c>
      <c r="X169">
        <v>0</v>
      </c>
      <c r="Y169" t="s">
        <v>359</v>
      </c>
      <c r="AB169">
        <v>0</v>
      </c>
      <c r="AC169">
        <v>0</v>
      </c>
      <c r="AE169">
        <v>-1</v>
      </c>
      <c r="AH169" t="s">
        <v>341</v>
      </c>
      <c r="AJ169" t="s">
        <v>342</v>
      </c>
      <c r="AK169" t="s">
        <v>343</v>
      </c>
      <c r="AM169">
        <v>0</v>
      </c>
      <c r="AN169">
        <v>0</v>
      </c>
      <c r="AQ169">
        <v>34.99</v>
      </c>
      <c r="AR169">
        <v>0</v>
      </c>
      <c r="AS169">
        <v>0</v>
      </c>
      <c r="AT169">
        <v>0</v>
      </c>
      <c r="AU169">
        <v>0</v>
      </c>
      <c r="AY169">
        <v>0</v>
      </c>
      <c r="BB169">
        <v>0</v>
      </c>
      <c r="BC169">
        <v>0</v>
      </c>
      <c r="BD169">
        <v>0</v>
      </c>
      <c r="BE169">
        <v>0</v>
      </c>
      <c r="BG169">
        <v>0</v>
      </c>
      <c r="BH169">
        <v>0</v>
      </c>
      <c r="BZ169">
        <v>1</v>
      </c>
      <c r="CA169" t="s">
        <v>429</v>
      </c>
      <c r="CJ169">
        <v>0</v>
      </c>
      <c r="CK169">
        <v>0</v>
      </c>
      <c r="CL169">
        <v>0</v>
      </c>
      <c r="CM169">
        <v>0</v>
      </c>
      <c r="CN169">
        <v>0</v>
      </c>
      <c r="CO169">
        <v>0</v>
      </c>
      <c r="CP169" t="s">
        <v>347</v>
      </c>
      <c r="CQ169" t="s">
        <v>348</v>
      </c>
    </row>
    <row r="170" spans="1:95">
      <c r="A170" s="5">
        <v>46188</v>
      </c>
      <c r="B170" t="s">
        <v>970</v>
      </c>
      <c r="C170" t="s">
        <v>108</v>
      </c>
      <c r="D170" t="s">
        <v>971</v>
      </c>
      <c r="E170" t="s">
        <v>497</v>
      </c>
      <c r="F170" t="s">
        <v>337</v>
      </c>
      <c r="G170">
        <v>54</v>
      </c>
      <c r="H170">
        <v>0</v>
      </c>
      <c r="I170">
        <v>71</v>
      </c>
      <c r="J170">
        <v>0</v>
      </c>
      <c r="K170">
        <v>0</v>
      </c>
      <c r="L170">
        <v>0</v>
      </c>
      <c r="M170">
        <v>0</v>
      </c>
      <c r="N170">
        <v>0</v>
      </c>
      <c r="O170" t="s">
        <v>338</v>
      </c>
      <c r="P170">
        <v>15</v>
      </c>
      <c r="Q170">
        <v>48</v>
      </c>
      <c r="R170">
        <v>126</v>
      </c>
      <c r="S170">
        <v>175</v>
      </c>
      <c r="U170">
        <v>41.99</v>
      </c>
      <c r="V170">
        <v>34.99</v>
      </c>
      <c r="W170">
        <v>34.99</v>
      </c>
      <c r="X170">
        <v>0</v>
      </c>
      <c r="Y170" t="s">
        <v>359</v>
      </c>
      <c r="AA170">
        <v>0</v>
      </c>
      <c r="AB170">
        <v>0</v>
      </c>
      <c r="AC170">
        <v>0</v>
      </c>
      <c r="AD170">
        <v>0</v>
      </c>
      <c r="AE170">
        <v>2.74</v>
      </c>
      <c r="AF170">
        <v>0.282284</v>
      </c>
      <c r="AG170" t="s">
        <v>340</v>
      </c>
      <c r="AH170" t="s">
        <v>341</v>
      </c>
      <c r="AI170">
        <v>15.243336</v>
      </c>
      <c r="AJ170" t="s">
        <v>342</v>
      </c>
      <c r="AK170" t="s">
        <v>343</v>
      </c>
      <c r="AL170">
        <v>32209</v>
      </c>
      <c r="AM170">
        <v>138</v>
      </c>
      <c r="AN170">
        <v>0</v>
      </c>
      <c r="AO170">
        <v>25</v>
      </c>
      <c r="AP170">
        <v>23</v>
      </c>
      <c r="AQ170">
        <v>34.99</v>
      </c>
      <c r="AR170">
        <v>524.85</v>
      </c>
      <c r="AS170">
        <v>1775.52</v>
      </c>
      <c r="AT170">
        <v>4546.74</v>
      </c>
      <c r="AU170">
        <v>6275.25</v>
      </c>
      <c r="AV170">
        <v>71</v>
      </c>
      <c r="AW170">
        <v>0</v>
      </c>
      <c r="AX170">
        <v>0</v>
      </c>
      <c r="AY170">
        <v>0</v>
      </c>
      <c r="AZ170">
        <v>0</v>
      </c>
      <c r="BA170">
        <v>27.21</v>
      </c>
      <c r="BB170">
        <v>257</v>
      </c>
      <c r="BC170">
        <v>0</v>
      </c>
      <c r="BD170">
        <v>256</v>
      </c>
      <c r="BE170">
        <v>1</v>
      </c>
      <c r="BG170">
        <v>1</v>
      </c>
      <c r="BH170">
        <v>0</v>
      </c>
      <c r="BY170">
        <v>38.5</v>
      </c>
      <c r="BZ170">
        <v>133</v>
      </c>
      <c r="CA170" t="s">
        <v>344</v>
      </c>
      <c r="CD170" s="5">
        <v>46188</v>
      </c>
      <c r="CE170" t="s">
        <v>345</v>
      </c>
      <c r="CF170" t="s">
        <v>346</v>
      </c>
      <c r="CG170">
        <v>38.5</v>
      </c>
      <c r="CH170">
        <v>28.6</v>
      </c>
      <c r="CI170" s="5">
        <v>46186</v>
      </c>
      <c r="CJ170">
        <v>323</v>
      </c>
      <c r="CK170">
        <v>12</v>
      </c>
      <c r="CL170">
        <v>0</v>
      </c>
      <c r="CM170">
        <v>1</v>
      </c>
      <c r="CN170">
        <v>0</v>
      </c>
      <c r="CO170">
        <v>138</v>
      </c>
      <c r="CP170" t="s">
        <v>347</v>
      </c>
      <c r="CQ170" t="s">
        <v>348</v>
      </c>
    </row>
    <row r="171" spans="1:95">
      <c r="A171" s="5">
        <v>46188</v>
      </c>
      <c r="B171" t="s">
        <v>972</v>
      </c>
      <c r="C171" t="s">
        <v>37</v>
      </c>
      <c r="D171" t="s">
        <v>38</v>
      </c>
      <c r="E171" t="s">
        <v>973</v>
      </c>
      <c r="G171">
        <v>0</v>
      </c>
      <c r="H171">
        <v>-1</v>
      </c>
      <c r="O171" t="s">
        <v>338</v>
      </c>
      <c r="U171">
        <v>0</v>
      </c>
      <c r="V171">
        <v>0</v>
      </c>
      <c r="W171">
        <v>0</v>
      </c>
      <c r="X171">
        <v>0</v>
      </c>
      <c r="Y171" t="s">
        <v>359</v>
      </c>
      <c r="AB171">
        <v>0</v>
      </c>
      <c r="AC171">
        <v>0</v>
      </c>
      <c r="AE171">
        <v>-1</v>
      </c>
      <c r="AH171" t="s">
        <v>377</v>
      </c>
      <c r="AJ171" t="s">
        <v>342</v>
      </c>
      <c r="AK171" t="s">
        <v>353</v>
      </c>
      <c r="AL171">
        <v>298958</v>
      </c>
      <c r="AN171">
        <v>0</v>
      </c>
      <c r="AQ171">
        <v>15.99</v>
      </c>
      <c r="AY171">
        <v>0</v>
      </c>
      <c r="BB171">
        <v>0</v>
      </c>
      <c r="BG171">
        <v>0</v>
      </c>
      <c r="BH171">
        <v>0</v>
      </c>
      <c r="CJ171">
        <v>0</v>
      </c>
      <c r="CK171">
        <v>0</v>
      </c>
      <c r="CL171">
        <v>0</v>
      </c>
      <c r="CM171">
        <v>0</v>
      </c>
      <c r="CN171">
        <v>0</v>
      </c>
      <c r="CP171" t="s">
        <v>347</v>
      </c>
      <c r="CQ171" t="s">
        <v>348</v>
      </c>
    </row>
    <row r="172" spans="1:95">
      <c r="A172" s="5">
        <v>46188</v>
      </c>
      <c r="B172" t="s">
        <v>974</v>
      </c>
      <c r="C172" t="s">
        <v>975</v>
      </c>
      <c r="D172" t="s">
        <v>976</v>
      </c>
      <c r="E172" t="s">
        <v>977</v>
      </c>
      <c r="F172" t="s">
        <v>337</v>
      </c>
      <c r="G172">
        <v>28</v>
      </c>
      <c r="H172">
        <v>0</v>
      </c>
      <c r="I172">
        <v>2</v>
      </c>
      <c r="J172">
        <v>26</v>
      </c>
      <c r="K172">
        <v>0</v>
      </c>
      <c r="L172">
        <v>0</v>
      </c>
      <c r="M172">
        <v>0</v>
      </c>
      <c r="N172">
        <v>0</v>
      </c>
      <c r="O172" t="s">
        <v>338</v>
      </c>
      <c r="P172">
        <v>0</v>
      </c>
      <c r="Q172">
        <v>5</v>
      </c>
      <c r="R172">
        <v>10</v>
      </c>
      <c r="S172">
        <v>15</v>
      </c>
      <c r="U172">
        <v>39.99</v>
      </c>
      <c r="V172">
        <v>28.49</v>
      </c>
      <c r="W172">
        <v>28.49</v>
      </c>
      <c r="X172">
        <v>0</v>
      </c>
      <c r="Y172" t="s">
        <v>339</v>
      </c>
      <c r="AA172">
        <v>0</v>
      </c>
      <c r="AB172">
        <v>0</v>
      </c>
      <c r="AC172">
        <v>0</v>
      </c>
      <c r="AD172">
        <v>0</v>
      </c>
      <c r="AE172">
        <v>0.41</v>
      </c>
      <c r="AF172">
        <v>0.115356</v>
      </c>
      <c r="AG172" t="s">
        <v>340</v>
      </c>
      <c r="AH172" t="s">
        <v>341</v>
      </c>
      <c r="AI172">
        <v>3.229968</v>
      </c>
      <c r="AJ172" t="s">
        <v>342</v>
      </c>
      <c r="AK172" t="s">
        <v>353</v>
      </c>
      <c r="AL172">
        <v>203254</v>
      </c>
      <c r="AM172">
        <v>102</v>
      </c>
      <c r="AN172">
        <v>0</v>
      </c>
      <c r="AO172">
        <v>22</v>
      </c>
      <c r="AP172">
        <v>24</v>
      </c>
      <c r="AQ172">
        <v>28.49</v>
      </c>
      <c r="AR172">
        <v>0</v>
      </c>
      <c r="AS172">
        <v>156.33</v>
      </c>
      <c r="AT172">
        <v>356.28</v>
      </c>
      <c r="AU172">
        <v>529.83</v>
      </c>
      <c r="AV172">
        <v>1</v>
      </c>
      <c r="AW172">
        <v>1</v>
      </c>
      <c r="AX172">
        <v>0</v>
      </c>
      <c r="AY172">
        <v>0</v>
      </c>
      <c r="AZ172">
        <v>0</v>
      </c>
      <c r="BA172">
        <v>2.16</v>
      </c>
      <c r="BB172">
        <v>0</v>
      </c>
      <c r="BC172">
        <v>0</v>
      </c>
      <c r="BD172">
        <v>0</v>
      </c>
      <c r="BE172">
        <v>0</v>
      </c>
      <c r="BG172">
        <v>1</v>
      </c>
      <c r="BH172">
        <v>0</v>
      </c>
      <c r="BY172">
        <v>191.5</v>
      </c>
      <c r="BZ172">
        <v>12</v>
      </c>
      <c r="CA172" t="s">
        <v>360</v>
      </c>
      <c r="CD172" s="5">
        <v>46188</v>
      </c>
      <c r="CE172" t="s">
        <v>345</v>
      </c>
      <c r="CF172" t="s">
        <v>346</v>
      </c>
      <c r="CG172">
        <v>150.2</v>
      </c>
      <c r="CH172">
        <v>191.5</v>
      </c>
      <c r="CI172" s="5">
        <v>46186</v>
      </c>
      <c r="CJ172">
        <v>28</v>
      </c>
      <c r="CK172">
        <v>0</v>
      </c>
      <c r="CL172">
        <v>1</v>
      </c>
      <c r="CM172">
        <v>0</v>
      </c>
      <c r="CN172">
        <v>0</v>
      </c>
      <c r="CO172">
        <v>106</v>
      </c>
      <c r="CP172" t="s">
        <v>347</v>
      </c>
      <c r="CQ172" t="s">
        <v>348</v>
      </c>
    </row>
    <row r="173" spans="1:95">
      <c r="A173" s="5">
        <v>46188</v>
      </c>
      <c r="B173" t="s">
        <v>978</v>
      </c>
      <c r="C173" t="s">
        <v>979</v>
      </c>
      <c r="D173" t="s">
        <v>980</v>
      </c>
      <c r="E173" t="s">
        <v>981</v>
      </c>
      <c r="G173">
        <v>0</v>
      </c>
      <c r="H173">
        <v>-1</v>
      </c>
      <c r="O173" t="s">
        <v>338</v>
      </c>
      <c r="U173">
        <v>0</v>
      </c>
      <c r="V173">
        <v>0</v>
      </c>
      <c r="W173">
        <v>0</v>
      </c>
      <c r="X173">
        <v>0</v>
      </c>
      <c r="Y173" t="s">
        <v>359</v>
      </c>
      <c r="AB173">
        <v>0</v>
      </c>
      <c r="AC173">
        <v>0</v>
      </c>
      <c r="AE173">
        <v>-1</v>
      </c>
      <c r="AH173" t="s">
        <v>341</v>
      </c>
      <c r="AJ173" t="s">
        <v>342</v>
      </c>
      <c r="AK173" t="s">
        <v>404</v>
      </c>
      <c r="AM173">
        <v>0</v>
      </c>
      <c r="AN173">
        <v>0</v>
      </c>
      <c r="AQ173">
        <v>3.99</v>
      </c>
      <c r="AY173">
        <v>0</v>
      </c>
      <c r="BB173">
        <v>0</v>
      </c>
      <c r="BC173">
        <v>0</v>
      </c>
      <c r="BD173">
        <v>0</v>
      </c>
      <c r="BE173">
        <v>0</v>
      </c>
      <c r="BG173">
        <v>0</v>
      </c>
      <c r="BH173">
        <v>0</v>
      </c>
      <c r="CJ173">
        <v>0</v>
      </c>
      <c r="CK173">
        <v>0</v>
      </c>
      <c r="CL173">
        <v>0</v>
      </c>
      <c r="CM173">
        <v>0</v>
      </c>
      <c r="CN173">
        <v>0</v>
      </c>
      <c r="CO173">
        <v>0</v>
      </c>
      <c r="CP173" t="s">
        <v>347</v>
      </c>
      <c r="CQ173" t="s">
        <v>348</v>
      </c>
    </row>
    <row r="174" spans="1:95">
      <c r="A174" s="5">
        <v>46188</v>
      </c>
      <c r="B174" t="s">
        <v>982</v>
      </c>
      <c r="C174" t="s">
        <v>30</v>
      </c>
      <c r="D174" t="s">
        <v>58</v>
      </c>
      <c r="E174" t="s">
        <v>983</v>
      </c>
      <c r="F174" t="s">
        <v>337</v>
      </c>
      <c r="G174">
        <v>12</v>
      </c>
      <c r="H174">
        <v>0</v>
      </c>
      <c r="I174">
        <v>0</v>
      </c>
      <c r="J174">
        <v>0</v>
      </c>
      <c r="K174">
        <v>12</v>
      </c>
      <c r="L174">
        <v>0</v>
      </c>
      <c r="M174">
        <v>0</v>
      </c>
      <c r="N174">
        <v>0</v>
      </c>
      <c r="O174" t="s">
        <v>338</v>
      </c>
      <c r="P174">
        <v>0</v>
      </c>
      <c r="Q174">
        <v>0</v>
      </c>
      <c r="R174">
        <v>0</v>
      </c>
      <c r="S174">
        <v>0</v>
      </c>
      <c r="T174" t="s">
        <v>351</v>
      </c>
      <c r="U174">
        <v>35.99</v>
      </c>
      <c r="V174">
        <v>0</v>
      </c>
      <c r="W174">
        <v>32.39</v>
      </c>
      <c r="X174">
        <v>0</v>
      </c>
      <c r="Y174" t="s">
        <v>391</v>
      </c>
      <c r="AA174">
        <v>0</v>
      </c>
      <c r="AB174">
        <v>0</v>
      </c>
      <c r="AC174">
        <v>0</v>
      </c>
      <c r="AD174">
        <v>657.42</v>
      </c>
      <c r="AE174">
        <v>0</v>
      </c>
      <c r="AF174">
        <v>0.172179</v>
      </c>
      <c r="AG174" t="s">
        <v>340</v>
      </c>
      <c r="AH174" t="s">
        <v>341</v>
      </c>
      <c r="AI174">
        <v>2.066148</v>
      </c>
      <c r="AJ174" t="s">
        <v>342</v>
      </c>
      <c r="AK174" t="s">
        <v>353</v>
      </c>
      <c r="AL174">
        <v>803551</v>
      </c>
      <c r="AM174">
        <v>185</v>
      </c>
      <c r="AN174">
        <v>12</v>
      </c>
      <c r="AQ174">
        <v>32.39</v>
      </c>
      <c r="AR174">
        <v>0</v>
      </c>
      <c r="AS174">
        <v>0</v>
      </c>
      <c r="AT174">
        <v>0</v>
      </c>
      <c r="AU174">
        <v>0</v>
      </c>
      <c r="AV174">
        <v>0</v>
      </c>
      <c r="AW174">
        <v>0</v>
      </c>
      <c r="AX174">
        <v>0</v>
      </c>
      <c r="AY174">
        <v>12</v>
      </c>
      <c r="AZ174">
        <v>0</v>
      </c>
      <c r="BA174">
        <v>4.55</v>
      </c>
      <c r="BB174">
        <v>0</v>
      </c>
      <c r="BC174">
        <v>0</v>
      </c>
      <c r="BD174">
        <v>0</v>
      </c>
      <c r="BE174">
        <v>0</v>
      </c>
      <c r="BG174">
        <v>0</v>
      </c>
      <c r="BH174">
        <v>0</v>
      </c>
      <c r="BI174">
        <v>0</v>
      </c>
      <c r="BJ174">
        <v>0</v>
      </c>
      <c r="BK174">
        <v>12</v>
      </c>
      <c r="BL174">
        <v>2.06</v>
      </c>
      <c r="BM174">
        <v>0</v>
      </c>
      <c r="BN174">
        <v>0</v>
      </c>
      <c r="BO174">
        <v>0</v>
      </c>
      <c r="BP174">
        <v>0</v>
      </c>
      <c r="BQ174">
        <v>0</v>
      </c>
      <c r="BR174">
        <v>0</v>
      </c>
      <c r="BS174">
        <v>0</v>
      </c>
      <c r="BT174">
        <v>0</v>
      </c>
      <c r="BU174">
        <v>0</v>
      </c>
      <c r="BV174">
        <v>0</v>
      </c>
      <c r="BW174">
        <v>0</v>
      </c>
      <c r="BX174">
        <v>0</v>
      </c>
      <c r="BZ174">
        <v>3</v>
      </c>
      <c r="CA174" t="s">
        <v>354</v>
      </c>
      <c r="CI174" s="5">
        <v>46186</v>
      </c>
      <c r="CJ174">
        <v>12</v>
      </c>
      <c r="CK174">
        <v>0</v>
      </c>
      <c r="CL174">
        <v>0</v>
      </c>
      <c r="CM174">
        <v>0</v>
      </c>
      <c r="CN174">
        <v>0</v>
      </c>
      <c r="CO174">
        <v>185</v>
      </c>
      <c r="CP174" t="s">
        <v>347</v>
      </c>
      <c r="CQ174" t="s">
        <v>348</v>
      </c>
    </row>
    <row r="175" spans="1:95">
      <c r="A175" s="5">
        <v>46188</v>
      </c>
      <c r="B175" t="s">
        <v>984</v>
      </c>
      <c r="C175" t="s">
        <v>985</v>
      </c>
      <c r="D175" t="s">
        <v>986</v>
      </c>
      <c r="E175" t="s">
        <v>987</v>
      </c>
      <c r="F175" t="s">
        <v>337</v>
      </c>
      <c r="G175">
        <v>18</v>
      </c>
      <c r="H175">
        <v>0</v>
      </c>
      <c r="I175">
        <v>10</v>
      </c>
      <c r="J175">
        <v>8</v>
      </c>
      <c r="K175">
        <v>0</v>
      </c>
      <c r="L175">
        <v>0</v>
      </c>
      <c r="M175">
        <v>0</v>
      </c>
      <c r="N175">
        <v>0</v>
      </c>
      <c r="O175" t="s">
        <v>338</v>
      </c>
      <c r="P175">
        <v>0</v>
      </c>
      <c r="Q175">
        <v>1</v>
      </c>
      <c r="R175">
        <v>3</v>
      </c>
      <c r="S175">
        <v>5</v>
      </c>
      <c r="T175" t="s">
        <v>351</v>
      </c>
      <c r="U175">
        <v>17.59</v>
      </c>
      <c r="V175">
        <v>13.49</v>
      </c>
      <c r="W175">
        <v>13.49</v>
      </c>
      <c r="X175">
        <v>0</v>
      </c>
      <c r="Y175" t="s">
        <v>339</v>
      </c>
      <c r="AA175">
        <v>0</v>
      </c>
      <c r="AB175">
        <v>0</v>
      </c>
      <c r="AC175">
        <v>0</v>
      </c>
      <c r="AD175">
        <v>0.01</v>
      </c>
      <c r="AE175">
        <v>0.39</v>
      </c>
      <c r="AF175">
        <v>0.056209</v>
      </c>
      <c r="AG175" t="s">
        <v>340</v>
      </c>
      <c r="AH175" t="s">
        <v>341</v>
      </c>
      <c r="AI175">
        <v>1.011762</v>
      </c>
      <c r="AJ175" t="s">
        <v>342</v>
      </c>
      <c r="AK175" t="s">
        <v>353</v>
      </c>
      <c r="AL175">
        <v>397496</v>
      </c>
      <c r="AM175">
        <v>154</v>
      </c>
      <c r="AN175">
        <v>0</v>
      </c>
      <c r="AO175">
        <v>72</v>
      </c>
      <c r="AP175">
        <v>46</v>
      </c>
      <c r="AQ175">
        <v>13.49</v>
      </c>
      <c r="AR175">
        <v>0</v>
      </c>
      <c r="AS175">
        <v>12.53</v>
      </c>
      <c r="AT175">
        <v>42.65</v>
      </c>
      <c r="AU175">
        <v>69.03</v>
      </c>
      <c r="AV175">
        <v>0</v>
      </c>
      <c r="AW175">
        <v>10</v>
      </c>
      <c r="AX175">
        <v>0</v>
      </c>
      <c r="AY175">
        <v>0</v>
      </c>
      <c r="AZ175">
        <v>0</v>
      </c>
      <c r="BA175">
        <v>0.88</v>
      </c>
      <c r="BB175">
        <v>0</v>
      </c>
      <c r="BC175">
        <v>0</v>
      </c>
      <c r="BD175">
        <v>0</v>
      </c>
      <c r="BE175">
        <v>0</v>
      </c>
      <c r="BG175">
        <v>0</v>
      </c>
      <c r="BH175">
        <v>0</v>
      </c>
      <c r="BY175">
        <v>547</v>
      </c>
      <c r="BZ175">
        <v>8</v>
      </c>
      <c r="CA175" t="s">
        <v>360</v>
      </c>
      <c r="CD175" s="5">
        <v>46188</v>
      </c>
      <c r="CE175" t="s">
        <v>345</v>
      </c>
      <c r="CF175" t="s">
        <v>346</v>
      </c>
      <c r="CG175">
        <v>547</v>
      </c>
      <c r="CH175">
        <v>210</v>
      </c>
      <c r="CI175" s="5">
        <v>46186</v>
      </c>
      <c r="CJ175">
        <v>18</v>
      </c>
      <c r="CK175">
        <v>0</v>
      </c>
      <c r="CL175">
        <v>0</v>
      </c>
      <c r="CM175">
        <v>0</v>
      </c>
      <c r="CN175">
        <v>0</v>
      </c>
      <c r="CO175">
        <v>154</v>
      </c>
      <c r="CP175" t="s">
        <v>347</v>
      </c>
      <c r="CQ175" t="s">
        <v>348</v>
      </c>
    </row>
    <row r="176" spans="1:95">
      <c r="A176" s="5">
        <v>46188</v>
      </c>
      <c r="B176" t="s">
        <v>988</v>
      </c>
      <c r="C176" t="s">
        <v>645</v>
      </c>
      <c r="D176" t="s">
        <v>989</v>
      </c>
      <c r="E176" t="s">
        <v>647</v>
      </c>
      <c r="G176">
        <v>0</v>
      </c>
      <c r="H176">
        <v>-1</v>
      </c>
      <c r="O176" t="s">
        <v>338</v>
      </c>
      <c r="U176">
        <v>0</v>
      </c>
      <c r="V176">
        <v>0</v>
      </c>
      <c r="W176">
        <v>0</v>
      </c>
      <c r="X176">
        <v>0</v>
      </c>
      <c r="Y176" t="s">
        <v>359</v>
      </c>
      <c r="AB176">
        <v>0</v>
      </c>
      <c r="AC176">
        <v>0</v>
      </c>
      <c r="AE176">
        <v>-1</v>
      </c>
      <c r="AJ176" t="s">
        <v>342</v>
      </c>
      <c r="AK176" t="s">
        <v>353</v>
      </c>
      <c r="AN176">
        <v>0</v>
      </c>
      <c r="AY176">
        <v>0</v>
      </c>
      <c r="BB176">
        <v>0</v>
      </c>
      <c r="BG176">
        <v>0</v>
      </c>
      <c r="BH176">
        <v>0</v>
      </c>
      <c r="CJ176">
        <v>0</v>
      </c>
      <c r="CK176">
        <v>0</v>
      </c>
      <c r="CL176">
        <v>0</v>
      </c>
      <c r="CM176">
        <v>0</v>
      </c>
      <c r="CN176">
        <v>0</v>
      </c>
      <c r="CP176" t="s">
        <v>347</v>
      </c>
      <c r="CQ176" t="s">
        <v>348</v>
      </c>
    </row>
    <row r="177" spans="1:95">
      <c r="A177" s="5">
        <v>46188</v>
      </c>
      <c r="B177" t="s">
        <v>990</v>
      </c>
      <c r="C177" t="s">
        <v>127</v>
      </c>
      <c r="D177" t="s">
        <v>991</v>
      </c>
      <c r="E177" t="s">
        <v>992</v>
      </c>
      <c r="F177" t="s">
        <v>337</v>
      </c>
      <c r="G177">
        <v>238</v>
      </c>
      <c r="H177">
        <v>0</v>
      </c>
      <c r="I177">
        <v>247</v>
      </c>
      <c r="J177">
        <v>0</v>
      </c>
      <c r="K177">
        <v>0</v>
      </c>
      <c r="L177">
        <v>0</v>
      </c>
      <c r="M177">
        <v>0</v>
      </c>
      <c r="N177">
        <v>0</v>
      </c>
      <c r="O177" t="s">
        <v>338</v>
      </c>
      <c r="P177">
        <v>30</v>
      </c>
      <c r="Q177">
        <v>112</v>
      </c>
      <c r="R177">
        <v>222</v>
      </c>
      <c r="S177">
        <v>342</v>
      </c>
      <c r="U177">
        <v>18.99</v>
      </c>
      <c r="V177">
        <v>0</v>
      </c>
      <c r="W177">
        <v>18.99</v>
      </c>
      <c r="X177">
        <v>0</v>
      </c>
      <c r="Y177" t="s">
        <v>464</v>
      </c>
      <c r="AA177">
        <v>0</v>
      </c>
      <c r="AB177">
        <v>0</v>
      </c>
      <c r="AC177">
        <v>0</v>
      </c>
      <c r="AD177">
        <v>0</v>
      </c>
      <c r="AE177">
        <v>1.85</v>
      </c>
      <c r="AF177">
        <v>0.033949</v>
      </c>
      <c r="AG177" t="s">
        <v>340</v>
      </c>
      <c r="AH177" t="s">
        <v>341</v>
      </c>
      <c r="AI177">
        <v>8.079862</v>
      </c>
      <c r="AJ177" t="s">
        <v>342</v>
      </c>
      <c r="AK177" t="s">
        <v>465</v>
      </c>
      <c r="AL177">
        <v>2409</v>
      </c>
      <c r="AM177">
        <v>78</v>
      </c>
      <c r="AN177">
        <v>0</v>
      </c>
      <c r="AO177">
        <v>10</v>
      </c>
      <c r="AP177">
        <v>11</v>
      </c>
      <c r="AQ177">
        <v>14.99</v>
      </c>
      <c r="AR177">
        <v>485.7</v>
      </c>
      <c r="AS177">
        <v>1714.88</v>
      </c>
      <c r="AT177">
        <v>3367.55</v>
      </c>
      <c r="AU177">
        <v>5167.05</v>
      </c>
      <c r="AV177">
        <v>128</v>
      </c>
      <c r="AW177">
        <v>119</v>
      </c>
      <c r="AX177">
        <v>0</v>
      </c>
      <c r="AY177">
        <v>0</v>
      </c>
      <c r="AZ177">
        <v>0</v>
      </c>
      <c r="BA177">
        <v>6.01</v>
      </c>
      <c r="BB177">
        <v>60</v>
      </c>
      <c r="BC177">
        <v>0</v>
      </c>
      <c r="BD177">
        <v>60</v>
      </c>
      <c r="BE177">
        <v>0</v>
      </c>
      <c r="BG177">
        <v>4</v>
      </c>
      <c r="BH177">
        <v>2</v>
      </c>
      <c r="BY177">
        <v>79.6</v>
      </c>
      <c r="BZ177">
        <v>144</v>
      </c>
      <c r="CA177" t="s">
        <v>360</v>
      </c>
      <c r="CD177" s="5">
        <v>46188</v>
      </c>
      <c r="CE177" t="s">
        <v>346</v>
      </c>
      <c r="CF177" t="s">
        <v>346</v>
      </c>
      <c r="CG177">
        <v>79.6</v>
      </c>
      <c r="CH177">
        <v>44.3</v>
      </c>
      <c r="CI177" s="5">
        <v>46186</v>
      </c>
      <c r="CJ177">
        <v>300</v>
      </c>
      <c r="CK177">
        <v>2</v>
      </c>
      <c r="CL177">
        <v>4</v>
      </c>
      <c r="CM177">
        <v>0</v>
      </c>
      <c r="CN177">
        <v>0</v>
      </c>
      <c r="CO177">
        <v>79</v>
      </c>
      <c r="CP177" t="s">
        <v>347</v>
      </c>
      <c r="CQ177" t="s">
        <v>348</v>
      </c>
    </row>
    <row r="178" spans="1:95">
      <c r="A178" s="5">
        <v>46188</v>
      </c>
      <c r="B178" t="s">
        <v>993</v>
      </c>
      <c r="C178" t="s">
        <v>994</v>
      </c>
      <c r="D178" t="s">
        <v>995</v>
      </c>
      <c r="E178" t="s">
        <v>996</v>
      </c>
      <c r="G178">
        <v>0</v>
      </c>
      <c r="H178">
        <v>-1</v>
      </c>
      <c r="O178" t="s">
        <v>338</v>
      </c>
      <c r="U178">
        <v>0</v>
      </c>
      <c r="V178">
        <v>0</v>
      </c>
      <c r="W178">
        <v>0</v>
      </c>
      <c r="X178">
        <v>0</v>
      </c>
      <c r="Y178" t="s">
        <v>359</v>
      </c>
      <c r="AB178">
        <v>0</v>
      </c>
      <c r="AC178">
        <v>0</v>
      </c>
      <c r="AE178">
        <v>-1</v>
      </c>
      <c r="AH178" t="s">
        <v>341</v>
      </c>
      <c r="AJ178" t="s">
        <v>342</v>
      </c>
      <c r="AK178" t="s">
        <v>353</v>
      </c>
      <c r="AN178">
        <v>0</v>
      </c>
      <c r="AQ178">
        <v>15.49</v>
      </c>
      <c r="AY178">
        <v>0</v>
      </c>
      <c r="BB178">
        <v>0</v>
      </c>
      <c r="BC178">
        <v>0</v>
      </c>
      <c r="BD178">
        <v>0</v>
      </c>
      <c r="BE178">
        <v>0</v>
      </c>
      <c r="BG178">
        <v>0</v>
      </c>
      <c r="BH178">
        <v>0</v>
      </c>
      <c r="CJ178">
        <v>0</v>
      </c>
      <c r="CK178">
        <v>0</v>
      </c>
      <c r="CL178">
        <v>0</v>
      </c>
      <c r="CM178">
        <v>0</v>
      </c>
      <c r="CN178">
        <v>0</v>
      </c>
      <c r="CP178" t="s">
        <v>347</v>
      </c>
      <c r="CQ178" t="s">
        <v>348</v>
      </c>
    </row>
    <row r="179" spans="1:95">
      <c r="A179" s="5">
        <v>46188</v>
      </c>
      <c r="B179" t="s">
        <v>997</v>
      </c>
      <c r="C179" t="s">
        <v>113</v>
      </c>
      <c r="D179" t="s">
        <v>998</v>
      </c>
      <c r="E179" t="s">
        <v>579</v>
      </c>
      <c r="G179">
        <v>0</v>
      </c>
      <c r="H179">
        <v>-1</v>
      </c>
      <c r="O179" t="s">
        <v>338</v>
      </c>
      <c r="U179">
        <v>0</v>
      </c>
      <c r="V179">
        <v>0</v>
      </c>
      <c r="W179">
        <v>0</v>
      </c>
      <c r="X179">
        <v>0</v>
      </c>
      <c r="Y179" t="s">
        <v>359</v>
      </c>
      <c r="AB179">
        <v>0</v>
      </c>
      <c r="AC179">
        <v>0</v>
      </c>
      <c r="AE179">
        <v>-1</v>
      </c>
      <c r="AH179" t="s">
        <v>341</v>
      </c>
      <c r="AJ179" t="s">
        <v>342</v>
      </c>
      <c r="AK179" t="s">
        <v>343</v>
      </c>
      <c r="AL179">
        <v>32209</v>
      </c>
      <c r="AM179">
        <v>0</v>
      </c>
      <c r="AN179">
        <v>0</v>
      </c>
      <c r="AQ179">
        <v>39.99</v>
      </c>
      <c r="AY179">
        <v>0</v>
      </c>
      <c r="BB179">
        <v>0</v>
      </c>
      <c r="BC179">
        <v>0</v>
      </c>
      <c r="BD179">
        <v>0</v>
      </c>
      <c r="BE179">
        <v>0</v>
      </c>
      <c r="BG179">
        <v>0</v>
      </c>
      <c r="BH179">
        <v>0</v>
      </c>
      <c r="CB179">
        <v>50</v>
      </c>
      <c r="CC179" s="5">
        <v>46188</v>
      </c>
      <c r="CJ179">
        <v>0</v>
      </c>
      <c r="CK179">
        <v>0</v>
      </c>
      <c r="CL179">
        <v>0</v>
      </c>
      <c r="CM179">
        <v>0</v>
      </c>
      <c r="CN179">
        <v>0</v>
      </c>
      <c r="CO179">
        <v>0</v>
      </c>
      <c r="CP179" t="s">
        <v>347</v>
      </c>
      <c r="CQ179" t="s">
        <v>348</v>
      </c>
    </row>
    <row r="180" spans="1:95">
      <c r="A180" s="5">
        <v>46188</v>
      </c>
      <c r="B180" t="s">
        <v>999</v>
      </c>
      <c r="C180" t="s">
        <v>1000</v>
      </c>
      <c r="D180" t="s">
        <v>1001</v>
      </c>
      <c r="E180" t="s">
        <v>1002</v>
      </c>
      <c r="G180">
        <v>0</v>
      </c>
      <c r="H180">
        <v>-1</v>
      </c>
      <c r="O180" t="s">
        <v>338</v>
      </c>
      <c r="P180">
        <v>0</v>
      </c>
      <c r="Q180">
        <v>0</v>
      </c>
      <c r="R180">
        <v>0</v>
      </c>
      <c r="S180">
        <v>0</v>
      </c>
      <c r="U180">
        <v>0</v>
      </c>
      <c r="V180">
        <v>0</v>
      </c>
      <c r="W180">
        <v>0</v>
      </c>
      <c r="X180">
        <v>0</v>
      </c>
      <c r="Y180" t="s">
        <v>359</v>
      </c>
      <c r="AB180">
        <v>0</v>
      </c>
      <c r="AC180">
        <v>0</v>
      </c>
      <c r="AE180">
        <v>-1</v>
      </c>
      <c r="AH180" t="s">
        <v>341</v>
      </c>
      <c r="AJ180" t="s">
        <v>342</v>
      </c>
      <c r="AK180" t="s">
        <v>404</v>
      </c>
      <c r="AM180">
        <v>0</v>
      </c>
      <c r="AN180">
        <v>0</v>
      </c>
      <c r="AQ180">
        <v>12.15</v>
      </c>
      <c r="AR180">
        <v>0</v>
      </c>
      <c r="AS180">
        <v>0</v>
      </c>
      <c r="AT180">
        <v>0</v>
      </c>
      <c r="AU180">
        <v>0</v>
      </c>
      <c r="AY180">
        <v>0</v>
      </c>
      <c r="BB180">
        <v>0</v>
      </c>
      <c r="BC180">
        <v>0</v>
      </c>
      <c r="BD180">
        <v>0</v>
      </c>
      <c r="BE180">
        <v>0</v>
      </c>
      <c r="BG180">
        <v>0</v>
      </c>
      <c r="BH180">
        <v>0</v>
      </c>
      <c r="CJ180">
        <v>0</v>
      </c>
      <c r="CK180">
        <v>0</v>
      </c>
      <c r="CL180">
        <v>0</v>
      </c>
      <c r="CM180">
        <v>0</v>
      </c>
      <c r="CN180">
        <v>0</v>
      </c>
      <c r="CO180">
        <v>0</v>
      </c>
      <c r="CP180" t="s">
        <v>347</v>
      </c>
      <c r="CQ180" t="s">
        <v>348</v>
      </c>
    </row>
    <row r="181" spans="1:95">
      <c r="A181" s="5">
        <v>46188</v>
      </c>
      <c r="B181" t="s">
        <v>1003</v>
      </c>
      <c r="C181" t="s">
        <v>24</v>
      </c>
      <c r="D181" t="s">
        <v>26</v>
      </c>
      <c r="E181" t="s">
        <v>728</v>
      </c>
      <c r="G181">
        <v>0</v>
      </c>
      <c r="H181">
        <v>-1</v>
      </c>
      <c r="O181" t="s">
        <v>338</v>
      </c>
      <c r="U181">
        <v>0</v>
      </c>
      <c r="V181">
        <v>0</v>
      </c>
      <c r="W181">
        <v>0</v>
      </c>
      <c r="X181">
        <v>0</v>
      </c>
      <c r="Y181" t="s">
        <v>359</v>
      </c>
      <c r="AB181">
        <v>0</v>
      </c>
      <c r="AC181">
        <v>0</v>
      </c>
      <c r="AE181">
        <v>-1</v>
      </c>
      <c r="AH181" t="s">
        <v>377</v>
      </c>
      <c r="AJ181" t="s">
        <v>342</v>
      </c>
      <c r="AK181" t="s">
        <v>343</v>
      </c>
      <c r="AL181">
        <v>1303979</v>
      </c>
      <c r="AM181">
        <v>0</v>
      </c>
      <c r="AN181">
        <v>0</v>
      </c>
      <c r="AQ181">
        <v>33.99</v>
      </c>
      <c r="AY181">
        <v>0</v>
      </c>
      <c r="BB181">
        <v>0</v>
      </c>
      <c r="BG181">
        <v>0</v>
      </c>
      <c r="BH181">
        <v>0</v>
      </c>
      <c r="CJ181">
        <v>0</v>
      </c>
      <c r="CK181">
        <v>0</v>
      </c>
      <c r="CL181">
        <v>0</v>
      </c>
      <c r="CM181">
        <v>0</v>
      </c>
      <c r="CN181">
        <v>0</v>
      </c>
      <c r="CO181">
        <v>0</v>
      </c>
      <c r="CP181" t="s">
        <v>347</v>
      </c>
      <c r="CQ181" t="s">
        <v>348</v>
      </c>
    </row>
    <row r="182" spans="1:95">
      <c r="A182" s="5">
        <v>46188</v>
      </c>
      <c r="B182" t="s">
        <v>1004</v>
      </c>
      <c r="C182" t="s">
        <v>1005</v>
      </c>
      <c r="D182" t="s">
        <v>1006</v>
      </c>
      <c r="E182" t="s">
        <v>1007</v>
      </c>
      <c r="G182">
        <v>0</v>
      </c>
      <c r="H182">
        <v>-1</v>
      </c>
      <c r="O182" t="s">
        <v>338</v>
      </c>
      <c r="U182">
        <v>0</v>
      </c>
      <c r="V182">
        <v>0</v>
      </c>
      <c r="W182">
        <v>0</v>
      </c>
      <c r="X182">
        <v>0</v>
      </c>
      <c r="Y182" t="s">
        <v>359</v>
      </c>
      <c r="AB182">
        <v>0</v>
      </c>
      <c r="AC182">
        <v>0</v>
      </c>
      <c r="AE182">
        <v>-1</v>
      </c>
      <c r="AH182" t="s">
        <v>341</v>
      </c>
      <c r="AJ182" t="s">
        <v>342</v>
      </c>
      <c r="AK182" t="s">
        <v>353</v>
      </c>
      <c r="AM182">
        <v>0</v>
      </c>
      <c r="AN182">
        <v>0</v>
      </c>
      <c r="AQ182">
        <v>26.99</v>
      </c>
      <c r="AY182">
        <v>0</v>
      </c>
      <c r="BB182">
        <v>0</v>
      </c>
      <c r="BC182">
        <v>0</v>
      </c>
      <c r="BD182">
        <v>0</v>
      </c>
      <c r="BE182">
        <v>0</v>
      </c>
      <c r="BG182">
        <v>0</v>
      </c>
      <c r="BH182">
        <v>0</v>
      </c>
      <c r="CJ182">
        <v>0</v>
      </c>
      <c r="CK182">
        <v>0</v>
      </c>
      <c r="CL182">
        <v>0</v>
      </c>
      <c r="CM182">
        <v>0</v>
      </c>
      <c r="CN182">
        <v>0</v>
      </c>
      <c r="CO182">
        <v>0</v>
      </c>
      <c r="CP182" t="s">
        <v>347</v>
      </c>
      <c r="CQ182" t="s">
        <v>348</v>
      </c>
    </row>
    <row r="183" spans="1:95">
      <c r="A183" s="5">
        <v>46188</v>
      </c>
      <c r="B183" t="s">
        <v>1008</v>
      </c>
      <c r="C183" t="s">
        <v>1009</v>
      </c>
      <c r="D183" t="s">
        <v>1010</v>
      </c>
      <c r="E183" t="s">
        <v>1011</v>
      </c>
      <c r="F183" t="s">
        <v>337</v>
      </c>
      <c r="G183">
        <v>1</v>
      </c>
      <c r="H183">
        <v>0</v>
      </c>
      <c r="I183">
        <v>1</v>
      </c>
      <c r="J183">
        <v>0</v>
      </c>
      <c r="K183">
        <v>0</v>
      </c>
      <c r="L183">
        <v>0</v>
      </c>
      <c r="M183">
        <v>0</v>
      </c>
      <c r="N183">
        <v>0</v>
      </c>
      <c r="O183" t="s">
        <v>338</v>
      </c>
      <c r="P183">
        <v>0</v>
      </c>
      <c r="Q183">
        <v>6</v>
      </c>
      <c r="R183">
        <v>11</v>
      </c>
      <c r="S183">
        <v>12</v>
      </c>
      <c r="U183">
        <v>27.99</v>
      </c>
      <c r="V183">
        <v>0</v>
      </c>
      <c r="W183">
        <v>20.89</v>
      </c>
      <c r="X183">
        <v>0</v>
      </c>
      <c r="Y183" t="s">
        <v>359</v>
      </c>
      <c r="AA183">
        <v>0</v>
      </c>
      <c r="AB183">
        <v>0</v>
      </c>
      <c r="AC183">
        <v>0</v>
      </c>
      <c r="AD183">
        <v>0</v>
      </c>
      <c r="AE183">
        <v>5.33</v>
      </c>
      <c r="AF183">
        <v>0.169593</v>
      </c>
      <c r="AG183" t="s">
        <v>340</v>
      </c>
      <c r="AH183" t="s">
        <v>341</v>
      </c>
      <c r="AI183">
        <v>0.169593</v>
      </c>
      <c r="AJ183" t="s">
        <v>342</v>
      </c>
      <c r="AK183" t="s">
        <v>353</v>
      </c>
      <c r="AL183">
        <v>2409</v>
      </c>
      <c r="AM183">
        <v>31</v>
      </c>
      <c r="AN183">
        <v>0</v>
      </c>
      <c r="AO183">
        <v>10</v>
      </c>
      <c r="AP183">
        <v>17</v>
      </c>
      <c r="AQ183">
        <v>20.89</v>
      </c>
      <c r="AR183">
        <v>0</v>
      </c>
      <c r="AS183">
        <v>134.64</v>
      </c>
      <c r="AT183">
        <v>245.83</v>
      </c>
      <c r="AU183">
        <v>273.82</v>
      </c>
      <c r="AV183">
        <v>1</v>
      </c>
      <c r="AW183">
        <v>0</v>
      </c>
      <c r="AX183">
        <v>0</v>
      </c>
      <c r="AY183">
        <v>0</v>
      </c>
      <c r="AZ183">
        <v>0</v>
      </c>
      <c r="BA183">
        <v>1.72</v>
      </c>
      <c r="BB183">
        <v>15</v>
      </c>
      <c r="BC183">
        <v>0</v>
      </c>
      <c r="BD183">
        <v>15</v>
      </c>
      <c r="BE183">
        <v>0</v>
      </c>
      <c r="BG183">
        <v>0</v>
      </c>
      <c r="BH183">
        <v>0</v>
      </c>
      <c r="BY183">
        <v>19.7</v>
      </c>
      <c r="BZ183">
        <v>21</v>
      </c>
      <c r="CA183" t="s">
        <v>344</v>
      </c>
      <c r="CB183">
        <v>28</v>
      </c>
      <c r="CC183" s="5">
        <v>46193</v>
      </c>
      <c r="CD183" s="5">
        <v>46181</v>
      </c>
      <c r="CE183" t="s">
        <v>345</v>
      </c>
      <c r="CF183" t="s">
        <v>346</v>
      </c>
      <c r="CG183">
        <v>10.8</v>
      </c>
      <c r="CH183">
        <v>19.7</v>
      </c>
      <c r="CI183" s="5">
        <v>46186</v>
      </c>
      <c r="CJ183">
        <v>16</v>
      </c>
      <c r="CK183">
        <v>0</v>
      </c>
      <c r="CL183">
        <v>0</v>
      </c>
      <c r="CM183">
        <v>0</v>
      </c>
      <c r="CN183">
        <v>0</v>
      </c>
      <c r="CO183">
        <v>31</v>
      </c>
      <c r="CP183" t="s">
        <v>347</v>
      </c>
      <c r="CQ183" t="s">
        <v>348</v>
      </c>
    </row>
    <row r="184" spans="1:95">
      <c r="A184" s="5">
        <v>46188</v>
      </c>
      <c r="B184" t="s">
        <v>1012</v>
      </c>
      <c r="C184" t="s">
        <v>1013</v>
      </c>
      <c r="D184" t="s">
        <v>1014</v>
      </c>
      <c r="E184" t="s">
        <v>1015</v>
      </c>
      <c r="F184" t="s">
        <v>337</v>
      </c>
      <c r="G184">
        <v>64</v>
      </c>
      <c r="H184">
        <v>0</v>
      </c>
      <c r="I184">
        <v>72</v>
      </c>
      <c r="J184">
        <v>0</v>
      </c>
      <c r="K184">
        <v>0</v>
      </c>
      <c r="L184">
        <v>0</v>
      </c>
      <c r="M184">
        <v>0</v>
      </c>
      <c r="N184">
        <v>0</v>
      </c>
      <c r="O184" t="s">
        <v>338</v>
      </c>
      <c r="P184">
        <v>8</v>
      </c>
      <c r="Q184">
        <v>39</v>
      </c>
      <c r="R184">
        <v>62</v>
      </c>
      <c r="S184">
        <v>93</v>
      </c>
      <c r="U184">
        <v>36.99</v>
      </c>
      <c r="V184">
        <v>0</v>
      </c>
      <c r="W184">
        <v>36.99</v>
      </c>
      <c r="X184">
        <v>0</v>
      </c>
      <c r="Y184" t="s">
        <v>464</v>
      </c>
      <c r="AA184">
        <v>0</v>
      </c>
      <c r="AB184">
        <v>0</v>
      </c>
      <c r="AC184">
        <v>0</v>
      </c>
      <c r="AD184">
        <v>0</v>
      </c>
      <c r="AE184">
        <v>1.25</v>
      </c>
      <c r="AF184">
        <v>0.054526</v>
      </c>
      <c r="AG184" t="s">
        <v>340</v>
      </c>
      <c r="AH184" t="s">
        <v>341</v>
      </c>
      <c r="AI184">
        <v>3.489664</v>
      </c>
      <c r="AJ184" t="s">
        <v>342</v>
      </c>
      <c r="AK184" t="s">
        <v>353</v>
      </c>
      <c r="AL184">
        <v>26497</v>
      </c>
      <c r="AM184">
        <v>31</v>
      </c>
      <c r="AN184">
        <v>0</v>
      </c>
      <c r="AO184">
        <v>12</v>
      </c>
      <c r="AP184">
        <v>17</v>
      </c>
      <c r="AQ184">
        <v>24.94</v>
      </c>
      <c r="AR184">
        <v>199.52</v>
      </c>
      <c r="AS184">
        <v>972.66</v>
      </c>
      <c r="AT184">
        <v>1567.4</v>
      </c>
      <c r="AU184">
        <v>2590.88</v>
      </c>
      <c r="AV184">
        <v>4</v>
      </c>
      <c r="AW184">
        <v>68</v>
      </c>
      <c r="AX184">
        <v>0</v>
      </c>
      <c r="AY184">
        <v>0</v>
      </c>
      <c r="AZ184">
        <v>0</v>
      </c>
      <c r="BA184">
        <v>2.13</v>
      </c>
      <c r="BB184">
        <v>60</v>
      </c>
      <c r="BC184">
        <v>60</v>
      </c>
      <c r="BD184">
        <v>0</v>
      </c>
      <c r="BE184">
        <v>0</v>
      </c>
      <c r="BG184">
        <v>1</v>
      </c>
      <c r="BH184">
        <v>0</v>
      </c>
      <c r="BY184">
        <v>73.8</v>
      </c>
      <c r="BZ184">
        <v>102</v>
      </c>
      <c r="CA184" t="s">
        <v>344</v>
      </c>
      <c r="CB184">
        <v>80</v>
      </c>
      <c r="CC184" s="5">
        <v>46195</v>
      </c>
      <c r="CD184" s="5">
        <v>46188</v>
      </c>
      <c r="CE184" t="s">
        <v>345</v>
      </c>
      <c r="CF184" t="s">
        <v>346</v>
      </c>
      <c r="CG184">
        <v>70.3</v>
      </c>
      <c r="CH184">
        <v>73.8</v>
      </c>
      <c r="CI184" s="5">
        <v>46186</v>
      </c>
      <c r="CJ184">
        <v>131</v>
      </c>
      <c r="CK184">
        <v>7</v>
      </c>
      <c r="CL184">
        <v>1</v>
      </c>
      <c r="CM184">
        <v>0</v>
      </c>
      <c r="CN184">
        <v>0</v>
      </c>
      <c r="CO184">
        <v>62</v>
      </c>
      <c r="CP184" t="s">
        <v>347</v>
      </c>
      <c r="CQ184" t="s">
        <v>348</v>
      </c>
    </row>
    <row r="185" spans="1:95">
      <c r="A185" s="5">
        <v>46188</v>
      </c>
      <c r="B185" t="s">
        <v>1016</v>
      </c>
      <c r="C185" t="s">
        <v>128</v>
      </c>
      <c r="D185" t="s">
        <v>1017</v>
      </c>
      <c r="E185" t="s">
        <v>412</v>
      </c>
      <c r="F185" t="s">
        <v>337</v>
      </c>
      <c r="G185">
        <v>138</v>
      </c>
      <c r="H185">
        <v>0</v>
      </c>
      <c r="I185">
        <v>152</v>
      </c>
      <c r="J185">
        <v>0</v>
      </c>
      <c r="K185">
        <v>0</v>
      </c>
      <c r="L185">
        <v>0</v>
      </c>
      <c r="M185">
        <v>0</v>
      </c>
      <c r="N185">
        <v>0</v>
      </c>
      <c r="O185" t="s">
        <v>338</v>
      </c>
      <c r="P185">
        <v>6</v>
      </c>
      <c r="Q185">
        <v>40</v>
      </c>
      <c r="R185">
        <v>96</v>
      </c>
      <c r="S185">
        <v>167</v>
      </c>
      <c r="U185">
        <v>19.99</v>
      </c>
      <c r="V185">
        <v>0</v>
      </c>
      <c r="W185">
        <v>19.99</v>
      </c>
      <c r="X185">
        <v>0</v>
      </c>
      <c r="Y185" t="s">
        <v>464</v>
      </c>
      <c r="AA185">
        <v>0</v>
      </c>
      <c r="AB185">
        <v>0</v>
      </c>
      <c r="AC185">
        <v>0</v>
      </c>
      <c r="AD185">
        <v>0</v>
      </c>
      <c r="AE185">
        <v>1.45</v>
      </c>
      <c r="AF185">
        <v>0.13395</v>
      </c>
      <c r="AG185" t="s">
        <v>340</v>
      </c>
      <c r="AH185" t="s">
        <v>341</v>
      </c>
      <c r="AI185">
        <v>18.4851</v>
      </c>
      <c r="AJ185" t="s">
        <v>342</v>
      </c>
      <c r="AK185" t="s">
        <v>353</v>
      </c>
      <c r="AL185">
        <v>26497</v>
      </c>
      <c r="AM185">
        <v>137</v>
      </c>
      <c r="AN185">
        <v>0</v>
      </c>
      <c r="AO185">
        <v>20</v>
      </c>
      <c r="AP185">
        <v>15</v>
      </c>
      <c r="AQ185">
        <v>19.99</v>
      </c>
      <c r="AR185">
        <v>117.94</v>
      </c>
      <c r="AS185">
        <v>731.6</v>
      </c>
      <c r="AT185">
        <v>1705.89</v>
      </c>
      <c r="AU185">
        <v>2924.03</v>
      </c>
      <c r="AV185">
        <v>114</v>
      </c>
      <c r="AW185">
        <v>38</v>
      </c>
      <c r="AX185">
        <v>0</v>
      </c>
      <c r="AY185">
        <v>0</v>
      </c>
      <c r="AZ185">
        <v>0</v>
      </c>
      <c r="BA185">
        <v>15.23</v>
      </c>
      <c r="BB185">
        <v>63</v>
      </c>
      <c r="BC185">
        <v>0</v>
      </c>
      <c r="BD185">
        <v>63</v>
      </c>
      <c r="BE185">
        <v>0</v>
      </c>
      <c r="BG185">
        <v>2</v>
      </c>
      <c r="BH185">
        <v>0</v>
      </c>
      <c r="BY185">
        <v>72.9</v>
      </c>
      <c r="BZ185">
        <v>78</v>
      </c>
      <c r="CA185" t="s">
        <v>360</v>
      </c>
      <c r="CD185" s="5">
        <v>46188</v>
      </c>
      <c r="CE185" t="s">
        <v>345</v>
      </c>
      <c r="CF185" t="s">
        <v>346</v>
      </c>
      <c r="CG185">
        <v>72.9</v>
      </c>
      <c r="CH185">
        <v>54.1</v>
      </c>
      <c r="CI185" s="5">
        <v>46186</v>
      </c>
      <c r="CJ185">
        <v>212</v>
      </c>
      <c r="CK185">
        <v>11</v>
      </c>
      <c r="CL185">
        <v>2</v>
      </c>
      <c r="CM185">
        <v>0</v>
      </c>
      <c r="CN185">
        <v>0</v>
      </c>
      <c r="CO185">
        <v>139</v>
      </c>
      <c r="CP185" t="s">
        <v>347</v>
      </c>
      <c r="CQ185" t="s">
        <v>348</v>
      </c>
    </row>
    <row r="186" spans="1:95">
      <c r="A186" s="5">
        <v>46188</v>
      </c>
      <c r="B186" t="s">
        <v>1018</v>
      </c>
      <c r="C186" t="s">
        <v>1019</v>
      </c>
      <c r="D186" t="s">
        <v>1020</v>
      </c>
      <c r="E186" t="s">
        <v>1021</v>
      </c>
      <c r="G186">
        <v>0</v>
      </c>
      <c r="H186">
        <v>-1</v>
      </c>
      <c r="O186" t="s">
        <v>338</v>
      </c>
      <c r="U186">
        <v>0</v>
      </c>
      <c r="V186">
        <v>0</v>
      </c>
      <c r="W186">
        <v>0</v>
      </c>
      <c r="X186">
        <v>0</v>
      </c>
      <c r="Y186" t="s">
        <v>359</v>
      </c>
      <c r="AB186">
        <v>0</v>
      </c>
      <c r="AC186">
        <v>0</v>
      </c>
      <c r="AE186">
        <v>-1</v>
      </c>
      <c r="AH186" t="s">
        <v>341</v>
      </c>
      <c r="AJ186" t="s">
        <v>342</v>
      </c>
      <c r="AK186" t="s">
        <v>353</v>
      </c>
      <c r="AM186">
        <v>0</v>
      </c>
      <c r="AN186">
        <v>0</v>
      </c>
      <c r="AQ186">
        <v>32.39</v>
      </c>
      <c r="AY186">
        <v>0</v>
      </c>
      <c r="BB186">
        <v>0</v>
      </c>
      <c r="BC186">
        <v>0</v>
      </c>
      <c r="BD186">
        <v>0</v>
      </c>
      <c r="BE186">
        <v>0</v>
      </c>
      <c r="BG186">
        <v>0</v>
      </c>
      <c r="BH186">
        <v>0</v>
      </c>
      <c r="CJ186">
        <v>0</v>
      </c>
      <c r="CK186">
        <v>0</v>
      </c>
      <c r="CL186">
        <v>0</v>
      </c>
      <c r="CM186">
        <v>0</v>
      </c>
      <c r="CN186">
        <v>0</v>
      </c>
      <c r="CO186">
        <v>0</v>
      </c>
      <c r="CP186" t="s">
        <v>347</v>
      </c>
      <c r="CQ186" t="s">
        <v>348</v>
      </c>
    </row>
    <row r="187" spans="1:95">
      <c r="A187" s="5">
        <v>46188</v>
      </c>
      <c r="B187" t="s">
        <v>1022</v>
      </c>
      <c r="C187" t="s">
        <v>1023</v>
      </c>
      <c r="D187" t="s">
        <v>1024</v>
      </c>
      <c r="E187" t="s">
        <v>1025</v>
      </c>
      <c r="F187" t="s">
        <v>337</v>
      </c>
      <c r="G187">
        <v>20</v>
      </c>
      <c r="H187">
        <v>0</v>
      </c>
      <c r="I187">
        <v>20</v>
      </c>
      <c r="J187">
        <v>0</v>
      </c>
      <c r="K187">
        <v>0</v>
      </c>
      <c r="L187">
        <v>0</v>
      </c>
      <c r="M187">
        <v>0</v>
      </c>
      <c r="N187">
        <v>0</v>
      </c>
      <c r="O187" t="s">
        <v>338</v>
      </c>
      <c r="T187" t="s">
        <v>409</v>
      </c>
      <c r="U187">
        <v>39.99</v>
      </c>
      <c r="V187">
        <v>0</v>
      </c>
      <c r="W187">
        <v>22.99</v>
      </c>
      <c r="X187">
        <v>0</v>
      </c>
      <c r="Y187" t="s">
        <v>391</v>
      </c>
      <c r="AA187">
        <v>0</v>
      </c>
      <c r="AB187">
        <v>0</v>
      </c>
      <c r="AC187">
        <v>0</v>
      </c>
      <c r="AD187">
        <v>0</v>
      </c>
      <c r="AE187">
        <v>0</v>
      </c>
      <c r="AF187">
        <v>0.153854</v>
      </c>
      <c r="AG187" t="s">
        <v>340</v>
      </c>
      <c r="AH187" t="s">
        <v>341</v>
      </c>
      <c r="AI187">
        <v>3.07708</v>
      </c>
      <c r="AJ187" t="s">
        <v>342</v>
      </c>
      <c r="AK187" t="s">
        <v>353</v>
      </c>
      <c r="AL187">
        <v>206385</v>
      </c>
      <c r="AM187">
        <v>75</v>
      </c>
      <c r="AN187">
        <v>0</v>
      </c>
      <c r="AQ187">
        <v>22.99</v>
      </c>
      <c r="AV187">
        <v>0</v>
      </c>
      <c r="AW187">
        <v>20</v>
      </c>
      <c r="AX187">
        <v>0</v>
      </c>
      <c r="AY187">
        <v>0</v>
      </c>
      <c r="AZ187">
        <v>0</v>
      </c>
      <c r="BA187">
        <v>2.14</v>
      </c>
      <c r="BB187">
        <v>0</v>
      </c>
      <c r="BC187">
        <v>0</v>
      </c>
      <c r="BD187">
        <v>0</v>
      </c>
      <c r="BE187">
        <v>0</v>
      </c>
      <c r="BG187">
        <v>0</v>
      </c>
      <c r="BH187">
        <v>0</v>
      </c>
      <c r="CI187" s="5">
        <v>46186</v>
      </c>
      <c r="CJ187">
        <v>20</v>
      </c>
      <c r="CK187">
        <v>0</v>
      </c>
      <c r="CL187">
        <v>0</v>
      </c>
      <c r="CM187">
        <v>0</v>
      </c>
      <c r="CN187">
        <v>0</v>
      </c>
      <c r="CO187">
        <v>75</v>
      </c>
      <c r="CP187" t="s">
        <v>347</v>
      </c>
      <c r="CQ187" t="s">
        <v>348</v>
      </c>
    </row>
    <row r="188" spans="1:95">
      <c r="A188" s="5">
        <v>46188</v>
      </c>
      <c r="B188" t="s">
        <v>1026</v>
      </c>
      <c r="C188" t="s">
        <v>1027</v>
      </c>
      <c r="D188" t="s">
        <v>1028</v>
      </c>
      <c r="E188" t="s">
        <v>1029</v>
      </c>
      <c r="F188" t="s">
        <v>337</v>
      </c>
      <c r="G188">
        <v>20</v>
      </c>
      <c r="H188">
        <v>-1</v>
      </c>
      <c r="O188" t="s">
        <v>338</v>
      </c>
      <c r="U188">
        <v>41.99</v>
      </c>
      <c r="V188">
        <v>0</v>
      </c>
      <c r="W188">
        <v>0</v>
      </c>
      <c r="X188">
        <v>0</v>
      </c>
      <c r="Y188" t="s">
        <v>372</v>
      </c>
      <c r="AA188">
        <v>0</v>
      </c>
      <c r="AB188">
        <v>0</v>
      </c>
      <c r="AC188">
        <v>0</v>
      </c>
      <c r="AD188">
        <v>0</v>
      </c>
      <c r="AE188">
        <v>-1</v>
      </c>
      <c r="AH188" t="s">
        <v>341</v>
      </c>
      <c r="AJ188" t="s">
        <v>342</v>
      </c>
      <c r="AK188" t="s">
        <v>353</v>
      </c>
      <c r="AL188">
        <v>206385</v>
      </c>
      <c r="AM188">
        <v>36</v>
      </c>
      <c r="AN188">
        <v>0</v>
      </c>
      <c r="AQ188">
        <v>29.99</v>
      </c>
      <c r="AY188">
        <v>0</v>
      </c>
      <c r="BA188">
        <v>1.31</v>
      </c>
      <c r="BB188">
        <v>0</v>
      </c>
      <c r="BC188">
        <v>0</v>
      </c>
      <c r="BD188">
        <v>0</v>
      </c>
      <c r="BE188">
        <v>0</v>
      </c>
      <c r="BG188">
        <v>0</v>
      </c>
      <c r="BH188">
        <v>0</v>
      </c>
      <c r="CB188">
        <v>8</v>
      </c>
      <c r="CC188" s="5">
        <v>46193</v>
      </c>
      <c r="CJ188">
        <v>20</v>
      </c>
      <c r="CK188">
        <v>0</v>
      </c>
      <c r="CL188">
        <v>0</v>
      </c>
      <c r="CM188">
        <v>0</v>
      </c>
      <c r="CN188">
        <v>0</v>
      </c>
      <c r="CO188">
        <v>36</v>
      </c>
      <c r="CP188" t="s">
        <v>347</v>
      </c>
      <c r="CQ188" t="s">
        <v>348</v>
      </c>
    </row>
    <row r="189" spans="1:95">
      <c r="A189" s="5">
        <v>46188</v>
      </c>
      <c r="B189" t="s">
        <v>1030</v>
      </c>
      <c r="C189" t="s">
        <v>120</v>
      </c>
      <c r="D189" t="s">
        <v>1031</v>
      </c>
      <c r="E189" t="s">
        <v>1032</v>
      </c>
      <c r="G189">
        <v>0</v>
      </c>
      <c r="H189">
        <v>-1</v>
      </c>
      <c r="O189" t="s">
        <v>338</v>
      </c>
      <c r="P189">
        <v>0</v>
      </c>
      <c r="Q189">
        <v>0</v>
      </c>
      <c r="R189">
        <v>0</v>
      </c>
      <c r="S189">
        <v>0</v>
      </c>
      <c r="U189">
        <v>0</v>
      </c>
      <c r="V189">
        <v>0</v>
      </c>
      <c r="W189">
        <v>0</v>
      </c>
      <c r="X189">
        <v>0</v>
      </c>
      <c r="Y189" t="s">
        <v>359</v>
      </c>
      <c r="AB189">
        <v>0</v>
      </c>
      <c r="AC189">
        <v>0</v>
      </c>
      <c r="AE189">
        <v>-1</v>
      </c>
      <c r="AH189" t="s">
        <v>424</v>
      </c>
      <c r="AJ189" t="s">
        <v>342</v>
      </c>
      <c r="AK189" t="s">
        <v>353</v>
      </c>
      <c r="AL189">
        <v>192027</v>
      </c>
      <c r="AN189">
        <v>0</v>
      </c>
      <c r="AQ189">
        <v>75.99</v>
      </c>
      <c r="AR189">
        <v>0</v>
      </c>
      <c r="AS189">
        <v>0</v>
      </c>
      <c r="AT189">
        <v>0</v>
      </c>
      <c r="AU189">
        <v>0</v>
      </c>
      <c r="AY189">
        <v>0</v>
      </c>
      <c r="BB189">
        <v>0</v>
      </c>
      <c r="BC189">
        <v>0</v>
      </c>
      <c r="BD189">
        <v>0</v>
      </c>
      <c r="BE189">
        <v>0</v>
      </c>
      <c r="BG189">
        <v>0</v>
      </c>
      <c r="BH189">
        <v>0</v>
      </c>
      <c r="CJ189">
        <v>0</v>
      </c>
      <c r="CK189">
        <v>0</v>
      </c>
      <c r="CL189">
        <v>0</v>
      </c>
      <c r="CM189">
        <v>0</v>
      </c>
      <c r="CN189">
        <v>0</v>
      </c>
      <c r="CP189" t="s">
        <v>347</v>
      </c>
      <c r="CQ189" t="s">
        <v>348</v>
      </c>
    </row>
    <row r="190" spans="1:95">
      <c r="A190" s="5">
        <v>46188</v>
      </c>
      <c r="B190" t="s">
        <v>1033</v>
      </c>
      <c r="C190" t="s">
        <v>1034</v>
      </c>
      <c r="D190" t="s">
        <v>1035</v>
      </c>
      <c r="E190" t="s">
        <v>1036</v>
      </c>
      <c r="G190">
        <v>0</v>
      </c>
      <c r="H190">
        <v>-1</v>
      </c>
      <c r="O190" t="s">
        <v>338</v>
      </c>
      <c r="U190">
        <v>0</v>
      </c>
      <c r="V190">
        <v>0</v>
      </c>
      <c r="W190">
        <v>0</v>
      </c>
      <c r="X190">
        <v>0</v>
      </c>
      <c r="Y190" t="s">
        <v>359</v>
      </c>
      <c r="AB190">
        <v>0</v>
      </c>
      <c r="AC190">
        <v>0</v>
      </c>
      <c r="AE190">
        <v>-1</v>
      </c>
      <c r="AJ190" t="s">
        <v>342</v>
      </c>
      <c r="AK190" t="s">
        <v>1037</v>
      </c>
      <c r="AN190">
        <v>0</v>
      </c>
      <c r="AY190">
        <v>0</v>
      </c>
      <c r="BB190">
        <v>0</v>
      </c>
      <c r="BG190">
        <v>0</v>
      </c>
      <c r="BH190">
        <v>0</v>
      </c>
      <c r="CJ190">
        <v>0</v>
      </c>
      <c r="CK190">
        <v>0</v>
      </c>
      <c r="CL190">
        <v>0</v>
      </c>
      <c r="CM190">
        <v>0</v>
      </c>
      <c r="CN190">
        <v>0</v>
      </c>
      <c r="CP190" t="s">
        <v>347</v>
      </c>
      <c r="CQ190" t="s">
        <v>348</v>
      </c>
    </row>
    <row r="191" spans="1:95">
      <c r="A191" s="5">
        <v>46188</v>
      </c>
      <c r="B191" t="s">
        <v>1038</v>
      </c>
      <c r="C191" t="s">
        <v>1039</v>
      </c>
      <c r="D191" t="s">
        <v>1040</v>
      </c>
      <c r="E191" t="s">
        <v>1041</v>
      </c>
      <c r="F191" t="s">
        <v>337</v>
      </c>
      <c r="G191">
        <v>40</v>
      </c>
      <c r="H191">
        <v>0</v>
      </c>
      <c r="I191">
        <v>0</v>
      </c>
      <c r="J191">
        <v>40</v>
      </c>
      <c r="K191">
        <v>0</v>
      </c>
      <c r="L191">
        <v>0</v>
      </c>
      <c r="M191">
        <v>0</v>
      </c>
      <c r="N191">
        <v>0</v>
      </c>
      <c r="O191" t="s">
        <v>338</v>
      </c>
      <c r="T191" t="s">
        <v>409</v>
      </c>
      <c r="U191">
        <v>38.99</v>
      </c>
      <c r="V191">
        <v>0</v>
      </c>
      <c r="W191">
        <v>33.14</v>
      </c>
      <c r="X191">
        <v>0</v>
      </c>
      <c r="Y191" t="s">
        <v>391</v>
      </c>
      <c r="AA191">
        <v>0</v>
      </c>
      <c r="AB191">
        <v>0</v>
      </c>
      <c r="AC191">
        <v>0</v>
      </c>
      <c r="AD191">
        <v>940.65</v>
      </c>
      <c r="AE191">
        <v>0</v>
      </c>
      <c r="AF191">
        <v>0.174644</v>
      </c>
      <c r="AG191" t="s">
        <v>340</v>
      </c>
      <c r="AH191" t="s">
        <v>341</v>
      </c>
      <c r="AI191">
        <v>6.98576</v>
      </c>
      <c r="AJ191" t="s">
        <v>342</v>
      </c>
      <c r="AK191" t="s">
        <v>353</v>
      </c>
      <c r="AL191">
        <v>206385</v>
      </c>
      <c r="AN191">
        <v>27</v>
      </c>
      <c r="AQ191">
        <v>33.14</v>
      </c>
      <c r="AV191">
        <v>0</v>
      </c>
      <c r="AW191">
        <v>0</v>
      </c>
      <c r="AX191">
        <v>0</v>
      </c>
      <c r="AY191">
        <v>0</v>
      </c>
      <c r="AZ191">
        <v>0</v>
      </c>
      <c r="BA191">
        <v>4.99</v>
      </c>
      <c r="BB191">
        <v>0</v>
      </c>
      <c r="BC191">
        <v>0</v>
      </c>
      <c r="BD191">
        <v>0</v>
      </c>
      <c r="BE191">
        <v>0</v>
      </c>
      <c r="BG191">
        <v>0</v>
      </c>
      <c r="BH191">
        <v>0</v>
      </c>
      <c r="CA191" t="s">
        <v>354</v>
      </c>
      <c r="CI191" s="5">
        <v>46186</v>
      </c>
      <c r="CJ191">
        <v>40</v>
      </c>
      <c r="CK191">
        <v>0</v>
      </c>
      <c r="CL191">
        <v>0</v>
      </c>
      <c r="CM191">
        <v>0</v>
      </c>
      <c r="CN191">
        <v>0</v>
      </c>
      <c r="CP191" t="s">
        <v>347</v>
      </c>
      <c r="CQ191" t="s">
        <v>348</v>
      </c>
    </row>
    <row r="192" spans="1:95">
      <c r="A192" s="5">
        <v>46188</v>
      </c>
      <c r="B192" t="s">
        <v>1042</v>
      </c>
      <c r="C192" t="s">
        <v>1043</v>
      </c>
      <c r="D192" t="s">
        <v>1044</v>
      </c>
      <c r="E192" t="s">
        <v>1045</v>
      </c>
      <c r="G192">
        <v>0</v>
      </c>
      <c r="H192">
        <v>-1</v>
      </c>
      <c r="O192" t="s">
        <v>338</v>
      </c>
      <c r="U192">
        <v>0</v>
      </c>
      <c r="V192">
        <v>0</v>
      </c>
      <c r="W192">
        <v>0</v>
      </c>
      <c r="X192">
        <v>0</v>
      </c>
      <c r="Y192" t="s">
        <v>359</v>
      </c>
      <c r="AB192">
        <v>0</v>
      </c>
      <c r="AC192">
        <v>0</v>
      </c>
      <c r="AE192">
        <v>-1</v>
      </c>
      <c r="AH192" t="s">
        <v>341</v>
      </c>
      <c r="AJ192" t="s">
        <v>342</v>
      </c>
      <c r="AK192" t="s">
        <v>353</v>
      </c>
      <c r="AN192">
        <v>0</v>
      </c>
      <c r="AQ192">
        <v>16.49</v>
      </c>
      <c r="AY192">
        <v>0</v>
      </c>
      <c r="BB192">
        <v>0</v>
      </c>
      <c r="BC192">
        <v>0</v>
      </c>
      <c r="BD192">
        <v>0</v>
      </c>
      <c r="BE192">
        <v>0</v>
      </c>
      <c r="BG192">
        <v>0</v>
      </c>
      <c r="BH192">
        <v>0</v>
      </c>
      <c r="CJ192">
        <v>0</v>
      </c>
      <c r="CK192">
        <v>0</v>
      </c>
      <c r="CL192">
        <v>0</v>
      </c>
      <c r="CM192">
        <v>0</v>
      </c>
      <c r="CN192">
        <v>0</v>
      </c>
      <c r="CP192" t="s">
        <v>347</v>
      </c>
      <c r="CQ192" t="s">
        <v>348</v>
      </c>
    </row>
    <row r="193" spans="1:95">
      <c r="A193" s="5">
        <v>46188</v>
      </c>
      <c r="B193" t="s">
        <v>1046</v>
      </c>
      <c r="C193" t="s">
        <v>1047</v>
      </c>
      <c r="D193" t="s">
        <v>1048</v>
      </c>
      <c r="E193" t="s">
        <v>1049</v>
      </c>
      <c r="F193" t="s">
        <v>337</v>
      </c>
      <c r="H193">
        <v>0</v>
      </c>
      <c r="I193">
        <v>75</v>
      </c>
      <c r="J193">
        <v>9</v>
      </c>
      <c r="K193">
        <v>0</v>
      </c>
      <c r="L193">
        <v>0</v>
      </c>
      <c r="M193">
        <v>0</v>
      </c>
      <c r="N193">
        <v>0</v>
      </c>
      <c r="O193" t="s">
        <v>338</v>
      </c>
      <c r="P193">
        <v>8</v>
      </c>
      <c r="Q193">
        <v>24</v>
      </c>
      <c r="R193">
        <v>37</v>
      </c>
      <c r="S193">
        <v>49</v>
      </c>
      <c r="U193">
        <v>39.99</v>
      </c>
      <c r="V193">
        <v>0</v>
      </c>
      <c r="W193">
        <v>38.99</v>
      </c>
      <c r="X193">
        <v>0</v>
      </c>
      <c r="Y193" t="s">
        <v>464</v>
      </c>
      <c r="AA193">
        <v>0</v>
      </c>
      <c r="AB193">
        <v>0</v>
      </c>
      <c r="AC193">
        <v>0</v>
      </c>
      <c r="AD193">
        <v>0</v>
      </c>
      <c r="AE193">
        <v>0.44</v>
      </c>
      <c r="AF193">
        <v>0.319555</v>
      </c>
      <c r="AG193" t="s">
        <v>340</v>
      </c>
      <c r="AH193" t="s">
        <v>341</v>
      </c>
      <c r="AI193">
        <v>0</v>
      </c>
      <c r="AJ193" t="s">
        <v>342</v>
      </c>
      <c r="AK193" t="s">
        <v>353</v>
      </c>
      <c r="AL193">
        <v>26497</v>
      </c>
      <c r="AM193">
        <v>0</v>
      </c>
      <c r="AN193">
        <v>0</v>
      </c>
      <c r="AO193">
        <v>0</v>
      </c>
      <c r="AP193">
        <v>0</v>
      </c>
      <c r="AQ193">
        <v>28.49</v>
      </c>
      <c r="AR193">
        <v>228.22</v>
      </c>
      <c r="AS193">
        <v>684.06</v>
      </c>
      <c r="AT193">
        <v>1080.93</v>
      </c>
      <c r="AU193">
        <v>1439.53</v>
      </c>
      <c r="AV193">
        <v>2</v>
      </c>
      <c r="AW193">
        <v>1</v>
      </c>
      <c r="AX193">
        <v>72</v>
      </c>
      <c r="AY193">
        <v>0</v>
      </c>
      <c r="AZ193">
        <v>0</v>
      </c>
      <c r="BA193">
        <v>16.55</v>
      </c>
      <c r="BB193">
        <v>0</v>
      </c>
      <c r="BG193">
        <v>0</v>
      </c>
      <c r="BY193">
        <v>206</v>
      </c>
      <c r="BZ193">
        <v>67</v>
      </c>
      <c r="CB193">
        <v>133</v>
      </c>
      <c r="CC193" s="5">
        <v>46187</v>
      </c>
      <c r="CD193" s="5">
        <v>46188</v>
      </c>
      <c r="CE193" t="s">
        <v>345</v>
      </c>
      <c r="CF193" t="s">
        <v>346</v>
      </c>
      <c r="CG193">
        <v>121.8</v>
      </c>
      <c r="CH193">
        <v>206</v>
      </c>
      <c r="CI193" s="5">
        <v>46186</v>
      </c>
      <c r="CJ193">
        <v>0</v>
      </c>
      <c r="CL193">
        <v>0</v>
      </c>
      <c r="CN193">
        <v>0</v>
      </c>
      <c r="CO193">
        <v>0</v>
      </c>
      <c r="CP193" t="s">
        <v>347</v>
      </c>
      <c r="CQ193" t="s">
        <v>348</v>
      </c>
    </row>
    <row r="194" spans="1:95">
      <c r="A194" s="5">
        <v>46188</v>
      </c>
      <c r="B194" t="s">
        <v>1050</v>
      </c>
      <c r="C194" t="s">
        <v>1051</v>
      </c>
      <c r="D194" t="s">
        <v>1052</v>
      </c>
      <c r="E194" t="s">
        <v>1053</v>
      </c>
      <c r="G194">
        <v>0</v>
      </c>
      <c r="H194">
        <v>-1</v>
      </c>
      <c r="O194" t="s">
        <v>338</v>
      </c>
      <c r="P194">
        <v>0</v>
      </c>
      <c r="Q194">
        <v>0</v>
      </c>
      <c r="R194">
        <v>0</v>
      </c>
      <c r="S194">
        <v>0</v>
      </c>
      <c r="U194">
        <v>0</v>
      </c>
      <c r="V194">
        <v>0</v>
      </c>
      <c r="W194">
        <v>0</v>
      </c>
      <c r="X194">
        <v>0</v>
      </c>
      <c r="Y194" t="s">
        <v>359</v>
      </c>
      <c r="AB194">
        <v>0</v>
      </c>
      <c r="AC194">
        <v>0</v>
      </c>
      <c r="AE194">
        <v>-1</v>
      </c>
      <c r="AH194" t="s">
        <v>341</v>
      </c>
      <c r="AJ194" t="s">
        <v>342</v>
      </c>
      <c r="AK194" t="s">
        <v>353</v>
      </c>
      <c r="AM194">
        <v>0</v>
      </c>
      <c r="AN194">
        <v>0</v>
      </c>
      <c r="AQ194">
        <v>27.46</v>
      </c>
      <c r="AR194">
        <v>0</v>
      </c>
      <c r="AS194">
        <v>0</v>
      </c>
      <c r="AT194">
        <v>0</v>
      </c>
      <c r="AU194">
        <v>0</v>
      </c>
      <c r="AY194">
        <v>0</v>
      </c>
      <c r="BB194">
        <v>0</v>
      </c>
      <c r="BC194">
        <v>0</v>
      </c>
      <c r="BD194">
        <v>0</v>
      </c>
      <c r="BE194">
        <v>0</v>
      </c>
      <c r="BG194">
        <v>0</v>
      </c>
      <c r="BH194">
        <v>1</v>
      </c>
      <c r="BZ194">
        <v>1</v>
      </c>
      <c r="CA194" t="s">
        <v>429</v>
      </c>
      <c r="CJ194">
        <v>0</v>
      </c>
      <c r="CK194">
        <v>0</v>
      </c>
      <c r="CL194">
        <v>0</v>
      </c>
      <c r="CM194">
        <v>0</v>
      </c>
      <c r="CN194">
        <v>0</v>
      </c>
      <c r="CO194">
        <v>0</v>
      </c>
      <c r="CP194" t="s">
        <v>347</v>
      </c>
      <c r="CQ194" t="s">
        <v>348</v>
      </c>
    </row>
    <row r="195" spans="1:95">
      <c r="A195" s="5">
        <v>46188</v>
      </c>
      <c r="B195" t="s">
        <v>1054</v>
      </c>
      <c r="C195" t="s">
        <v>1055</v>
      </c>
      <c r="D195" t="s">
        <v>1056</v>
      </c>
      <c r="E195" t="s">
        <v>1057</v>
      </c>
      <c r="F195" t="s">
        <v>337</v>
      </c>
      <c r="G195">
        <v>0</v>
      </c>
      <c r="H195">
        <v>-1</v>
      </c>
      <c r="O195" t="s">
        <v>338</v>
      </c>
      <c r="U195">
        <v>55.99</v>
      </c>
      <c r="V195">
        <v>0</v>
      </c>
      <c r="W195">
        <v>0</v>
      </c>
      <c r="X195">
        <v>0</v>
      </c>
      <c r="Y195" t="s">
        <v>372</v>
      </c>
      <c r="AB195">
        <v>0</v>
      </c>
      <c r="AC195">
        <v>0</v>
      </c>
      <c r="AE195">
        <v>-1</v>
      </c>
      <c r="AH195" t="s">
        <v>341</v>
      </c>
      <c r="AJ195" t="s">
        <v>342</v>
      </c>
      <c r="AK195" t="s">
        <v>404</v>
      </c>
      <c r="AN195">
        <v>0</v>
      </c>
      <c r="AY195">
        <v>0</v>
      </c>
      <c r="BB195">
        <v>20</v>
      </c>
      <c r="BC195">
        <v>20</v>
      </c>
      <c r="BD195">
        <v>0</v>
      </c>
      <c r="BE195">
        <v>0</v>
      </c>
      <c r="BG195">
        <v>0</v>
      </c>
      <c r="BH195">
        <v>0</v>
      </c>
      <c r="CJ195">
        <v>20</v>
      </c>
      <c r="CK195">
        <v>0</v>
      </c>
      <c r="CL195">
        <v>0</v>
      </c>
      <c r="CM195">
        <v>0</v>
      </c>
      <c r="CN195">
        <v>0</v>
      </c>
      <c r="CP195" t="s">
        <v>347</v>
      </c>
      <c r="CQ195" t="s">
        <v>348</v>
      </c>
    </row>
    <row r="196" spans="1:95">
      <c r="A196" s="5">
        <v>46188</v>
      </c>
      <c r="B196" t="s">
        <v>1058</v>
      </c>
      <c r="C196" t="s">
        <v>1059</v>
      </c>
      <c r="D196" t="s">
        <v>1060</v>
      </c>
      <c r="E196" t="s">
        <v>1061</v>
      </c>
      <c r="G196">
        <v>0</v>
      </c>
      <c r="H196">
        <v>-1</v>
      </c>
      <c r="O196" t="s">
        <v>338</v>
      </c>
      <c r="U196">
        <v>0</v>
      </c>
      <c r="V196">
        <v>0</v>
      </c>
      <c r="W196">
        <v>0</v>
      </c>
      <c r="X196">
        <v>0</v>
      </c>
      <c r="Y196" t="s">
        <v>359</v>
      </c>
      <c r="AB196">
        <v>0</v>
      </c>
      <c r="AC196">
        <v>0</v>
      </c>
      <c r="AE196">
        <v>-1</v>
      </c>
      <c r="AH196" t="s">
        <v>341</v>
      </c>
      <c r="AJ196" t="s">
        <v>342</v>
      </c>
      <c r="AK196" t="s">
        <v>465</v>
      </c>
      <c r="AN196">
        <v>0</v>
      </c>
      <c r="AY196">
        <v>0</v>
      </c>
      <c r="BB196">
        <v>0</v>
      </c>
      <c r="BG196">
        <v>0</v>
      </c>
      <c r="BH196">
        <v>0</v>
      </c>
      <c r="CJ196">
        <v>0</v>
      </c>
      <c r="CK196">
        <v>0</v>
      </c>
      <c r="CL196">
        <v>0</v>
      </c>
      <c r="CM196">
        <v>0</v>
      </c>
      <c r="CN196">
        <v>0</v>
      </c>
      <c r="CP196" t="s">
        <v>347</v>
      </c>
      <c r="CQ196" t="s">
        <v>348</v>
      </c>
    </row>
    <row r="197" spans="1:95">
      <c r="A197" s="5">
        <v>46188</v>
      </c>
      <c r="B197" t="s">
        <v>1062</v>
      </c>
      <c r="C197" t="s">
        <v>1063</v>
      </c>
      <c r="D197" t="s">
        <v>1064</v>
      </c>
      <c r="E197" t="s">
        <v>1065</v>
      </c>
      <c r="F197" t="s">
        <v>337</v>
      </c>
      <c r="G197">
        <v>2</v>
      </c>
      <c r="H197">
        <v>0</v>
      </c>
      <c r="I197">
        <v>0</v>
      </c>
      <c r="J197">
        <v>0</v>
      </c>
      <c r="K197">
        <v>0</v>
      </c>
      <c r="L197">
        <v>0</v>
      </c>
      <c r="M197">
        <v>0</v>
      </c>
      <c r="N197">
        <v>2</v>
      </c>
      <c r="O197" t="s">
        <v>338</v>
      </c>
      <c r="P197">
        <v>0</v>
      </c>
      <c r="Q197">
        <v>0</v>
      </c>
      <c r="R197">
        <v>0</v>
      </c>
      <c r="S197">
        <v>0</v>
      </c>
      <c r="T197" t="s">
        <v>351</v>
      </c>
      <c r="U197">
        <v>29.99</v>
      </c>
      <c r="V197">
        <v>0</v>
      </c>
      <c r="W197">
        <v>27.99</v>
      </c>
      <c r="X197">
        <v>0</v>
      </c>
      <c r="Y197" t="s">
        <v>613</v>
      </c>
      <c r="AA197">
        <v>0</v>
      </c>
      <c r="AB197">
        <v>0</v>
      </c>
      <c r="AC197">
        <v>0</v>
      </c>
      <c r="AD197">
        <v>103.38</v>
      </c>
      <c r="AE197">
        <v>0</v>
      </c>
      <c r="AF197">
        <v>0.173254</v>
      </c>
      <c r="AG197" t="s">
        <v>340</v>
      </c>
      <c r="AH197" t="s">
        <v>341</v>
      </c>
      <c r="AI197">
        <v>0.346508</v>
      </c>
      <c r="AJ197" t="s">
        <v>342</v>
      </c>
      <c r="AK197" t="s">
        <v>353</v>
      </c>
      <c r="AL197">
        <v>806534</v>
      </c>
      <c r="AM197">
        <v>51</v>
      </c>
      <c r="AN197">
        <v>0</v>
      </c>
      <c r="AQ197">
        <v>29.99</v>
      </c>
      <c r="AR197">
        <v>0</v>
      </c>
      <c r="AS197">
        <v>0</v>
      </c>
      <c r="AT197">
        <v>0</v>
      </c>
      <c r="AU197">
        <v>0</v>
      </c>
      <c r="AV197">
        <v>0</v>
      </c>
      <c r="AW197">
        <v>0</v>
      </c>
      <c r="AX197">
        <v>0</v>
      </c>
      <c r="AY197">
        <v>0</v>
      </c>
      <c r="AZ197">
        <v>0</v>
      </c>
      <c r="BA197">
        <v>2.96</v>
      </c>
      <c r="BB197">
        <v>0</v>
      </c>
      <c r="BC197">
        <v>0</v>
      </c>
      <c r="BD197">
        <v>0</v>
      </c>
      <c r="BE197">
        <v>0</v>
      </c>
      <c r="BG197">
        <v>0</v>
      </c>
      <c r="BH197">
        <v>0</v>
      </c>
      <c r="BI197">
        <v>0</v>
      </c>
      <c r="BJ197">
        <v>0</v>
      </c>
      <c r="BK197">
        <v>0</v>
      </c>
      <c r="BL197">
        <v>0</v>
      </c>
      <c r="BM197">
        <v>0</v>
      </c>
      <c r="BN197">
        <v>0</v>
      </c>
      <c r="BO197">
        <v>0</v>
      </c>
      <c r="BP197">
        <v>0</v>
      </c>
      <c r="BQ197">
        <v>0</v>
      </c>
      <c r="BR197">
        <v>0</v>
      </c>
      <c r="BS197">
        <v>0</v>
      </c>
      <c r="BT197">
        <v>0</v>
      </c>
      <c r="BU197">
        <v>0</v>
      </c>
      <c r="BV197">
        <v>0</v>
      </c>
      <c r="BW197">
        <v>2</v>
      </c>
      <c r="BX197">
        <v>2.74</v>
      </c>
      <c r="BZ197">
        <v>2</v>
      </c>
      <c r="CA197" t="s">
        <v>360</v>
      </c>
      <c r="CB197">
        <v>1</v>
      </c>
      <c r="CC197" s="5">
        <v>46193</v>
      </c>
      <c r="CI197" s="5">
        <v>46186</v>
      </c>
      <c r="CJ197">
        <v>2</v>
      </c>
      <c r="CK197">
        <v>0</v>
      </c>
      <c r="CL197">
        <v>0</v>
      </c>
      <c r="CM197">
        <v>0</v>
      </c>
      <c r="CN197">
        <v>0</v>
      </c>
      <c r="CO197">
        <v>51</v>
      </c>
      <c r="CP197" t="s">
        <v>347</v>
      </c>
      <c r="CQ197" t="s">
        <v>348</v>
      </c>
    </row>
    <row r="198" spans="1:95">
      <c r="A198" s="5">
        <v>46188</v>
      </c>
      <c r="B198" t="s">
        <v>1066</v>
      </c>
      <c r="C198" t="s">
        <v>1067</v>
      </c>
      <c r="D198" t="s">
        <v>1068</v>
      </c>
      <c r="E198" t="s">
        <v>1069</v>
      </c>
      <c r="G198">
        <v>0</v>
      </c>
      <c r="H198">
        <v>-1</v>
      </c>
      <c r="O198" t="s">
        <v>338</v>
      </c>
      <c r="P198">
        <v>0</v>
      </c>
      <c r="Q198">
        <v>0</v>
      </c>
      <c r="R198">
        <v>0</v>
      </c>
      <c r="S198">
        <v>0</v>
      </c>
      <c r="U198">
        <v>0</v>
      </c>
      <c r="V198">
        <v>0</v>
      </c>
      <c r="W198">
        <v>0</v>
      </c>
      <c r="X198">
        <v>0</v>
      </c>
      <c r="Y198" t="s">
        <v>359</v>
      </c>
      <c r="AB198">
        <v>0</v>
      </c>
      <c r="AC198">
        <v>0</v>
      </c>
      <c r="AE198">
        <v>-1</v>
      </c>
      <c r="AH198" t="s">
        <v>341</v>
      </c>
      <c r="AJ198" t="s">
        <v>342</v>
      </c>
      <c r="AK198" t="s">
        <v>343</v>
      </c>
      <c r="AM198">
        <v>0</v>
      </c>
      <c r="AN198">
        <v>0</v>
      </c>
      <c r="AQ198">
        <v>29.24</v>
      </c>
      <c r="AR198">
        <v>0</v>
      </c>
      <c r="AS198">
        <v>0</v>
      </c>
      <c r="AT198">
        <v>0</v>
      </c>
      <c r="AU198">
        <v>0</v>
      </c>
      <c r="AY198">
        <v>0</v>
      </c>
      <c r="BB198">
        <v>0</v>
      </c>
      <c r="BC198">
        <v>0</v>
      </c>
      <c r="BD198">
        <v>0</v>
      </c>
      <c r="BE198">
        <v>0</v>
      </c>
      <c r="BG198">
        <v>0</v>
      </c>
      <c r="BH198">
        <v>0</v>
      </c>
      <c r="BZ198">
        <v>1</v>
      </c>
      <c r="CA198" t="s">
        <v>429</v>
      </c>
      <c r="CJ198">
        <v>0</v>
      </c>
      <c r="CK198">
        <v>0</v>
      </c>
      <c r="CL198">
        <v>0</v>
      </c>
      <c r="CM198">
        <v>0</v>
      </c>
      <c r="CN198">
        <v>0</v>
      </c>
      <c r="CO198">
        <v>0</v>
      </c>
      <c r="CP198" t="s">
        <v>347</v>
      </c>
      <c r="CQ198" t="s">
        <v>348</v>
      </c>
    </row>
    <row r="199" spans="1:95">
      <c r="A199" s="5">
        <v>46188</v>
      </c>
      <c r="B199" t="s">
        <v>1070</v>
      </c>
      <c r="C199" t="s">
        <v>1071</v>
      </c>
      <c r="D199" t="s">
        <v>1072</v>
      </c>
      <c r="E199" t="s">
        <v>1073</v>
      </c>
      <c r="G199">
        <v>0</v>
      </c>
      <c r="H199">
        <v>-1</v>
      </c>
      <c r="O199" t="s">
        <v>338</v>
      </c>
      <c r="U199">
        <v>0</v>
      </c>
      <c r="V199">
        <v>0</v>
      </c>
      <c r="W199">
        <v>0</v>
      </c>
      <c r="X199">
        <v>0</v>
      </c>
      <c r="Y199" t="s">
        <v>359</v>
      </c>
      <c r="AB199">
        <v>0</v>
      </c>
      <c r="AC199">
        <v>0</v>
      </c>
      <c r="AE199">
        <v>-1</v>
      </c>
      <c r="AH199" t="s">
        <v>341</v>
      </c>
      <c r="AJ199" t="s">
        <v>342</v>
      </c>
      <c r="AK199" t="s">
        <v>959</v>
      </c>
      <c r="AM199">
        <v>0</v>
      </c>
      <c r="AN199">
        <v>0</v>
      </c>
      <c r="AQ199">
        <v>6.99</v>
      </c>
      <c r="AY199">
        <v>0</v>
      </c>
      <c r="BB199">
        <v>0</v>
      </c>
      <c r="BC199">
        <v>0</v>
      </c>
      <c r="BD199">
        <v>0</v>
      </c>
      <c r="BE199">
        <v>0</v>
      </c>
      <c r="BG199">
        <v>0</v>
      </c>
      <c r="BH199">
        <v>0</v>
      </c>
      <c r="CJ199">
        <v>0</v>
      </c>
      <c r="CK199">
        <v>0</v>
      </c>
      <c r="CL199">
        <v>0</v>
      </c>
      <c r="CM199">
        <v>0</v>
      </c>
      <c r="CN199">
        <v>0</v>
      </c>
      <c r="CO199">
        <v>0</v>
      </c>
      <c r="CP199" t="s">
        <v>347</v>
      </c>
      <c r="CQ199" t="s">
        <v>348</v>
      </c>
    </row>
    <row r="200" spans="1:95">
      <c r="A200" s="5">
        <v>46188</v>
      </c>
      <c r="B200" t="s">
        <v>1074</v>
      </c>
      <c r="C200" t="s">
        <v>165</v>
      </c>
      <c r="D200" t="s">
        <v>1075</v>
      </c>
      <c r="E200" t="s">
        <v>1076</v>
      </c>
      <c r="G200">
        <v>3069</v>
      </c>
      <c r="H200">
        <v>0</v>
      </c>
      <c r="I200">
        <v>3375</v>
      </c>
      <c r="J200">
        <v>0</v>
      </c>
      <c r="K200">
        <v>0</v>
      </c>
      <c r="L200">
        <v>0</v>
      </c>
      <c r="M200">
        <v>0</v>
      </c>
      <c r="N200">
        <v>0</v>
      </c>
      <c r="O200" t="s">
        <v>338</v>
      </c>
      <c r="P200">
        <v>164</v>
      </c>
      <c r="Q200">
        <v>849</v>
      </c>
      <c r="R200">
        <v>1592</v>
      </c>
      <c r="S200">
        <v>2488</v>
      </c>
      <c r="W200">
        <v>15.49</v>
      </c>
      <c r="X200">
        <v>-1</v>
      </c>
      <c r="Y200" t="s">
        <v>359</v>
      </c>
      <c r="AA200">
        <v>0</v>
      </c>
      <c r="AB200">
        <v>0</v>
      </c>
      <c r="AC200">
        <v>0</v>
      </c>
      <c r="AD200">
        <v>0</v>
      </c>
      <c r="AE200">
        <v>1.21</v>
      </c>
      <c r="AF200">
        <v>0.074962</v>
      </c>
      <c r="AG200" t="s">
        <v>340</v>
      </c>
      <c r="AH200" t="s">
        <v>341</v>
      </c>
      <c r="AI200">
        <v>230.058378</v>
      </c>
      <c r="AJ200" t="s">
        <v>342</v>
      </c>
      <c r="AK200" t="s">
        <v>353</v>
      </c>
      <c r="AL200">
        <v>9437</v>
      </c>
      <c r="AM200">
        <v>148</v>
      </c>
      <c r="AN200">
        <v>0</v>
      </c>
      <c r="AO200">
        <v>25</v>
      </c>
      <c r="AP200">
        <v>27</v>
      </c>
      <c r="AR200">
        <v>2540.36</v>
      </c>
      <c r="AS200">
        <v>12907.54</v>
      </c>
      <c r="AT200">
        <v>24488.73</v>
      </c>
      <c r="AU200">
        <v>38809.37</v>
      </c>
      <c r="AV200">
        <v>2096</v>
      </c>
      <c r="AW200">
        <v>1279</v>
      </c>
      <c r="AX200">
        <v>0</v>
      </c>
      <c r="AY200">
        <v>0</v>
      </c>
      <c r="AZ200">
        <v>0</v>
      </c>
      <c r="BA200">
        <v>176.8</v>
      </c>
      <c r="BB200">
        <v>2256</v>
      </c>
      <c r="BC200">
        <v>240</v>
      </c>
      <c r="BD200">
        <v>2016</v>
      </c>
      <c r="BE200">
        <v>0</v>
      </c>
      <c r="BG200">
        <v>328</v>
      </c>
      <c r="BH200">
        <v>1</v>
      </c>
      <c r="BY200">
        <v>109.2</v>
      </c>
      <c r="CD200" s="5">
        <v>46188</v>
      </c>
      <c r="CE200" t="s">
        <v>346</v>
      </c>
      <c r="CF200" t="s">
        <v>346</v>
      </c>
      <c r="CG200">
        <v>109.2</v>
      </c>
      <c r="CH200">
        <v>69.8</v>
      </c>
      <c r="CI200" s="5">
        <v>46186</v>
      </c>
      <c r="CJ200">
        <v>5566</v>
      </c>
      <c r="CK200">
        <v>241</v>
      </c>
      <c r="CL200">
        <v>123</v>
      </c>
      <c r="CM200">
        <v>13</v>
      </c>
      <c r="CN200">
        <v>192</v>
      </c>
      <c r="CO200">
        <v>161</v>
      </c>
      <c r="CP200" t="s">
        <v>347</v>
      </c>
      <c r="CQ200" t="s">
        <v>348</v>
      </c>
    </row>
    <row r="201" spans="1:95">
      <c r="A201" s="5">
        <v>46188</v>
      </c>
      <c r="B201" t="s">
        <v>1077</v>
      </c>
      <c r="C201" t="s">
        <v>1078</v>
      </c>
      <c r="D201" t="s">
        <v>1079</v>
      </c>
      <c r="E201" t="s">
        <v>1080</v>
      </c>
      <c r="G201">
        <v>0</v>
      </c>
      <c r="H201">
        <v>-1</v>
      </c>
      <c r="O201" t="s">
        <v>338</v>
      </c>
      <c r="U201">
        <v>0</v>
      </c>
      <c r="V201">
        <v>0</v>
      </c>
      <c r="W201">
        <v>0</v>
      </c>
      <c r="X201">
        <v>0</v>
      </c>
      <c r="Y201" t="s">
        <v>359</v>
      </c>
      <c r="AB201">
        <v>0</v>
      </c>
      <c r="AC201">
        <v>0</v>
      </c>
      <c r="AE201">
        <v>-1</v>
      </c>
      <c r="AH201" t="s">
        <v>341</v>
      </c>
      <c r="AJ201" t="s">
        <v>342</v>
      </c>
      <c r="AK201" t="s">
        <v>353</v>
      </c>
      <c r="AM201">
        <v>0</v>
      </c>
      <c r="AN201">
        <v>0</v>
      </c>
      <c r="AQ201">
        <v>26.99</v>
      </c>
      <c r="AY201">
        <v>0</v>
      </c>
      <c r="BB201">
        <v>0</v>
      </c>
      <c r="BC201">
        <v>0</v>
      </c>
      <c r="BD201">
        <v>0</v>
      </c>
      <c r="BE201">
        <v>0</v>
      </c>
      <c r="BG201">
        <v>0</v>
      </c>
      <c r="BH201">
        <v>0</v>
      </c>
      <c r="CJ201">
        <v>0</v>
      </c>
      <c r="CK201">
        <v>0</v>
      </c>
      <c r="CL201">
        <v>0</v>
      </c>
      <c r="CM201">
        <v>0</v>
      </c>
      <c r="CN201">
        <v>0</v>
      </c>
      <c r="CO201">
        <v>0</v>
      </c>
      <c r="CP201" t="s">
        <v>347</v>
      </c>
      <c r="CQ201" t="s">
        <v>348</v>
      </c>
    </row>
    <row r="202" spans="1:95">
      <c r="A202" s="5">
        <v>46188</v>
      </c>
      <c r="B202" t="s">
        <v>1081</v>
      </c>
      <c r="C202" t="s">
        <v>1082</v>
      </c>
      <c r="D202" t="s">
        <v>1083</v>
      </c>
      <c r="E202" t="s">
        <v>1084</v>
      </c>
      <c r="G202">
        <v>0</v>
      </c>
      <c r="H202">
        <v>-1</v>
      </c>
      <c r="O202" t="s">
        <v>338</v>
      </c>
      <c r="U202">
        <v>0</v>
      </c>
      <c r="V202">
        <v>0</v>
      </c>
      <c r="W202">
        <v>0</v>
      </c>
      <c r="X202">
        <v>0</v>
      </c>
      <c r="Y202" t="s">
        <v>359</v>
      </c>
      <c r="AB202">
        <v>0</v>
      </c>
      <c r="AC202">
        <v>0</v>
      </c>
      <c r="AE202">
        <v>-1</v>
      </c>
      <c r="AH202" t="s">
        <v>341</v>
      </c>
      <c r="AJ202" t="s">
        <v>342</v>
      </c>
      <c r="AK202" t="s">
        <v>437</v>
      </c>
      <c r="AN202">
        <v>0</v>
      </c>
      <c r="AQ202">
        <v>8.99</v>
      </c>
      <c r="AY202">
        <v>0</v>
      </c>
      <c r="BB202">
        <v>0</v>
      </c>
      <c r="BC202">
        <v>0</v>
      </c>
      <c r="BD202">
        <v>0</v>
      </c>
      <c r="BE202">
        <v>0</v>
      </c>
      <c r="BG202">
        <v>0</v>
      </c>
      <c r="BH202">
        <v>0</v>
      </c>
      <c r="CJ202">
        <v>0</v>
      </c>
      <c r="CK202">
        <v>0</v>
      </c>
      <c r="CL202">
        <v>0</v>
      </c>
      <c r="CM202">
        <v>0</v>
      </c>
      <c r="CN202">
        <v>0</v>
      </c>
      <c r="CP202" t="s">
        <v>347</v>
      </c>
      <c r="CQ202" t="s">
        <v>348</v>
      </c>
    </row>
    <row r="203" spans="1:95">
      <c r="A203" s="5">
        <v>46188</v>
      </c>
      <c r="B203" t="s">
        <v>1085</v>
      </c>
      <c r="C203" t="s">
        <v>1086</v>
      </c>
      <c r="D203" t="s">
        <v>1087</v>
      </c>
      <c r="E203" t="s">
        <v>1088</v>
      </c>
      <c r="F203" t="s">
        <v>337</v>
      </c>
      <c r="G203">
        <v>13</v>
      </c>
      <c r="H203">
        <v>0</v>
      </c>
      <c r="I203">
        <v>0</v>
      </c>
      <c r="J203">
        <v>0</v>
      </c>
      <c r="K203">
        <v>0</v>
      </c>
      <c r="L203">
        <v>0</v>
      </c>
      <c r="M203">
        <v>14</v>
      </c>
      <c r="N203">
        <v>0</v>
      </c>
      <c r="O203" t="s">
        <v>338</v>
      </c>
      <c r="P203">
        <v>3</v>
      </c>
      <c r="Q203">
        <v>4</v>
      </c>
      <c r="R203">
        <v>8</v>
      </c>
      <c r="S203">
        <v>9</v>
      </c>
      <c r="T203" t="s">
        <v>351</v>
      </c>
      <c r="U203">
        <v>16.99</v>
      </c>
      <c r="V203">
        <v>0</v>
      </c>
      <c r="W203">
        <v>16.99</v>
      </c>
      <c r="X203">
        <v>0</v>
      </c>
      <c r="Y203" t="s">
        <v>339</v>
      </c>
      <c r="AA203">
        <v>0</v>
      </c>
      <c r="AB203">
        <v>0</v>
      </c>
      <c r="AC203">
        <v>0</v>
      </c>
      <c r="AD203">
        <v>149.39</v>
      </c>
      <c r="AE203">
        <v>0.31</v>
      </c>
      <c r="AF203">
        <v>0.002781</v>
      </c>
      <c r="AG203" t="s">
        <v>340</v>
      </c>
      <c r="AH203" t="s">
        <v>341</v>
      </c>
      <c r="AI203">
        <v>0.036153</v>
      </c>
      <c r="AJ203" t="s">
        <v>342</v>
      </c>
      <c r="AK203" t="s">
        <v>465</v>
      </c>
      <c r="AL203">
        <v>238733</v>
      </c>
      <c r="AM203">
        <v>343</v>
      </c>
      <c r="AN203">
        <v>14</v>
      </c>
      <c r="AO203">
        <v>13</v>
      </c>
      <c r="AP203">
        <v>18</v>
      </c>
      <c r="AQ203">
        <v>12.09</v>
      </c>
      <c r="AR203">
        <v>36.27</v>
      </c>
      <c r="AS203">
        <v>48.36</v>
      </c>
      <c r="AT203">
        <v>96.95</v>
      </c>
      <c r="AU203">
        <v>109.69</v>
      </c>
      <c r="AV203">
        <v>0</v>
      </c>
      <c r="AW203">
        <v>0</v>
      </c>
      <c r="AX203">
        <v>0</v>
      </c>
      <c r="AY203">
        <v>0</v>
      </c>
      <c r="AZ203">
        <v>0</v>
      </c>
      <c r="BA203">
        <v>2.11</v>
      </c>
      <c r="BB203">
        <v>0</v>
      </c>
      <c r="BC203">
        <v>0</v>
      </c>
      <c r="BD203">
        <v>0</v>
      </c>
      <c r="BE203">
        <v>0</v>
      </c>
      <c r="BG203">
        <v>0</v>
      </c>
      <c r="BH203">
        <v>0</v>
      </c>
      <c r="BI203">
        <v>0</v>
      </c>
      <c r="BJ203">
        <v>0</v>
      </c>
      <c r="BK203">
        <v>0</v>
      </c>
      <c r="BL203">
        <v>0</v>
      </c>
      <c r="BM203">
        <v>0</v>
      </c>
      <c r="BN203">
        <v>0</v>
      </c>
      <c r="BO203">
        <v>0</v>
      </c>
      <c r="BP203">
        <v>0</v>
      </c>
      <c r="BQ203">
        <v>0</v>
      </c>
      <c r="BR203">
        <v>0</v>
      </c>
      <c r="BS203">
        <v>0</v>
      </c>
      <c r="BT203">
        <v>0</v>
      </c>
      <c r="BU203">
        <v>14</v>
      </c>
      <c r="BV203">
        <v>4.2</v>
      </c>
      <c r="BW203">
        <v>0</v>
      </c>
      <c r="BX203">
        <v>0</v>
      </c>
      <c r="BY203">
        <v>293.3</v>
      </c>
      <c r="BZ203">
        <v>3</v>
      </c>
      <c r="CA203" t="s">
        <v>354</v>
      </c>
      <c r="CD203" s="5">
        <v>46188</v>
      </c>
      <c r="CE203" t="s">
        <v>345</v>
      </c>
      <c r="CF203" t="s">
        <v>346</v>
      </c>
      <c r="CG203">
        <v>145.5</v>
      </c>
      <c r="CH203">
        <v>293.3</v>
      </c>
      <c r="CI203" s="5">
        <v>46186</v>
      </c>
      <c r="CJ203">
        <v>14</v>
      </c>
      <c r="CK203">
        <v>1</v>
      </c>
      <c r="CL203">
        <v>0</v>
      </c>
      <c r="CM203">
        <v>0</v>
      </c>
      <c r="CN203">
        <v>0</v>
      </c>
      <c r="CO203">
        <v>343</v>
      </c>
      <c r="CP203" t="s">
        <v>347</v>
      </c>
      <c r="CQ203" t="s">
        <v>348</v>
      </c>
    </row>
    <row r="204" spans="1:95">
      <c r="A204" s="5">
        <v>46188</v>
      </c>
      <c r="B204" t="s">
        <v>1089</v>
      </c>
      <c r="C204" t="s">
        <v>1090</v>
      </c>
      <c r="D204" t="s">
        <v>1091</v>
      </c>
      <c r="E204" t="s">
        <v>1092</v>
      </c>
      <c r="F204" t="s">
        <v>337</v>
      </c>
      <c r="G204">
        <v>40</v>
      </c>
      <c r="H204">
        <v>0</v>
      </c>
      <c r="I204">
        <v>44</v>
      </c>
      <c r="J204">
        <v>0</v>
      </c>
      <c r="K204">
        <v>0</v>
      </c>
      <c r="L204">
        <v>0</v>
      </c>
      <c r="M204">
        <v>0</v>
      </c>
      <c r="N204">
        <v>0</v>
      </c>
      <c r="O204" t="s">
        <v>338</v>
      </c>
      <c r="P204">
        <v>4</v>
      </c>
      <c r="Q204">
        <v>24</v>
      </c>
      <c r="R204">
        <v>45</v>
      </c>
      <c r="S204">
        <v>61</v>
      </c>
      <c r="U204">
        <v>19.99</v>
      </c>
      <c r="V204">
        <v>0</v>
      </c>
      <c r="W204">
        <v>19.99</v>
      </c>
      <c r="X204">
        <v>0</v>
      </c>
      <c r="Y204" t="s">
        <v>359</v>
      </c>
      <c r="AA204">
        <v>0</v>
      </c>
      <c r="AB204">
        <v>0</v>
      </c>
      <c r="AC204">
        <v>0</v>
      </c>
      <c r="AD204">
        <v>0</v>
      </c>
      <c r="AE204">
        <v>1.66</v>
      </c>
      <c r="AF204">
        <v>0.055722</v>
      </c>
      <c r="AG204" t="s">
        <v>340</v>
      </c>
      <c r="AH204" t="s">
        <v>341</v>
      </c>
      <c r="AI204">
        <v>2.22888</v>
      </c>
      <c r="AJ204" t="s">
        <v>342</v>
      </c>
      <c r="AK204" t="s">
        <v>465</v>
      </c>
      <c r="AL204">
        <v>9437</v>
      </c>
      <c r="AM204">
        <v>50</v>
      </c>
      <c r="AN204">
        <v>0</v>
      </c>
      <c r="AO204">
        <v>11</v>
      </c>
      <c r="AP204">
        <v>14</v>
      </c>
      <c r="AQ204">
        <v>14.24</v>
      </c>
      <c r="AR204">
        <v>56.96</v>
      </c>
      <c r="AS204">
        <v>341.76</v>
      </c>
      <c r="AT204">
        <v>681.8</v>
      </c>
      <c r="AU204">
        <v>921.64</v>
      </c>
      <c r="AV204">
        <v>19</v>
      </c>
      <c r="AW204">
        <v>25</v>
      </c>
      <c r="AX204">
        <v>0</v>
      </c>
      <c r="AY204">
        <v>0</v>
      </c>
      <c r="AZ204">
        <v>0</v>
      </c>
      <c r="BA204">
        <v>1.38</v>
      </c>
      <c r="BB204">
        <v>30</v>
      </c>
      <c r="BC204">
        <v>30</v>
      </c>
      <c r="BD204">
        <v>0</v>
      </c>
      <c r="BE204">
        <v>0</v>
      </c>
      <c r="BG204">
        <v>0</v>
      </c>
      <c r="BH204">
        <v>0</v>
      </c>
      <c r="BY204">
        <v>59.6</v>
      </c>
      <c r="BZ204">
        <v>59</v>
      </c>
      <c r="CA204" t="s">
        <v>344</v>
      </c>
      <c r="CB204">
        <v>45</v>
      </c>
      <c r="CC204" s="5">
        <v>46195</v>
      </c>
      <c r="CD204" s="5">
        <v>46188</v>
      </c>
      <c r="CE204" t="s">
        <v>345</v>
      </c>
      <c r="CF204" t="s">
        <v>346</v>
      </c>
      <c r="CG204">
        <v>59.6</v>
      </c>
      <c r="CH204">
        <v>46.9</v>
      </c>
      <c r="CI204" s="5">
        <v>46186</v>
      </c>
      <c r="CJ204">
        <v>73</v>
      </c>
      <c r="CK204">
        <v>3</v>
      </c>
      <c r="CL204">
        <v>0</v>
      </c>
      <c r="CM204">
        <v>0</v>
      </c>
      <c r="CN204">
        <v>0</v>
      </c>
      <c r="CO204">
        <v>102</v>
      </c>
      <c r="CP204" t="s">
        <v>347</v>
      </c>
      <c r="CQ204" t="s">
        <v>348</v>
      </c>
    </row>
    <row r="205" spans="1:95">
      <c r="A205" s="5">
        <v>46188</v>
      </c>
      <c r="B205" t="s">
        <v>1093</v>
      </c>
      <c r="C205" t="s">
        <v>1094</v>
      </c>
      <c r="D205" t="s">
        <v>1095</v>
      </c>
      <c r="E205" t="s">
        <v>1096</v>
      </c>
      <c r="G205">
        <v>0</v>
      </c>
      <c r="H205">
        <v>-1</v>
      </c>
      <c r="O205" t="s">
        <v>338</v>
      </c>
      <c r="U205">
        <v>0</v>
      </c>
      <c r="V205">
        <v>0</v>
      </c>
      <c r="W205">
        <v>0</v>
      </c>
      <c r="X205">
        <v>0</v>
      </c>
      <c r="Y205" t="s">
        <v>359</v>
      </c>
      <c r="AB205">
        <v>0</v>
      </c>
      <c r="AC205">
        <v>0</v>
      </c>
      <c r="AE205">
        <v>-1</v>
      </c>
      <c r="AH205" t="s">
        <v>341</v>
      </c>
      <c r="AJ205" t="s">
        <v>342</v>
      </c>
      <c r="AK205" t="s">
        <v>353</v>
      </c>
      <c r="AM205">
        <v>0</v>
      </c>
      <c r="AN205">
        <v>0</v>
      </c>
      <c r="AQ205">
        <v>38.99</v>
      </c>
      <c r="AY205">
        <v>0</v>
      </c>
      <c r="BB205">
        <v>0</v>
      </c>
      <c r="BC205">
        <v>0</v>
      </c>
      <c r="BD205">
        <v>0</v>
      </c>
      <c r="BE205">
        <v>0</v>
      </c>
      <c r="BG205">
        <v>0</v>
      </c>
      <c r="BH205">
        <v>0</v>
      </c>
      <c r="CJ205">
        <v>0</v>
      </c>
      <c r="CK205">
        <v>0</v>
      </c>
      <c r="CL205">
        <v>0</v>
      </c>
      <c r="CM205">
        <v>0</v>
      </c>
      <c r="CN205">
        <v>0</v>
      </c>
      <c r="CO205">
        <v>0</v>
      </c>
      <c r="CP205" t="s">
        <v>347</v>
      </c>
      <c r="CQ205" t="s">
        <v>348</v>
      </c>
    </row>
    <row r="206" spans="1:95">
      <c r="A206" s="5">
        <v>46188</v>
      </c>
      <c r="B206" t="s">
        <v>1097</v>
      </c>
      <c r="C206" t="s">
        <v>1098</v>
      </c>
      <c r="D206" t="s">
        <v>1099</v>
      </c>
      <c r="G206">
        <v>0</v>
      </c>
      <c r="H206">
        <v>-1</v>
      </c>
      <c r="O206" t="s">
        <v>338</v>
      </c>
      <c r="U206">
        <v>0</v>
      </c>
      <c r="V206">
        <v>0</v>
      </c>
      <c r="W206">
        <v>0</v>
      </c>
      <c r="X206">
        <v>0</v>
      </c>
      <c r="Y206" t="s">
        <v>359</v>
      </c>
      <c r="AB206">
        <v>0</v>
      </c>
      <c r="AC206">
        <v>0</v>
      </c>
      <c r="AE206">
        <v>-1</v>
      </c>
      <c r="AJ206" t="s">
        <v>342</v>
      </c>
      <c r="AN206">
        <v>0</v>
      </c>
      <c r="AY206">
        <v>0</v>
      </c>
      <c r="BB206">
        <v>0</v>
      </c>
      <c r="BG206">
        <v>0</v>
      </c>
      <c r="BH206">
        <v>0</v>
      </c>
      <c r="CJ206">
        <v>0</v>
      </c>
      <c r="CK206">
        <v>0</v>
      </c>
      <c r="CL206">
        <v>0</v>
      </c>
      <c r="CM206">
        <v>0</v>
      </c>
      <c r="CN206">
        <v>0</v>
      </c>
      <c r="CP206" t="s">
        <v>347</v>
      </c>
      <c r="CQ206" t="s">
        <v>348</v>
      </c>
    </row>
    <row r="207" spans="1:95">
      <c r="A207" s="5">
        <v>46188</v>
      </c>
      <c r="B207" t="s">
        <v>1100</v>
      </c>
      <c r="C207" t="s">
        <v>1101</v>
      </c>
      <c r="D207" t="s">
        <v>1102</v>
      </c>
      <c r="E207" t="s">
        <v>1103</v>
      </c>
      <c r="G207">
        <v>0</v>
      </c>
      <c r="H207">
        <v>-1</v>
      </c>
      <c r="O207" t="s">
        <v>338</v>
      </c>
      <c r="U207">
        <v>0</v>
      </c>
      <c r="V207">
        <v>0</v>
      </c>
      <c r="W207">
        <v>0</v>
      </c>
      <c r="X207">
        <v>0</v>
      </c>
      <c r="Y207" t="s">
        <v>359</v>
      </c>
      <c r="AB207">
        <v>0</v>
      </c>
      <c r="AC207">
        <v>0</v>
      </c>
      <c r="AE207">
        <v>-1</v>
      </c>
      <c r="AH207" t="s">
        <v>341</v>
      </c>
      <c r="AJ207" t="s">
        <v>342</v>
      </c>
      <c r="AK207" t="s">
        <v>353</v>
      </c>
      <c r="AN207">
        <v>0</v>
      </c>
      <c r="AQ207">
        <v>17.99</v>
      </c>
      <c r="AY207">
        <v>0</v>
      </c>
      <c r="BB207">
        <v>0</v>
      </c>
      <c r="BC207">
        <v>0</v>
      </c>
      <c r="BD207">
        <v>0</v>
      </c>
      <c r="BE207">
        <v>0</v>
      </c>
      <c r="BG207">
        <v>0</v>
      </c>
      <c r="BH207">
        <v>0</v>
      </c>
      <c r="CJ207">
        <v>0</v>
      </c>
      <c r="CK207">
        <v>0</v>
      </c>
      <c r="CL207">
        <v>0</v>
      </c>
      <c r="CM207">
        <v>0</v>
      </c>
      <c r="CN207">
        <v>0</v>
      </c>
      <c r="CP207" t="s">
        <v>347</v>
      </c>
      <c r="CQ207" t="s">
        <v>348</v>
      </c>
    </row>
    <row r="208" spans="1:95">
      <c r="A208" s="5">
        <v>46188</v>
      </c>
      <c r="B208" t="s">
        <v>1104</v>
      </c>
      <c r="C208" t="s">
        <v>1105</v>
      </c>
      <c r="D208" t="s">
        <v>1106</v>
      </c>
      <c r="E208" t="s">
        <v>1107</v>
      </c>
      <c r="F208" t="s">
        <v>337</v>
      </c>
      <c r="G208">
        <v>8</v>
      </c>
      <c r="H208">
        <v>0</v>
      </c>
      <c r="I208">
        <v>20</v>
      </c>
      <c r="J208">
        <v>0</v>
      </c>
      <c r="K208">
        <v>0</v>
      </c>
      <c r="L208">
        <v>0</v>
      </c>
      <c r="M208">
        <v>0</v>
      </c>
      <c r="N208">
        <v>0</v>
      </c>
      <c r="O208" t="s">
        <v>338</v>
      </c>
      <c r="P208">
        <v>0</v>
      </c>
      <c r="Q208">
        <v>0</v>
      </c>
      <c r="R208">
        <v>0</v>
      </c>
      <c r="S208">
        <v>0</v>
      </c>
      <c r="T208" t="s">
        <v>351</v>
      </c>
      <c r="U208">
        <v>42.99</v>
      </c>
      <c r="V208">
        <v>31.99</v>
      </c>
      <c r="W208">
        <v>31.99</v>
      </c>
      <c r="X208">
        <v>0</v>
      </c>
      <c r="Y208" t="s">
        <v>613</v>
      </c>
      <c r="AA208">
        <v>0</v>
      </c>
      <c r="AB208">
        <v>0</v>
      </c>
      <c r="AC208">
        <v>0</v>
      </c>
      <c r="AD208">
        <v>456.52</v>
      </c>
      <c r="AE208">
        <v>0</v>
      </c>
      <c r="AF208">
        <v>0.298682</v>
      </c>
      <c r="AG208" t="s">
        <v>340</v>
      </c>
      <c r="AH208" t="s">
        <v>341</v>
      </c>
      <c r="AI208">
        <v>2.389456</v>
      </c>
      <c r="AJ208" t="s">
        <v>342</v>
      </c>
      <c r="AK208" t="s">
        <v>353</v>
      </c>
      <c r="AL208">
        <v>676390</v>
      </c>
      <c r="AM208">
        <v>366</v>
      </c>
      <c r="AN208">
        <v>0</v>
      </c>
      <c r="AQ208">
        <v>31.99</v>
      </c>
      <c r="AR208">
        <v>0</v>
      </c>
      <c r="AS208">
        <v>0</v>
      </c>
      <c r="AT208">
        <v>0</v>
      </c>
      <c r="AU208">
        <v>0</v>
      </c>
      <c r="AV208">
        <v>20</v>
      </c>
      <c r="AW208">
        <v>0</v>
      </c>
      <c r="AX208">
        <v>0</v>
      </c>
      <c r="AY208">
        <v>0</v>
      </c>
      <c r="AZ208">
        <v>0</v>
      </c>
      <c r="BA208">
        <v>45.58</v>
      </c>
      <c r="BB208">
        <v>0</v>
      </c>
      <c r="BC208">
        <v>0</v>
      </c>
      <c r="BD208">
        <v>0</v>
      </c>
      <c r="BE208">
        <v>0</v>
      </c>
      <c r="BG208">
        <v>0</v>
      </c>
      <c r="BH208">
        <v>0</v>
      </c>
      <c r="BZ208">
        <v>5</v>
      </c>
      <c r="CA208" t="s">
        <v>360</v>
      </c>
      <c r="CI208" s="5">
        <v>46186</v>
      </c>
      <c r="CJ208">
        <v>20</v>
      </c>
      <c r="CK208">
        <v>12</v>
      </c>
      <c r="CL208">
        <v>0</v>
      </c>
      <c r="CM208">
        <v>0</v>
      </c>
      <c r="CN208">
        <v>0</v>
      </c>
      <c r="CO208">
        <v>366</v>
      </c>
      <c r="CP208" t="s">
        <v>347</v>
      </c>
      <c r="CQ208" t="s">
        <v>348</v>
      </c>
    </row>
    <row r="209" spans="1:95">
      <c r="A209" s="5">
        <v>46188</v>
      </c>
      <c r="B209" t="s">
        <v>1108</v>
      </c>
      <c r="C209" t="s">
        <v>1109</v>
      </c>
      <c r="D209" t="s">
        <v>1110</v>
      </c>
      <c r="E209" t="s">
        <v>1111</v>
      </c>
      <c r="G209">
        <v>0</v>
      </c>
      <c r="H209">
        <v>-1</v>
      </c>
      <c r="O209" t="s">
        <v>338</v>
      </c>
      <c r="U209">
        <v>0</v>
      </c>
      <c r="V209">
        <v>0</v>
      </c>
      <c r="W209">
        <v>0</v>
      </c>
      <c r="X209">
        <v>0</v>
      </c>
      <c r="Y209" t="s">
        <v>359</v>
      </c>
      <c r="AB209">
        <v>0</v>
      </c>
      <c r="AC209">
        <v>0</v>
      </c>
      <c r="AE209">
        <v>-1</v>
      </c>
      <c r="AH209" t="s">
        <v>341</v>
      </c>
      <c r="AJ209" t="s">
        <v>342</v>
      </c>
      <c r="AK209" t="s">
        <v>353</v>
      </c>
      <c r="AM209">
        <v>0</v>
      </c>
      <c r="AN209">
        <v>0</v>
      </c>
      <c r="AQ209">
        <v>15.99</v>
      </c>
      <c r="AY209">
        <v>0</v>
      </c>
      <c r="BB209">
        <v>0</v>
      </c>
      <c r="BC209">
        <v>0</v>
      </c>
      <c r="BD209">
        <v>0</v>
      </c>
      <c r="BE209">
        <v>0</v>
      </c>
      <c r="BG209">
        <v>0</v>
      </c>
      <c r="BH209">
        <v>0</v>
      </c>
      <c r="CJ209">
        <v>0</v>
      </c>
      <c r="CK209">
        <v>0</v>
      </c>
      <c r="CL209">
        <v>0</v>
      </c>
      <c r="CM209">
        <v>0</v>
      </c>
      <c r="CN209">
        <v>0</v>
      </c>
      <c r="CO209">
        <v>0</v>
      </c>
      <c r="CP209" t="s">
        <v>347</v>
      </c>
      <c r="CQ209" t="s">
        <v>348</v>
      </c>
    </row>
    <row r="210" spans="1:95">
      <c r="A210" s="5">
        <v>46188</v>
      </c>
      <c r="B210" t="s">
        <v>1112</v>
      </c>
      <c r="C210" t="s">
        <v>108</v>
      </c>
      <c r="D210" t="s">
        <v>1113</v>
      </c>
      <c r="E210" t="s">
        <v>497</v>
      </c>
      <c r="G210">
        <v>0</v>
      </c>
      <c r="H210">
        <v>-1</v>
      </c>
      <c r="O210" t="s">
        <v>338</v>
      </c>
      <c r="U210">
        <v>0</v>
      </c>
      <c r="V210">
        <v>0</v>
      </c>
      <c r="W210">
        <v>0</v>
      </c>
      <c r="X210">
        <v>0</v>
      </c>
      <c r="Y210" t="s">
        <v>359</v>
      </c>
      <c r="AB210">
        <v>0</v>
      </c>
      <c r="AC210">
        <v>0</v>
      </c>
      <c r="AE210">
        <v>-1</v>
      </c>
      <c r="AH210" t="s">
        <v>341</v>
      </c>
      <c r="AJ210" t="s">
        <v>342</v>
      </c>
      <c r="AK210" t="s">
        <v>343</v>
      </c>
      <c r="AL210">
        <v>32209</v>
      </c>
      <c r="AM210">
        <v>0</v>
      </c>
      <c r="AN210">
        <v>0</v>
      </c>
      <c r="AQ210">
        <v>34.99</v>
      </c>
      <c r="AY210">
        <v>0</v>
      </c>
      <c r="BB210">
        <v>0</v>
      </c>
      <c r="BC210">
        <v>0</v>
      </c>
      <c r="BD210">
        <v>0</v>
      </c>
      <c r="BE210">
        <v>0</v>
      </c>
      <c r="BG210">
        <v>0</v>
      </c>
      <c r="BH210">
        <v>0</v>
      </c>
      <c r="BZ210">
        <v>1</v>
      </c>
      <c r="CA210" t="s">
        <v>429</v>
      </c>
      <c r="CB210">
        <v>231</v>
      </c>
      <c r="CC210" s="5">
        <v>46188</v>
      </c>
      <c r="CJ210">
        <v>0</v>
      </c>
      <c r="CK210">
        <v>0</v>
      </c>
      <c r="CL210">
        <v>0</v>
      </c>
      <c r="CM210">
        <v>0</v>
      </c>
      <c r="CN210">
        <v>0</v>
      </c>
      <c r="CO210">
        <v>0</v>
      </c>
      <c r="CP210" t="s">
        <v>347</v>
      </c>
      <c r="CQ210" t="s">
        <v>348</v>
      </c>
    </row>
    <row r="211" spans="1:95">
      <c r="A211" s="5">
        <v>46188</v>
      </c>
      <c r="B211" t="s">
        <v>1114</v>
      </c>
      <c r="C211" t="s">
        <v>1115</v>
      </c>
      <c r="D211" t="s">
        <v>1116</v>
      </c>
      <c r="E211" t="s">
        <v>1117</v>
      </c>
      <c r="F211" t="s">
        <v>337</v>
      </c>
      <c r="G211">
        <v>16</v>
      </c>
      <c r="H211">
        <v>0</v>
      </c>
      <c r="I211">
        <v>0</v>
      </c>
      <c r="J211">
        <v>16</v>
      </c>
      <c r="K211">
        <v>0</v>
      </c>
      <c r="L211">
        <v>0</v>
      </c>
      <c r="M211">
        <v>0</v>
      </c>
      <c r="N211">
        <v>0</v>
      </c>
      <c r="O211" t="s">
        <v>338</v>
      </c>
      <c r="P211">
        <v>1</v>
      </c>
      <c r="Q211">
        <v>7</v>
      </c>
      <c r="R211">
        <v>10</v>
      </c>
      <c r="S211">
        <v>17</v>
      </c>
      <c r="U211">
        <v>34.99</v>
      </c>
      <c r="V211">
        <v>29.99</v>
      </c>
      <c r="W211">
        <v>29.99</v>
      </c>
      <c r="X211">
        <v>0</v>
      </c>
      <c r="Y211" t="s">
        <v>339</v>
      </c>
      <c r="AA211">
        <v>0</v>
      </c>
      <c r="AB211">
        <v>0</v>
      </c>
      <c r="AC211">
        <v>0</v>
      </c>
      <c r="AD211">
        <v>0</v>
      </c>
      <c r="AE211">
        <v>0.67</v>
      </c>
      <c r="AF211">
        <v>0.248556</v>
      </c>
      <c r="AG211" t="s">
        <v>340</v>
      </c>
      <c r="AH211" t="s">
        <v>341</v>
      </c>
      <c r="AI211">
        <v>3.976896</v>
      </c>
      <c r="AJ211" t="s">
        <v>342</v>
      </c>
      <c r="AK211" t="s">
        <v>353</v>
      </c>
      <c r="AL211">
        <v>101074</v>
      </c>
      <c r="AM211">
        <v>63</v>
      </c>
      <c r="AN211">
        <v>0</v>
      </c>
      <c r="AO211">
        <v>20</v>
      </c>
      <c r="AP211">
        <v>27</v>
      </c>
      <c r="AR211">
        <v>29.99</v>
      </c>
      <c r="AS211">
        <v>206.93</v>
      </c>
      <c r="AT211">
        <v>297.9</v>
      </c>
      <c r="AU211">
        <v>501.23</v>
      </c>
      <c r="AV211">
        <v>0</v>
      </c>
      <c r="AW211">
        <v>0</v>
      </c>
      <c r="AX211">
        <v>0</v>
      </c>
      <c r="AY211">
        <v>0</v>
      </c>
      <c r="AZ211">
        <v>0</v>
      </c>
      <c r="BA211">
        <v>2.54</v>
      </c>
      <c r="BB211">
        <v>20</v>
      </c>
      <c r="BC211">
        <v>20</v>
      </c>
      <c r="BD211">
        <v>0</v>
      </c>
      <c r="BE211">
        <v>0</v>
      </c>
      <c r="BG211">
        <v>1</v>
      </c>
      <c r="BH211">
        <v>0</v>
      </c>
      <c r="BY211">
        <v>140.7</v>
      </c>
      <c r="BZ211">
        <v>21</v>
      </c>
      <c r="CA211" t="s">
        <v>344</v>
      </c>
      <c r="CB211">
        <v>2</v>
      </c>
      <c r="CC211" s="5">
        <v>46193</v>
      </c>
      <c r="CD211" s="5">
        <v>46188</v>
      </c>
      <c r="CE211" t="s">
        <v>345</v>
      </c>
      <c r="CF211" t="s">
        <v>346</v>
      </c>
      <c r="CG211">
        <v>101</v>
      </c>
      <c r="CH211">
        <v>140.7</v>
      </c>
      <c r="CI211" s="5">
        <v>46186</v>
      </c>
      <c r="CJ211">
        <v>36</v>
      </c>
      <c r="CK211">
        <v>0</v>
      </c>
      <c r="CL211">
        <v>1</v>
      </c>
      <c r="CM211">
        <v>0</v>
      </c>
      <c r="CN211">
        <v>0</v>
      </c>
      <c r="CO211">
        <v>140</v>
      </c>
      <c r="CP211" t="s">
        <v>347</v>
      </c>
      <c r="CQ211" t="s">
        <v>348</v>
      </c>
    </row>
    <row r="212" spans="1:95">
      <c r="A212" s="5">
        <v>46188</v>
      </c>
      <c r="B212" t="s">
        <v>1118</v>
      </c>
      <c r="C212" t="s">
        <v>1119</v>
      </c>
      <c r="D212" t="s">
        <v>1120</v>
      </c>
      <c r="E212" t="s">
        <v>1121</v>
      </c>
      <c r="F212" t="s">
        <v>337</v>
      </c>
      <c r="G212">
        <v>20</v>
      </c>
      <c r="H212">
        <v>-1</v>
      </c>
      <c r="O212" t="s">
        <v>338</v>
      </c>
      <c r="U212">
        <v>41.99</v>
      </c>
      <c r="V212">
        <v>0</v>
      </c>
      <c r="W212">
        <v>0</v>
      </c>
      <c r="X212">
        <v>0</v>
      </c>
      <c r="Y212" t="s">
        <v>372</v>
      </c>
      <c r="AA212">
        <v>0</v>
      </c>
      <c r="AB212">
        <v>0</v>
      </c>
      <c r="AC212">
        <v>0</v>
      </c>
      <c r="AD212">
        <v>0</v>
      </c>
      <c r="AE212">
        <v>-1</v>
      </c>
      <c r="AH212" t="s">
        <v>341</v>
      </c>
      <c r="AJ212" t="s">
        <v>342</v>
      </c>
      <c r="AK212" t="s">
        <v>353</v>
      </c>
      <c r="AL212">
        <v>206385</v>
      </c>
      <c r="AM212">
        <v>35</v>
      </c>
      <c r="AN212">
        <v>0</v>
      </c>
      <c r="AQ212">
        <v>28.99</v>
      </c>
      <c r="AY212">
        <v>0</v>
      </c>
      <c r="BA212">
        <v>1.31</v>
      </c>
      <c r="BB212">
        <v>0</v>
      </c>
      <c r="BC212">
        <v>0</v>
      </c>
      <c r="BD212">
        <v>0</v>
      </c>
      <c r="BE212">
        <v>0</v>
      </c>
      <c r="BG212">
        <v>0</v>
      </c>
      <c r="BH212">
        <v>0</v>
      </c>
      <c r="CB212">
        <v>6</v>
      </c>
      <c r="CC212" s="5">
        <v>46193</v>
      </c>
      <c r="CJ212">
        <v>20</v>
      </c>
      <c r="CK212">
        <v>0</v>
      </c>
      <c r="CL212">
        <v>0</v>
      </c>
      <c r="CM212">
        <v>0</v>
      </c>
      <c r="CN212">
        <v>0</v>
      </c>
      <c r="CO212">
        <v>35</v>
      </c>
      <c r="CP212" t="s">
        <v>347</v>
      </c>
      <c r="CQ212" t="s">
        <v>348</v>
      </c>
    </row>
    <row r="213" spans="1:95">
      <c r="A213" s="5">
        <v>46188</v>
      </c>
      <c r="B213" t="s">
        <v>1122</v>
      </c>
      <c r="C213" t="s">
        <v>33</v>
      </c>
      <c r="D213" t="s">
        <v>61</v>
      </c>
      <c r="E213" t="s">
        <v>1123</v>
      </c>
      <c r="F213" t="s">
        <v>337</v>
      </c>
      <c r="G213">
        <v>25</v>
      </c>
      <c r="H213">
        <v>0</v>
      </c>
      <c r="I213">
        <v>8</v>
      </c>
      <c r="J213">
        <v>17</v>
      </c>
      <c r="K213">
        <v>0</v>
      </c>
      <c r="L213">
        <v>0</v>
      </c>
      <c r="M213">
        <v>0</v>
      </c>
      <c r="N213">
        <v>0</v>
      </c>
      <c r="O213" t="s">
        <v>338</v>
      </c>
      <c r="P213">
        <v>0</v>
      </c>
      <c r="Q213">
        <v>0</v>
      </c>
      <c r="R213">
        <v>3</v>
      </c>
      <c r="S213">
        <v>4</v>
      </c>
      <c r="T213" t="s">
        <v>351</v>
      </c>
      <c r="U213">
        <v>22.99</v>
      </c>
      <c r="V213">
        <v>15.49</v>
      </c>
      <c r="W213">
        <v>15.49</v>
      </c>
      <c r="X213">
        <v>0</v>
      </c>
      <c r="Y213" t="s">
        <v>352</v>
      </c>
      <c r="AA213">
        <v>11.42</v>
      </c>
      <c r="AB213">
        <v>2</v>
      </c>
      <c r="AC213">
        <v>0</v>
      </c>
      <c r="AD213">
        <v>215.82</v>
      </c>
      <c r="AE213">
        <v>0.16</v>
      </c>
      <c r="AF213">
        <v>0.054246</v>
      </c>
      <c r="AG213" t="s">
        <v>340</v>
      </c>
      <c r="AH213" t="s">
        <v>341</v>
      </c>
      <c r="AI213">
        <v>1.35615</v>
      </c>
      <c r="AJ213" t="s">
        <v>342</v>
      </c>
      <c r="AK213" t="s">
        <v>353</v>
      </c>
      <c r="AL213">
        <v>298958</v>
      </c>
      <c r="AM213">
        <v>200</v>
      </c>
      <c r="AN213">
        <v>22</v>
      </c>
      <c r="AP213">
        <v>81</v>
      </c>
      <c r="AQ213">
        <v>15.49</v>
      </c>
      <c r="AR213">
        <v>0</v>
      </c>
      <c r="AS213">
        <v>0</v>
      </c>
      <c r="AT213">
        <v>48.13</v>
      </c>
      <c r="AU213">
        <v>64.45</v>
      </c>
      <c r="AV213">
        <v>0</v>
      </c>
      <c r="AW213">
        <v>0</v>
      </c>
      <c r="AX213">
        <v>8</v>
      </c>
      <c r="AY213">
        <v>0</v>
      </c>
      <c r="AZ213">
        <v>0</v>
      </c>
      <c r="BA213">
        <v>0.96</v>
      </c>
      <c r="BB213">
        <v>0</v>
      </c>
      <c r="BC213">
        <v>0</v>
      </c>
      <c r="BD213">
        <v>0</v>
      </c>
      <c r="BE213">
        <v>0</v>
      </c>
      <c r="BG213">
        <v>0</v>
      </c>
      <c r="BH213">
        <v>0</v>
      </c>
      <c r="BZ213">
        <v>4</v>
      </c>
      <c r="CA213" t="s">
        <v>354</v>
      </c>
      <c r="CH213">
        <v>611.8</v>
      </c>
      <c r="CI213" s="5">
        <v>46186</v>
      </c>
      <c r="CJ213">
        <v>25</v>
      </c>
      <c r="CK213">
        <v>0</v>
      </c>
      <c r="CL213">
        <v>0</v>
      </c>
      <c r="CM213">
        <v>0</v>
      </c>
      <c r="CN213">
        <v>0</v>
      </c>
      <c r="CO213">
        <v>200</v>
      </c>
      <c r="CP213" t="s">
        <v>347</v>
      </c>
      <c r="CQ213" t="s">
        <v>348</v>
      </c>
    </row>
    <row r="214" spans="1:95">
      <c r="A214" s="5">
        <v>46188</v>
      </c>
      <c r="B214" t="s">
        <v>1124</v>
      </c>
      <c r="C214" t="s">
        <v>1125</v>
      </c>
      <c r="D214" t="s">
        <v>1126</v>
      </c>
      <c r="E214" t="s">
        <v>1127</v>
      </c>
      <c r="F214" t="s">
        <v>337</v>
      </c>
      <c r="H214">
        <v>0</v>
      </c>
      <c r="I214">
        <v>37</v>
      </c>
      <c r="J214">
        <v>0</v>
      </c>
      <c r="K214">
        <v>0</v>
      </c>
      <c r="L214">
        <v>0</v>
      </c>
      <c r="M214">
        <v>0</v>
      </c>
      <c r="N214">
        <v>0</v>
      </c>
      <c r="O214" t="s">
        <v>338</v>
      </c>
      <c r="P214">
        <v>6</v>
      </c>
      <c r="Q214">
        <v>7</v>
      </c>
      <c r="R214">
        <v>15</v>
      </c>
      <c r="S214">
        <v>39</v>
      </c>
      <c r="U214">
        <v>34.99</v>
      </c>
      <c r="V214">
        <v>28.49</v>
      </c>
      <c r="W214">
        <v>28.49</v>
      </c>
      <c r="X214">
        <v>0</v>
      </c>
      <c r="Y214" t="s">
        <v>464</v>
      </c>
      <c r="AA214">
        <v>0</v>
      </c>
      <c r="AB214">
        <v>0</v>
      </c>
      <c r="AC214">
        <v>0</v>
      </c>
      <c r="AD214">
        <v>0</v>
      </c>
      <c r="AE214">
        <v>1.1</v>
      </c>
      <c r="AF214">
        <v>0.078557</v>
      </c>
      <c r="AG214" t="s">
        <v>340</v>
      </c>
      <c r="AH214" t="s">
        <v>341</v>
      </c>
      <c r="AI214">
        <v>0</v>
      </c>
      <c r="AJ214" t="s">
        <v>342</v>
      </c>
      <c r="AK214" t="s">
        <v>353</v>
      </c>
      <c r="AL214">
        <v>26497</v>
      </c>
      <c r="AM214">
        <v>0</v>
      </c>
      <c r="AN214">
        <v>0</v>
      </c>
      <c r="AO214">
        <v>0</v>
      </c>
      <c r="AP214">
        <v>0</v>
      </c>
      <c r="AQ214">
        <v>28.49</v>
      </c>
      <c r="AR214">
        <v>170.94</v>
      </c>
      <c r="AS214">
        <v>198.93</v>
      </c>
      <c r="AT214">
        <v>419.33</v>
      </c>
      <c r="AU214">
        <v>1068.85</v>
      </c>
      <c r="AV214">
        <v>3</v>
      </c>
      <c r="AW214">
        <v>34</v>
      </c>
      <c r="AX214">
        <v>0</v>
      </c>
      <c r="AY214">
        <v>0</v>
      </c>
      <c r="AZ214">
        <v>0</v>
      </c>
      <c r="BA214">
        <v>2.58</v>
      </c>
      <c r="BB214">
        <v>0</v>
      </c>
      <c r="BG214">
        <v>0</v>
      </c>
      <c r="BY214">
        <v>333</v>
      </c>
      <c r="BZ214">
        <v>40</v>
      </c>
      <c r="CB214">
        <v>68</v>
      </c>
      <c r="CC214" s="5">
        <v>46188</v>
      </c>
      <c r="CD214" s="5">
        <v>46188</v>
      </c>
      <c r="CE214" t="s">
        <v>345</v>
      </c>
      <c r="CF214" t="s">
        <v>346</v>
      </c>
      <c r="CG214">
        <v>333</v>
      </c>
      <c r="CH214">
        <v>70.5</v>
      </c>
      <c r="CI214" s="5">
        <v>46186</v>
      </c>
      <c r="CJ214">
        <v>0</v>
      </c>
      <c r="CL214">
        <v>0</v>
      </c>
      <c r="CN214">
        <v>0</v>
      </c>
      <c r="CO214">
        <v>0</v>
      </c>
      <c r="CP214" t="s">
        <v>347</v>
      </c>
      <c r="CQ214" t="s">
        <v>348</v>
      </c>
    </row>
    <row r="215" spans="1:95">
      <c r="A215" s="5">
        <v>46188</v>
      </c>
      <c r="B215" t="s">
        <v>1128</v>
      </c>
      <c r="C215" t="s">
        <v>1129</v>
      </c>
      <c r="D215" t="s">
        <v>1130</v>
      </c>
      <c r="E215" t="s">
        <v>1131</v>
      </c>
      <c r="F215" t="s">
        <v>337</v>
      </c>
      <c r="G215">
        <v>14</v>
      </c>
      <c r="H215">
        <v>0</v>
      </c>
      <c r="I215">
        <v>22</v>
      </c>
      <c r="J215">
        <v>0</v>
      </c>
      <c r="K215">
        <v>0</v>
      </c>
      <c r="L215">
        <v>0</v>
      </c>
      <c r="M215">
        <v>0</v>
      </c>
      <c r="N215">
        <v>0</v>
      </c>
      <c r="O215" t="s">
        <v>338</v>
      </c>
      <c r="P215">
        <v>3</v>
      </c>
      <c r="Q215">
        <v>10</v>
      </c>
      <c r="R215">
        <v>18</v>
      </c>
      <c r="S215">
        <v>36</v>
      </c>
      <c r="U215">
        <v>29.99</v>
      </c>
      <c r="V215">
        <v>0</v>
      </c>
      <c r="W215">
        <v>18.99</v>
      </c>
      <c r="X215">
        <v>0</v>
      </c>
      <c r="Y215" t="s">
        <v>359</v>
      </c>
      <c r="AA215">
        <v>0</v>
      </c>
      <c r="AB215">
        <v>0</v>
      </c>
      <c r="AC215">
        <v>0</v>
      </c>
      <c r="AD215">
        <v>0</v>
      </c>
      <c r="AE215">
        <v>2.4</v>
      </c>
      <c r="AF215">
        <v>0.111431</v>
      </c>
      <c r="AG215" t="s">
        <v>340</v>
      </c>
      <c r="AH215" t="s">
        <v>341</v>
      </c>
      <c r="AI215">
        <v>1.560034</v>
      </c>
      <c r="AJ215" t="s">
        <v>342</v>
      </c>
      <c r="AK215" t="s">
        <v>465</v>
      </c>
      <c r="AL215">
        <v>9437</v>
      </c>
      <c r="AM215">
        <v>32</v>
      </c>
      <c r="AN215">
        <v>0</v>
      </c>
      <c r="AO215">
        <v>21</v>
      </c>
      <c r="AP215">
        <v>19</v>
      </c>
      <c r="AQ215">
        <v>18.99</v>
      </c>
      <c r="AR215">
        <v>56.97</v>
      </c>
      <c r="AS215">
        <v>185.87</v>
      </c>
      <c r="AT215">
        <v>329.79</v>
      </c>
      <c r="AU215">
        <v>653.61</v>
      </c>
      <c r="AV215">
        <v>22</v>
      </c>
      <c r="AW215">
        <v>0</v>
      </c>
      <c r="AX215">
        <v>0</v>
      </c>
      <c r="AY215">
        <v>0</v>
      </c>
      <c r="AZ215">
        <v>0</v>
      </c>
      <c r="BA215">
        <v>1.41</v>
      </c>
      <c r="BB215">
        <v>40</v>
      </c>
      <c r="BC215">
        <v>40</v>
      </c>
      <c r="BD215">
        <v>0</v>
      </c>
      <c r="BE215">
        <v>0</v>
      </c>
      <c r="BG215">
        <v>0</v>
      </c>
      <c r="BH215">
        <v>0</v>
      </c>
      <c r="BY215">
        <v>35.4</v>
      </c>
      <c r="BZ215">
        <v>21</v>
      </c>
      <c r="CA215" t="s">
        <v>360</v>
      </c>
      <c r="CD215" s="5">
        <v>46188</v>
      </c>
      <c r="CE215" t="s">
        <v>345</v>
      </c>
      <c r="CF215" t="s">
        <v>346</v>
      </c>
      <c r="CG215">
        <v>35.4</v>
      </c>
      <c r="CH215">
        <v>27.4</v>
      </c>
      <c r="CI215" s="5">
        <v>46186</v>
      </c>
      <c r="CJ215">
        <v>62</v>
      </c>
      <c r="CK215">
        <v>8</v>
      </c>
      <c r="CL215">
        <v>0</v>
      </c>
      <c r="CM215">
        <v>0</v>
      </c>
      <c r="CN215">
        <v>0</v>
      </c>
      <c r="CO215">
        <v>148</v>
      </c>
      <c r="CP215" t="s">
        <v>347</v>
      </c>
      <c r="CQ215" t="s">
        <v>348</v>
      </c>
    </row>
    <row r="216" spans="1:95">
      <c r="A216" s="5">
        <v>46188</v>
      </c>
      <c r="B216" t="s">
        <v>1132</v>
      </c>
      <c r="C216" t="s">
        <v>1133</v>
      </c>
      <c r="D216" t="s">
        <v>1134</v>
      </c>
      <c r="E216" t="s">
        <v>1135</v>
      </c>
      <c r="F216" t="s">
        <v>337</v>
      </c>
      <c r="G216">
        <v>29</v>
      </c>
      <c r="H216">
        <v>0</v>
      </c>
      <c r="I216">
        <v>0</v>
      </c>
      <c r="J216">
        <v>29</v>
      </c>
      <c r="K216">
        <v>0</v>
      </c>
      <c r="L216">
        <v>0</v>
      </c>
      <c r="M216">
        <v>0</v>
      </c>
      <c r="N216">
        <v>0</v>
      </c>
      <c r="O216" t="s">
        <v>338</v>
      </c>
      <c r="P216">
        <v>0</v>
      </c>
      <c r="Q216">
        <v>0</v>
      </c>
      <c r="R216">
        <v>1</v>
      </c>
      <c r="S216">
        <v>1</v>
      </c>
      <c r="T216" t="s">
        <v>409</v>
      </c>
      <c r="U216">
        <v>26.49</v>
      </c>
      <c r="V216">
        <v>0</v>
      </c>
      <c r="W216">
        <v>21.19</v>
      </c>
      <c r="X216">
        <v>0</v>
      </c>
      <c r="Y216" t="s">
        <v>391</v>
      </c>
      <c r="AA216">
        <v>0</v>
      </c>
      <c r="AB216">
        <v>0</v>
      </c>
      <c r="AC216">
        <v>0</v>
      </c>
      <c r="AD216">
        <v>452.24</v>
      </c>
      <c r="AE216">
        <v>0.03</v>
      </c>
      <c r="AF216">
        <v>0.073849</v>
      </c>
      <c r="AG216" t="s">
        <v>340</v>
      </c>
      <c r="AH216" t="s">
        <v>341</v>
      </c>
      <c r="AI216">
        <v>2.141621</v>
      </c>
      <c r="AJ216" t="s">
        <v>342</v>
      </c>
      <c r="AK216" t="s">
        <v>353</v>
      </c>
      <c r="AL216">
        <v>206385</v>
      </c>
      <c r="AM216">
        <v>333</v>
      </c>
      <c r="AN216">
        <v>26</v>
      </c>
      <c r="AP216">
        <v>377</v>
      </c>
      <c r="AQ216">
        <v>21.19</v>
      </c>
      <c r="AR216">
        <v>0</v>
      </c>
      <c r="AS216">
        <v>0</v>
      </c>
      <c r="AT216">
        <v>21.19</v>
      </c>
      <c r="AU216">
        <v>21.19</v>
      </c>
      <c r="AV216">
        <v>0</v>
      </c>
      <c r="AW216">
        <v>0</v>
      </c>
      <c r="AX216">
        <v>0</v>
      </c>
      <c r="AY216">
        <v>0</v>
      </c>
      <c r="AZ216">
        <v>0</v>
      </c>
      <c r="BA216">
        <v>1.94</v>
      </c>
      <c r="BB216">
        <v>0</v>
      </c>
      <c r="BC216">
        <v>0</v>
      </c>
      <c r="BD216">
        <v>0</v>
      </c>
      <c r="BE216">
        <v>0</v>
      </c>
      <c r="BG216">
        <v>0</v>
      </c>
      <c r="BH216">
        <v>0</v>
      </c>
      <c r="BZ216">
        <v>3</v>
      </c>
      <c r="CA216" t="s">
        <v>354</v>
      </c>
      <c r="CH216">
        <v>2658</v>
      </c>
      <c r="CI216" s="5">
        <v>46186</v>
      </c>
      <c r="CJ216">
        <v>29</v>
      </c>
      <c r="CK216">
        <v>0</v>
      </c>
      <c r="CL216">
        <v>0</v>
      </c>
      <c r="CM216">
        <v>0</v>
      </c>
      <c r="CN216">
        <v>0</v>
      </c>
      <c r="CO216">
        <v>333</v>
      </c>
      <c r="CP216" t="s">
        <v>347</v>
      </c>
      <c r="CQ216" t="s">
        <v>348</v>
      </c>
    </row>
    <row r="217" spans="1:95">
      <c r="A217" s="5">
        <v>46188</v>
      </c>
      <c r="B217" t="s">
        <v>1136</v>
      </c>
      <c r="C217" t="s">
        <v>1137</v>
      </c>
      <c r="D217" t="s">
        <v>1138</v>
      </c>
      <c r="E217" t="s">
        <v>1139</v>
      </c>
      <c r="G217">
        <v>0</v>
      </c>
      <c r="H217">
        <v>-1</v>
      </c>
      <c r="O217" t="s">
        <v>338</v>
      </c>
      <c r="U217">
        <v>0</v>
      </c>
      <c r="V217">
        <v>0</v>
      </c>
      <c r="W217">
        <v>0</v>
      </c>
      <c r="X217">
        <v>0</v>
      </c>
      <c r="Y217" t="s">
        <v>359</v>
      </c>
      <c r="AB217">
        <v>0</v>
      </c>
      <c r="AC217">
        <v>0</v>
      </c>
      <c r="AE217">
        <v>-1</v>
      </c>
      <c r="AH217" t="s">
        <v>341</v>
      </c>
      <c r="AJ217" t="s">
        <v>342</v>
      </c>
      <c r="AK217" t="s">
        <v>404</v>
      </c>
      <c r="AM217">
        <v>0</v>
      </c>
      <c r="AN217">
        <v>0</v>
      </c>
      <c r="AQ217">
        <v>3.99</v>
      </c>
      <c r="AY217">
        <v>0</v>
      </c>
      <c r="BB217">
        <v>0</v>
      </c>
      <c r="BC217">
        <v>0</v>
      </c>
      <c r="BD217">
        <v>0</v>
      </c>
      <c r="BE217">
        <v>0</v>
      </c>
      <c r="BG217">
        <v>0</v>
      </c>
      <c r="BH217">
        <v>0</v>
      </c>
      <c r="CJ217">
        <v>0</v>
      </c>
      <c r="CK217">
        <v>0</v>
      </c>
      <c r="CL217">
        <v>0</v>
      </c>
      <c r="CM217">
        <v>0</v>
      </c>
      <c r="CN217">
        <v>0</v>
      </c>
      <c r="CO217">
        <v>0</v>
      </c>
      <c r="CP217" t="s">
        <v>347</v>
      </c>
      <c r="CQ217" t="s">
        <v>348</v>
      </c>
    </row>
    <row r="218" spans="1:95">
      <c r="A218" s="5">
        <v>46188</v>
      </c>
      <c r="B218" t="s">
        <v>1140</v>
      </c>
      <c r="C218" t="s">
        <v>18</v>
      </c>
      <c r="D218" t="s">
        <v>53</v>
      </c>
      <c r="E218" t="s">
        <v>1141</v>
      </c>
      <c r="F218" t="s">
        <v>337</v>
      </c>
      <c r="G218">
        <v>26</v>
      </c>
      <c r="H218">
        <v>0</v>
      </c>
      <c r="I218">
        <v>19</v>
      </c>
      <c r="J218">
        <v>0</v>
      </c>
      <c r="K218">
        <v>7</v>
      </c>
      <c r="L218">
        <v>0</v>
      </c>
      <c r="M218">
        <v>0</v>
      </c>
      <c r="N218">
        <v>0</v>
      </c>
      <c r="O218" t="s">
        <v>338</v>
      </c>
      <c r="P218">
        <v>0</v>
      </c>
      <c r="Q218">
        <v>1</v>
      </c>
      <c r="R218">
        <v>2</v>
      </c>
      <c r="S218">
        <v>8</v>
      </c>
      <c r="T218" t="s">
        <v>351</v>
      </c>
      <c r="U218">
        <v>19.99</v>
      </c>
      <c r="V218">
        <v>0</v>
      </c>
      <c r="W218">
        <v>19.99</v>
      </c>
      <c r="X218">
        <v>0</v>
      </c>
      <c r="Y218" t="s">
        <v>352</v>
      </c>
      <c r="AB218">
        <v>0</v>
      </c>
      <c r="AC218">
        <v>0</v>
      </c>
      <c r="AE218">
        <v>0.42</v>
      </c>
      <c r="AF218">
        <v>0.0649</v>
      </c>
      <c r="AG218" t="s">
        <v>340</v>
      </c>
      <c r="AH218" t="s">
        <v>341</v>
      </c>
      <c r="AI218">
        <v>1.6874</v>
      </c>
      <c r="AJ218" t="s">
        <v>342</v>
      </c>
      <c r="AK218" t="s">
        <v>465</v>
      </c>
      <c r="AL218">
        <v>643175</v>
      </c>
      <c r="AM218">
        <v>195</v>
      </c>
      <c r="AN218">
        <v>0</v>
      </c>
      <c r="AO218">
        <v>104</v>
      </c>
      <c r="AP218">
        <v>42</v>
      </c>
      <c r="AQ218">
        <v>15.99</v>
      </c>
      <c r="AR218">
        <v>0</v>
      </c>
      <c r="AS218">
        <v>15.99</v>
      </c>
      <c r="AT218">
        <v>31.98</v>
      </c>
      <c r="AU218">
        <v>117.12</v>
      </c>
      <c r="AV218">
        <v>0</v>
      </c>
      <c r="AW218">
        <v>19</v>
      </c>
      <c r="AX218">
        <v>0</v>
      </c>
      <c r="AY218">
        <v>7</v>
      </c>
      <c r="AZ218">
        <v>0</v>
      </c>
      <c r="BB218">
        <v>0</v>
      </c>
      <c r="BC218">
        <v>0</v>
      </c>
      <c r="BD218">
        <v>0</v>
      </c>
      <c r="BE218">
        <v>0</v>
      </c>
      <c r="BG218">
        <v>0</v>
      </c>
      <c r="BH218">
        <v>0</v>
      </c>
      <c r="BI218">
        <v>0</v>
      </c>
      <c r="BJ218">
        <v>0</v>
      </c>
      <c r="BK218">
        <v>7</v>
      </c>
      <c r="BL218">
        <v>0.44</v>
      </c>
      <c r="BM218">
        <v>0</v>
      </c>
      <c r="BN218">
        <v>0</v>
      </c>
      <c r="BO218">
        <v>0</v>
      </c>
      <c r="BP218">
        <v>0</v>
      </c>
      <c r="BQ218">
        <v>0</v>
      </c>
      <c r="BR218">
        <v>0</v>
      </c>
      <c r="BS218">
        <v>0</v>
      </c>
      <c r="BT218">
        <v>0</v>
      </c>
      <c r="BU218">
        <v>0</v>
      </c>
      <c r="BV218">
        <v>0</v>
      </c>
      <c r="BW218">
        <v>0</v>
      </c>
      <c r="BX218">
        <v>0</v>
      </c>
      <c r="BY218">
        <v>783</v>
      </c>
      <c r="BZ218">
        <v>8</v>
      </c>
      <c r="CA218" t="s">
        <v>360</v>
      </c>
      <c r="CD218" s="5">
        <v>46188</v>
      </c>
      <c r="CE218" t="s">
        <v>345</v>
      </c>
      <c r="CF218" t="s">
        <v>346</v>
      </c>
      <c r="CG218">
        <v>783</v>
      </c>
      <c r="CH218">
        <v>211.1</v>
      </c>
      <c r="CI218" s="5">
        <v>46186</v>
      </c>
      <c r="CJ218">
        <v>26</v>
      </c>
      <c r="CK218">
        <v>0</v>
      </c>
      <c r="CL218">
        <v>0</v>
      </c>
      <c r="CM218">
        <v>0</v>
      </c>
      <c r="CN218">
        <v>0</v>
      </c>
      <c r="CO218">
        <v>195</v>
      </c>
      <c r="CP218" t="s">
        <v>347</v>
      </c>
      <c r="CQ218" t="s">
        <v>348</v>
      </c>
    </row>
    <row r="219" spans="1:95">
      <c r="A219" s="5">
        <v>46188</v>
      </c>
      <c r="B219" t="s">
        <v>1142</v>
      </c>
      <c r="C219" t="s">
        <v>1143</v>
      </c>
      <c r="D219" t="s">
        <v>1144</v>
      </c>
      <c r="E219" t="s">
        <v>1145</v>
      </c>
      <c r="G219">
        <v>0</v>
      </c>
      <c r="H219">
        <v>-1</v>
      </c>
      <c r="O219" t="s">
        <v>338</v>
      </c>
      <c r="U219">
        <v>0</v>
      </c>
      <c r="V219">
        <v>0</v>
      </c>
      <c r="W219">
        <v>0</v>
      </c>
      <c r="X219">
        <v>0</v>
      </c>
      <c r="Y219" t="s">
        <v>359</v>
      </c>
      <c r="AB219">
        <v>0</v>
      </c>
      <c r="AC219">
        <v>0</v>
      </c>
      <c r="AE219">
        <v>-1</v>
      </c>
      <c r="AH219" t="s">
        <v>341</v>
      </c>
      <c r="AJ219" t="s">
        <v>342</v>
      </c>
      <c r="AK219" t="s">
        <v>404</v>
      </c>
      <c r="AN219">
        <v>0</v>
      </c>
      <c r="AY219">
        <v>0</v>
      </c>
      <c r="BB219">
        <v>0</v>
      </c>
      <c r="BG219">
        <v>0</v>
      </c>
      <c r="BH219">
        <v>0</v>
      </c>
      <c r="CJ219">
        <v>0</v>
      </c>
      <c r="CK219">
        <v>0</v>
      </c>
      <c r="CL219">
        <v>0</v>
      </c>
      <c r="CM219">
        <v>0</v>
      </c>
      <c r="CN219">
        <v>0</v>
      </c>
      <c r="CP219" t="s">
        <v>347</v>
      </c>
      <c r="CQ219" t="s">
        <v>348</v>
      </c>
    </row>
    <row r="220" spans="1:95">
      <c r="A220" s="5">
        <v>46188</v>
      </c>
      <c r="B220" t="s">
        <v>1146</v>
      </c>
      <c r="C220" t="s">
        <v>1147</v>
      </c>
      <c r="D220" t="s">
        <v>1148</v>
      </c>
      <c r="E220" t="s">
        <v>1149</v>
      </c>
      <c r="G220">
        <v>0</v>
      </c>
      <c r="H220">
        <v>-1</v>
      </c>
      <c r="O220" t="s">
        <v>338</v>
      </c>
      <c r="U220">
        <v>0</v>
      </c>
      <c r="V220">
        <v>0</v>
      </c>
      <c r="W220">
        <v>0</v>
      </c>
      <c r="X220">
        <v>0</v>
      </c>
      <c r="Y220" t="s">
        <v>359</v>
      </c>
      <c r="AB220">
        <v>0</v>
      </c>
      <c r="AC220">
        <v>0</v>
      </c>
      <c r="AE220">
        <v>-1</v>
      </c>
      <c r="AH220" t="s">
        <v>377</v>
      </c>
      <c r="AJ220" t="s">
        <v>342</v>
      </c>
      <c r="AK220" t="s">
        <v>378</v>
      </c>
      <c r="AN220">
        <v>0</v>
      </c>
      <c r="AY220">
        <v>0</v>
      </c>
      <c r="BB220">
        <v>0</v>
      </c>
      <c r="BG220">
        <v>0</v>
      </c>
      <c r="BH220">
        <v>0</v>
      </c>
      <c r="CJ220">
        <v>0</v>
      </c>
      <c r="CK220">
        <v>0</v>
      </c>
      <c r="CL220">
        <v>0</v>
      </c>
      <c r="CM220">
        <v>0</v>
      </c>
      <c r="CN220">
        <v>0</v>
      </c>
      <c r="CP220" t="s">
        <v>347</v>
      </c>
      <c r="CQ220" t="s">
        <v>348</v>
      </c>
    </row>
    <row r="221" spans="1:95">
      <c r="A221" s="5">
        <v>46188</v>
      </c>
      <c r="B221" t="s">
        <v>1150</v>
      </c>
      <c r="C221" t="s">
        <v>41</v>
      </c>
      <c r="D221" t="s">
        <v>43</v>
      </c>
      <c r="E221" t="s">
        <v>845</v>
      </c>
      <c r="G221">
        <v>0</v>
      </c>
      <c r="H221">
        <v>-1</v>
      </c>
      <c r="O221" t="s">
        <v>338</v>
      </c>
      <c r="U221">
        <v>0</v>
      </c>
      <c r="V221">
        <v>0</v>
      </c>
      <c r="W221">
        <v>0</v>
      </c>
      <c r="X221">
        <v>0</v>
      </c>
      <c r="Y221" t="s">
        <v>359</v>
      </c>
      <c r="AB221">
        <v>0</v>
      </c>
      <c r="AC221">
        <v>0</v>
      </c>
      <c r="AE221">
        <v>-1</v>
      </c>
      <c r="AH221" t="s">
        <v>377</v>
      </c>
      <c r="AJ221" t="s">
        <v>342</v>
      </c>
      <c r="AK221" t="s">
        <v>353</v>
      </c>
      <c r="AL221">
        <v>298958</v>
      </c>
      <c r="AM221">
        <v>0</v>
      </c>
      <c r="AN221">
        <v>0</v>
      </c>
      <c r="AQ221">
        <v>16.49</v>
      </c>
      <c r="AY221">
        <v>0</v>
      </c>
      <c r="BB221">
        <v>0</v>
      </c>
      <c r="BG221">
        <v>0</v>
      </c>
      <c r="BH221">
        <v>0</v>
      </c>
      <c r="CB221">
        <v>42</v>
      </c>
      <c r="CC221" s="5">
        <v>46187</v>
      </c>
      <c r="CJ221">
        <v>0</v>
      </c>
      <c r="CK221">
        <v>0</v>
      </c>
      <c r="CL221">
        <v>0</v>
      </c>
      <c r="CM221">
        <v>0</v>
      </c>
      <c r="CN221">
        <v>0</v>
      </c>
      <c r="CO221">
        <v>0</v>
      </c>
      <c r="CP221" t="s">
        <v>347</v>
      </c>
      <c r="CQ221" t="s">
        <v>348</v>
      </c>
    </row>
    <row r="222" spans="1:95">
      <c r="A222" s="5">
        <v>46188</v>
      </c>
      <c r="B222" t="s">
        <v>1151</v>
      </c>
      <c r="C222" t="s">
        <v>1152</v>
      </c>
      <c r="D222" t="s">
        <v>1153</v>
      </c>
      <c r="E222" t="s">
        <v>1154</v>
      </c>
      <c r="G222">
        <v>0</v>
      </c>
      <c r="H222">
        <v>-1</v>
      </c>
      <c r="O222" t="s">
        <v>338</v>
      </c>
      <c r="U222">
        <v>0</v>
      </c>
      <c r="V222">
        <v>0</v>
      </c>
      <c r="W222">
        <v>0</v>
      </c>
      <c r="X222">
        <v>0</v>
      </c>
      <c r="Y222" t="s">
        <v>359</v>
      </c>
      <c r="AB222">
        <v>0</v>
      </c>
      <c r="AC222">
        <v>0</v>
      </c>
      <c r="AE222">
        <v>-1</v>
      </c>
      <c r="AH222" t="s">
        <v>341</v>
      </c>
      <c r="AJ222" t="s">
        <v>342</v>
      </c>
      <c r="AK222" t="s">
        <v>353</v>
      </c>
      <c r="AN222">
        <v>0</v>
      </c>
      <c r="AQ222">
        <v>63.99</v>
      </c>
      <c r="AY222">
        <v>0</v>
      </c>
      <c r="BB222">
        <v>0</v>
      </c>
      <c r="BC222">
        <v>0</v>
      </c>
      <c r="BD222">
        <v>0</v>
      </c>
      <c r="BE222">
        <v>0</v>
      </c>
      <c r="BG222">
        <v>0</v>
      </c>
      <c r="BH222">
        <v>0</v>
      </c>
      <c r="CJ222">
        <v>0</v>
      </c>
      <c r="CK222">
        <v>0</v>
      </c>
      <c r="CL222">
        <v>0</v>
      </c>
      <c r="CM222">
        <v>0</v>
      </c>
      <c r="CN222">
        <v>0</v>
      </c>
      <c r="CP222" t="s">
        <v>347</v>
      </c>
      <c r="CQ222" t="s">
        <v>348</v>
      </c>
    </row>
    <row r="223" spans="1:95">
      <c r="A223" s="5">
        <v>46188</v>
      </c>
      <c r="B223" t="s">
        <v>1155</v>
      </c>
      <c r="C223" t="s">
        <v>20</v>
      </c>
      <c r="D223" t="s">
        <v>23</v>
      </c>
      <c r="E223" t="s">
        <v>612</v>
      </c>
      <c r="G223">
        <v>0</v>
      </c>
      <c r="H223">
        <v>-1</v>
      </c>
      <c r="O223" t="s">
        <v>338</v>
      </c>
      <c r="U223">
        <v>0</v>
      </c>
      <c r="V223">
        <v>0</v>
      </c>
      <c r="W223">
        <v>0</v>
      </c>
      <c r="X223">
        <v>0</v>
      </c>
      <c r="Y223" t="s">
        <v>359</v>
      </c>
      <c r="AB223">
        <v>0</v>
      </c>
      <c r="AC223">
        <v>0</v>
      </c>
      <c r="AE223">
        <v>-1</v>
      </c>
      <c r="AH223" t="s">
        <v>377</v>
      </c>
      <c r="AJ223" t="s">
        <v>342</v>
      </c>
      <c r="AK223" t="s">
        <v>343</v>
      </c>
      <c r="AL223">
        <v>680561</v>
      </c>
      <c r="AM223">
        <v>0</v>
      </c>
      <c r="AN223">
        <v>0</v>
      </c>
      <c r="AQ223">
        <v>35.99</v>
      </c>
      <c r="AY223">
        <v>0</v>
      </c>
      <c r="BB223">
        <v>0</v>
      </c>
      <c r="BG223">
        <v>0</v>
      </c>
      <c r="BH223">
        <v>0</v>
      </c>
      <c r="CJ223">
        <v>0</v>
      </c>
      <c r="CK223">
        <v>0</v>
      </c>
      <c r="CL223">
        <v>0</v>
      </c>
      <c r="CM223">
        <v>0</v>
      </c>
      <c r="CN223">
        <v>0</v>
      </c>
      <c r="CO223">
        <v>0</v>
      </c>
      <c r="CP223" t="s">
        <v>347</v>
      </c>
      <c r="CQ223" t="s">
        <v>348</v>
      </c>
    </row>
    <row r="224" spans="1:95">
      <c r="A224" s="5">
        <v>46188</v>
      </c>
      <c r="B224" t="s">
        <v>1156</v>
      </c>
      <c r="C224" t="s">
        <v>35</v>
      </c>
      <c r="D224" t="s">
        <v>63</v>
      </c>
      <c r="E224" t="s">
        <v>1157</v>
      </c>
      <c r="F224" t="s">
        <v>337</v>
      </c>
      <c r="G224">
        <v>7</v>
      </c>
      <c r="H224">
        <v>0</v>
      </c>
      <c r="I224">
        <v>0</v>
      </c>
      <c r="J224">
        <v>0</v>
      </c>
      <c r="K224">
        <v>7</v>
      </c>
      <c r="L224">
        <v>0</v>
      </c>
      <c r="M224">
        <v>0</v>
      </c>
      <c r="N224">
        <v>0</v>
      </c>
      <c r="O224" t="s">
        <v>338</v>
      </c>
      <c r="P224">
        <v>0</v>
      </c>
      <c r="Q224">
        <v>1</v>
      </c>
      <c r="R224">
        <v>2</v>
      </c>
      <c r="S224">
        <v>3</v>
      </c>
      <c r="T224" t="s">
        <v>351</v>
      </c>
      <c r="U224">
        <v>23.99</v>
      </c>
      <c r="V224">
        <v>17.49</v>
      </c>
      <c r="W224">
        <v>17.49</v>
      </c>
      <c r="X224">
        <v>0</v>
      </c>
      <c r="Y224" t="s">
        <v>352</v>
      </c>
      <c r="AA224">
        <v>16.79</v>
      </c>
      <c r="AB224">
        <v>2</v>
      </c>
      <c r="AC224">
        <v>0</v>
      </c>
      <c r="AD224">
        <v>105.41</v>
      </c>
      <c r="AE224">
        <v>0.35</v>
      </c>
      <c r="AF224">
        <v>0.054246</v>
      </c>
      <c r="AG224" t="s">
        <v>340</v>
      </c>
      <c r="AH224" t="s">
        <v>341</v>
      </c>
      <c r="AI224">
        <v>0.379722</v>
      </c>
      <c r="AJ224" t="s">
        <v>342</v>
      </c>
      <c r="AK224" t="s">
        <v>353</v>
      </c>
      <c r="AL224">
        <v>298958</v>
      </c>
      <c r="AM224">
        <v>156</v>
      </c>
      <c r="AN224">
        <v>7</v>
      </c>
      <c r="AO224">
        <v>28</v>
      </c>
      <c r="AP224">
        <v>30</v>
      </c>
      <c r="AQ224">
        <v>17.49</v>
      </c>
      <c r="AR224">
        <v>0</v>
      </c>
      <c r="AS224">
        <v>23.99</v>
      </c>
      <c r="AT224">
        <v>38.75</v>
      </c>
      <c r="AU224">
        <v>56.98</v>
      </c>
      <c r="AV224">
        <v>0</v>
      </c>
      <c r="AW224">
        <v>0</v>
      </c>
      <c r="AX224">
        <v>0</v>
      </c>
      <c r="AY224">
        <v>7</v>
      </c>
      <c r="AZ224">
        <v>0</v>
      </c>
      <c r="BA224">
        <v>1.02</v>
      </c>
      <c r="BB224">
        <v>0</v>
      </c>
      <c r="BC224">
        <v>0</v>
      </c>
      <c r="BD224">
        <v>0</v>
      </c>
      <c r="BE224">
        <v>0</v>
      </c>
      <c r="BG224">
        <v>0</v>
      </c>
      <c r="BH224">
        <v>0</v>
      </c>
      <c r="BI224">
        <v>1</v>
      </c>
      <c r="BJ224">
        <v>0.03</v>
      </c>
      <c r="BK224">
        <v>5</v>
      </c>
      <c r="BL224">
        <v>0.27</v>
      </c>
      <c r="BM224">
        <v>1</v>
      </c>
      <c r="BN224">
        <v>0.08</v>
      </c>
      <c r="BO224">
        <v>0</v>
      </c>
      <c r="BP224">
        <v>0</v>
      </c>
      <c r="BQ224">
        <v>0</v>
      </c>
      <c r="BR224">
        <v>0</v>
      </c>
      <c r="BS224">
        <v>0</v>
      </c>
      <c r="BT224">
        <v>0</v>
      </c>
      <c r="BU224">
        <v>0</v>
      </c>
      <c r="BV224">
        <v>0</v>
      </c>
      <c r="BW224">
        <v>0</v>
      </c>
      <c r="BX224">
        <v>0</v>
      </c>
      <c r="BY224">
        <v>252</v>
      </c>
      <c r="BZ224">
        <v>3</v>
      </c>
      <c r="CA224" t="s">
        <v>354</v>
      </c>
      <c r="CD224" s="5">
        <v>46188</v>
      </c>
      <c r="CE224" t="s">
        <v>345</v>
      </c>
      <c r="CF224" t="s">
        <v>346</v>
      </c>
      <c r="CG224">
        <v>213</v>
      </c>
      <c r="CH224">
        <v>252</v>
      </c>
      <c r="CI224" s="5">
        <v>46186</v>
      </c>
      <c r="CJ224">
        <v>7</v>
      </c>
      <c r="CK224">
        <v>0</v>
      </c>
      <c r="CL224">
        <v>0</v>
      </c>
      <c r="CM224">
        <v>0</v>
      </c>
      <c r="CN224">
        <v>0</v>
      </c>
      <c r="CO224">
        <v>156</v>
      </c>
      <c r="CP224" t="s">
        <v>347</v>
      </c>
      <c r="CQ224" t="s">
        <v>348</v>
      </c>
    </row>
    <row r="225" spans="1:95">
      <c r="A225" s="5">
        <v>46188</v>
      </c>
      <c r="B225" t="s">
        <v>1158</v>
      </c>
      <c r="C225" t="s">
        <v>1159</v>
      </c>
      <c r="D225" t="s">
        <v>1160</v>
      </c>
      <c r="E225" t="s">
        <v>1161</v>
      </c>
      <c r="G225">
        <v>0</v>
      </c>
      <c r="H225">
        <v>-1</v>
      </c>
      <c r="O225" t="s">
        <v>338</v>
      </c>
      <c r="U225">
        <v>0</v>
      </c>
      <c r="V225">
        <v>0</v>
      </c>
      <c r="W225">
        <v>0</v>
      </c>
      <c r="X225">
        <v>0</v>
      </c>
      <c r="Y225" t="s">
        <v>359</v>
      </c>
      <c r="AB225">
        <v>0</v>
      </c>
      <c r="AC225">
        <v>0</v>
      </c>
      <c r="AE225">
        <v>-1</v>
      </c>
      <c r="AH225" t="s">
        <v>341</v>
      </c>
      <c r="AJ225" t="s">
        <v>342</v>
      </c>
      <c r="AK225" t="s">
        <v>353</v>
      </c>
      <c r="AN225">
        <v>0</v>
      </c>
      <c r="AQ225">
        <v>18.49</v>
      </c>
      <c r="AY225">
        <v>0</v>
      </c>
      <c r="BB225">
        <v>0</v>
      </c>
      <c r="BC225">
        <v>0</v>
      </c>
      <c r="BD225">
        <v>0</v>
      </c>
      <c r="BE225">
        <v>0</v>
      </c>
      <c r="BG225">
        <v>0</v>
      </c>
      <c r="BH225">
        <v>0</v>
      </c>
      <c r="CJ225">
        <v>0</v>
      </c>
      <c r="CK225">
        <v>0</v>
      </c>
      <c r="CL225">
        <v>0</v>
      </c>
      <c r="CM225">
        <v>0</v>
      </c>
      <c r="CN225">
        <v>0</v>
      </c>
      <c r="CP225" t="s">
        <v>347</v>
      </c>
      <c r="CQ225" t="s">
        <v>348</v>
      </c>
    </row>
    <row r="226" spans="1:95">
      <c r="A226" s="5">
        <v>46188</v>
      </c>
      <c r="B226" t="s">
        <v>1162</v>
      </c>
      <c r="C226" t="s">
        <v>1163</v>
      </c>
      <c r="D226" t="s">
        <v>1164</v>
      </c>
      <c r="E226" t="s">
        <v>1165</v>
      </c>
      <c r="G226">
        <v>0</v>
      </c>
      <c r="H226">
        <v>-1</v>
      </c>
      <c r="O226" t="s">
        <v>338</v>
      </c>
      <c r="P226">
        <v>0</v>
      </c>
      <c r="Q226">
        <v>0</v>
      </c>
      <c r="R226">
        <v>0</v>
      </c>
      <c r="S226">
        <v>0</v>
      </c>
      <c r="U226">
        <v>0</v>
      </c>
      <c r="V226">
        <v>0</v>
      </c>
      <c r="W226">
        <v>0</v>
      </c>
      <c r="X226">
        <v>0</v>
      </c>
      <c r="Y226" t="s">
        <v>359</v>
      </c>
      <c r="AB226">
        <v>0</v>
      </c>
      <c r="AC226">
        <v>0</v>
      </c>
      <c r="AE226">
        <v>-1</v>
      </c>
      <c r="AH226" t="s">
        <v>341</v>
      </c>
      <c r="AJ226" t="s">
        <v>342</v>
      </c>
      <c r="AK226" t="s">
        <v>343</v>
      </c>
      <c r="AM226">
        <v>0</v>
      </c>
      <c r="AN226">
        <v>0</v>
      </c>
      <c r="AQ226">
        <v>33.14</v>
      </c>
      <c r="AR226">
        <v>0</v>
      </c>
      <c r="AS226">
        <v>0</v>
      </c>
      <c r="AT226">
        <v>0</v>
      </c>
      <c r="AU226">
        <v>0</v>
      </c>
      <c r="AY226">
        <v>0</v>
      </c>
      <c r="BB226">
        <v>0</v>
      </c>
      <c r="BC226">
        <v>0</v>
      </c>
      <c r="BD226">
        <v>0</v>
      </c>
      <c r="BE226">
        <v>0</v>
      </c>
      <c r="BG226">
        <v>0</v>
      </c>
      <c r="BH226">
        <v>0</v>
      </c>
      <c r="BZ226">
        <v>1</v>
      </c>
      <c r="CA226" t="s">
        <v>429</v>
      </c>
      <c r="CJ226">
        <v>0</v>
      </c>
      <c r="CK226">
        <v>0</v>
      </c>
      <c r="CL226">
        <v>0</v>
      </c>
      <c r="CM226">
        <v>0</v>
      </c>
      <c r="CN226">
        <v>0</v>
      </c>
      <c r="CO226">
        <v>0</v>
      </c>
      <c r="CP226" t="s">
        <v>347</v>
      </c>
      <c r="CQ226" t="s">
        <v>348</v>
      </c>
    </row>
    <row r="227" spans="1:95">
      <c r="A227" s="5">
        <v>46188</v>
      </c>
      <c r="B227" t="s">
        <v>1166</v>
      </c>
      <c r="C227" t="s">
        <v>1167</v>
      </c>
      <c r="D227" t="s">
        <v>1168</v>
      </c>
      <c r="E227" t="s">
        <v>1169</v>
      </c>
      <c r="F227" t="s">
        <v>337</v>
      </c>
      <c r="G227">
        <v>4</v>
      </c>
      <c r="H227">
        <v>0</v>
      </c>
      <c r="I227">
        <v>0</v>
      </c>
      <c r="J227">
        <v>0</v>
      </c>
      <c r="K227">
        <v>0</v>
      </c>
      <c r="L227">
        <v>0</v>
      </c>
      <c r="M227">
        <v>4</v>
      </c>
      <c r="N227">
        <v>0</v>
      </c>
      <c r="O227" t="s">
        <v>338</v>
      </c>
      <c r="T227" t="s">
        <v>351</v>
      </c>
      <c r="U227">
        <v>99.99</v>
      </c>
      <c r="V227">
        <v>0</v>
      </c>
      <c r="W227">
        <v>77.99</v>
      </c>
      <c r="X227">
        <v>0</v>
      </c>
      <c r="Y227" t="s">
        <v>516</v>
      </c>
      <c r="AA227">
        <v>0</v>
      </c>
      <c r="AB227">
        <v>0</v>
      </c>
      <c r="AC227">
        <v>0</v>
      </c>
      <c r="AD227">
        <v>935.24</v>
      </c>
      <c r="AE227">
        <v>0</v>
      </c>
      <c r="AF227">
        <v>0.791667</v>
      </c>
      <c r="AG227" t="s">
        <v>340</v>
      </c>
      <c r="AH227" t="s">
        <v>424</v>
      </c>
      <c r="AI227">
        <v>3.166668</v>
      </c>
      <c r="AJ227" t="s">
        <v>342</v>
      </c>
      <c r="AK227" t="s">
        <v>378</v>
      </c>
      <c r="AL227">
        <v>1380094</v>
      </c>
      <c r="AM227">
        <v>366</v>
      </c>
      <c r="AN227">
        <v>4</v>
      </c>
      <c r="AQ227">
        <v>77.99</v>
      </c>
      <c r="AV227">
        <v>0</v>
      </c>
      <c r="AW227">
        <v>0</v>
      </c>
      <c r="AX227">
        <v>0</v>
      </c>
      <c r="AY227">
        <v>0</v>
      </c>
      <c r="AZ227">
        <v>0</v>
      </c>
      <c r="BA227">
        <v>23.27</v>
      </c>
      <c r="BB227">
        <v>0</v>
      </c>
      <c r="BC227">
        <v>0</v>
      </c>
      <c r="BD227">
        <v>0</v>
      </c>
      <c r="BE227">
        <v>0</v>
      </c>
      <c r="BG227">
        <v>0</v>
      </c>
      <c r="BH227">
        <v>0</v>
      </c>
      <c r="BI227">
        <v>0</v>
      </c>
      <c r="BJ227">
        <v>0</v>
      </c>
      <c r="BK227">
        <v>0</v>
      </c>
      <c r="BL227">
        <v>0</v>
      </c>
      <c r="BM227">
        <v>0</v>
      </c>
      <c r="BN227">
        <v>0</v>
      </c>
      <c r="BO227">
        <v>0</v>
      </c>
      <c r="BP227">
        <v>0</v>
      </c>
      <c r="BQ227">
        <v>0</v>
      </c>
      <c r="BR227">
        <v>0</v>
      </c>
      <c r="BS227">
        <v>0</v>
      </c>
      <c r="BT227">
        <v>0</v>
      </c>
      <c r="BU227">
        <v>4</v>
      </c>
      <c r="BV227">
        <v>21.85</v>
      </c>
      <c r="BW227">
        <v>0</v>
      </c>
      <c r="BX227">
        <v>0</v>
      </c>
      <c r="CA227" t="s">
        <v>354</v>
      </c>
      <c r="CI227" s="5">
        <v>46186</v>
      </c>
      <c r="CJ227">
        <v>4</v>
      </c>
      <c r="CK227">
        <v>0</v>
      </c>
      <c r="CL227">
        <v>0</v>
      </c>
      <c r="CM227">
        <v>0</v>
      </c>
      <c r="CN227">
        <v>0</v>
      </c>
      <c r="CO227">
        <v>366</v>
      </c>
      <c r="CP227" t="s">
        <v>347</v>
      </c>
      <c r="CQ227" t="s">
        <v>348</v>
      </c>
    </row>
    <row r="228" spans="1:95">
      <c r="A228" s="5">
        <v>46188</v>
      </c>
      <c r="B228" t="s">
        <v>1170</v>
      </c>
      <c r="C228" t="s">
        <v>1171</v>
      </c>
      <c r="D228" t="s">
        <v>1172</v>
      </c>
      <c r="E228" t="s">
        <v>1173</v>
      </c>
      <c r="G228">
        <v>0</v>
      </c>
      <c r="H228">
        <v>-1</v>
      </c>
      <c r="O228" t="s">
        <v>338</v>
      </c>
      <c r="U228">
        <v>0</v>
      </c>
      <c r="V228">
        <v>0</v>
      </c>
      <c r="W228">
        <v>0</v>
      </c>
      <c r="X228">
        <v>0</v>
      </c>
      <c r="Y228" t="s">
        <v>359</v>
      </c>
      <c r="AB228">
        <v>0</v>
      </c>
      <c r="AC228">
        <v>0</v>
      </c>
      <c r="AE228">
        <v>-1</v>
      </c>
      <c r="AJ228" t="s">
        <v>342</v>
      </c>
      <c r="AK228" t="s">
        <v>353</v>
      </c>
      <c r="AN228">
        <v>0</v>
      </c>
      <c r="AY228">
        <v>0</v>
      </c>
      <c r="BB228">
        <v>0</v>
      </c>
      <c r="BG228">
        <v>0</v>
      </c>
      <c r="BH228">
        <v>0</v>
      </c>
      <c r="CJ228">
        <v>0</v>
      </c>
      <c r="CK228">
        <v>0</v>
      </c>
      <c r="CL228">
        <v>0</v>
      </c>
      <c r="CM228">
        <v>0</v>
      </c>
      <c r="CN228">
        <v>0</v>
      </c>
      <c r="CP228" t="s">
        <v>347</v>
      </c>
      <c r="CQ228" t="s">
        <v>348</v>
      </c>
    </row>
    <row r="229" spans="1:95">
      <c r="A229" s="5">
        <v>46188</v>
      </c>
      <c r="B229" t="s">
        <v>1174</v>
      </c>
      <c r="C229" t="s">
        <v>34</v>
      </c>
      <c r="D229" t="s">
        <v>62</v>
      </c>
      <c r="E229" t="s">
        <v>1175</v>
      </c>
      <c r="F229" t="s">
        <v>337</v>
      </c>
      <c r="G229">
        <v>16</v>
      </c>
      <c r="H229">
        <v>0</v>
      </c>
      <c r="I229">
        <v>0</v>
      </c>
      <c r="J229">
        <v>12</v>
      </c>
      <c r="K229">
        <v>4</v>
      </c>
      <c r="L229">
        <v>0</v>
      </c>
      <c r="M229">
        <v>0</v>
      </c>
      <c r="N229">
        <v>0</v>
      </c>
      <c r="O229" t="s">
        <v>338</v>
      </c>
      <c r="P229">
        <v>0</v>
      </c>
      <c r="Q229">
        <v>1</v>
      </c>
      <c r="R229">
        <v>3</v>
      </c>
      <c r="S229">
        <v>4</v>
      </c>
      <c r="T229" t="s">
        <v>351</v>
      </c>
      <c r="U229">
        <v>22.99</v>
      </c>
      <c r="V229">
        <v>0</v>
      </c>
      <c r="W229">
        <v>22.99</v>
      </c>
      <c r="X229">
        <v>0</v>
      </c>
      <c r="Y229" t="s">
        <v>352</v>
      </c>
      <c r="AA229">
        <v>11.42</v>
      </c>
      <c r="AB229">
        <v>2</v>
      </c>
      <c r="AC229">
        <v>0</v>
      </c>
      <c r="AD229">
        <v>305.71</v>
      </c>
      <c r="AE229">
        <v>0.22</v>
      </c>
      <c r="AF229">
        <v>0.054246</v>
      </c>
      <c r="AG229" t="s">
        <v>340</v>
      </c>
      <c r="AH229" t="s">
        <v>341</v>
      </c>
      <c r="AI229">
        <v>0.867936</v>
      </c>
      <c r="AJ229" t="s">
        <v>342</v>
      </c>
      <c r="AK229" t="s">
        <v>353</v>
      </c>
      <c r="AL229">
        <v>598598</v>
      </c>
      <c r="AM229">
        <v>205</v>
      </c>
      <c r="AN229">
        <v>16</v>
      </c>
      <c r="AO229">
        <v>64</v>
      </c>
      <c r="AP229">
        <v>52</v>
      </c>
      <c r="AQ229">
        <v>15.49</v>
      </c>
      <c r="AR229">
        <v>0</v>
      </c>
      <c r="AS229">
        <v>15.49</v>
      </c>
      <c r="AT229">
        <v>48.59</v>
      </c>
      <c r="AU229">
        <v>64.91</v>
      </c>
      <c r="AV229">
        <v>0</v>
      </c>
      <c r="AW229">
        <v>0</v>
      </c>
      <c r="AX229">
        <v>0</v>
      </c>
      <c r="AY229">
        <v>4</v>
      </c>
      <c r="AZ229">
        <v>0</v>
      </c>
      <c r="BA229">
        <v>1.85</v>
      </c>
      <c r="BB229">
        <v>0</v>
      </c>
      <c r="BC229">
        <v>0</v>
      </c>
      <c r="BD229">
        <v>0</v>
      </c>
      <c r="BE229">
        <v>0</v>
      </c>
      <c r="BG229">
        <v>0</v>
      </c>
      <c r="BH229">
        <v>0</v>
      </c>
      <c r="BI229">
        <v>0</v>
      </c>
      <c r="BJ229">
        <v>0</v>
      </c>
      <c r="BK229">
        <v>0</v>
      </c>
      <c r="BL229">
        <v>0</v>
      </c>
      <c r="BM229">
        <v>4</v>
      </c>
      <c r="BN229">
        <v>0.32</v>
      </c>
      <c r="BO229">
        <v>0</v>
      </c>
      <c r="BP229">
        <v>0</v>
      </c>
      <c r="BQ229">
        <v>0</v>
      </c>
      <c r="BR229">
        <v>0</v>
      </c>
      <c r="BS229">
        <v>0</v>
      </c>
      <c r="BT229">
        <v>0</v>
      </c>
      <c r="BU229">
        <v>0</v>
      </c>
      <c r="BV229">
        <v>0</v>
      </c>
      <c r="BW229">
        <v>0</v>
      </c>
      <c r="BX229">
        <v>0</v>
      </c>
      <c r="BY229">
        <v>489</v>
      </c>
      <c r="BZ229">
        <v>3</v>
      </c>
      <c r="CA229" t="s">
        <v>354</v>
      </c>
      <c r="CD229" s="5">
        <v>46188</v>
      </c>
      <c r="CE229" t="s">
        <v>345</v>
      </c>
      <c r="CF229" t="s">
        <v>346</v>
      </c>
      <c r="CG229">
        <v>489</v>
      </c>
      <c r="CH229">
        <v>402</v>
      </c>
      <c r="CI229" s="5">
        <v>46186</v>
      </c>
      <c r="CJ229">
        <v>16</v>
      </c>
      <c r="CK229">
        <v>0</v>
      </c>
      <c r="CL229">
        <v>0</v>
      </c>
      <c r="CM229">
        <v>0</v>
      </c>
      <c r="CN229">
        <v>0</v>
      </c>
      <c r="CO229">
        <v>205</v>
      </c>
      <c r="CP229" t="s">
        <v>347</v>
      </c>
      <c r="CQ229" t="s">
        <v>348</v>
      </c>
    </row>
    <row r="230" spans="1:95">
      <c r="A230" s="5">
        <v>46188</v>
      </c>
      <c r="B230" t="s">
        <v>165</v>
      </c>
      <c r="C230" t="s">
        <v>165</v>
      </c>
      <c r="D230" t="s">
        <v>1176</v>
      </c>
      <c r="E230" t="s">
        <v>1076</v>
      </c>
      <c r="F230" t="s">
        <v>337</v>
      </c>
      <c r="G230">
        <v>1</v>
      </c>
      <c r="H230">
        <v>0</v>
      </c>
      <c r="I230">
        <v>1</v>
      </c>
      <c r="J230">
        <v>0</v>
      </c>
      <c r="K230">
        <v>0</v>
      </c>
      <c r="L230">
        <v>0</v>
      </c>
      <c r="M230">
        <v>0</v>
      </c>
      <c r="N230">
        <v>0</v>
      </c>
      <c r="O230" t="s">
        <v>338</v>
      </c>
      <c r="P230">
        <v>0</v>
      </c>
      <c r="Q230">
        <v>0</v>
      </c>
      <c r="R230">
        <v>0</v>
      </c>
      <c r="S230">
        <v>2</v>
      </c>
      <c r="T230" t="s">
        <v>409</v>
      </c>
      <c r="U230">
        <v>19.99</v>
      </c>
      <c r="V230">
        <v>0</v>
      </c>
      <c r="W230">
        <v>15.49</v>
      </c>
      <c r="X230">
        <v>0</v>
      </c>
      <c r="Y230" t="s">
        <v>464</v>
      </c>
      <c r="AB230">
        <v>0</v>
      </c>
      <c r="AC230">
        <v>0</v>
      </c>
      <c r="AE230">
        <v>1.3</v>
      </c>
      <c r="AF230">
        <v>0.083087</v>
      </c>
      <c r="AG230" t="s">
        <v>340</v>
      </c>
      <c r="AH230" t="s">
        <v>341</v>
      </c>
      <c r="AI230">
        <v>0.083087</v>
      </c>
      <c r="AJ230" t="s">
        <v>342</v>
      </c>
      <c r="AK230" t="s">
        <v>353</v>
      </c>
      <c r="AL230">
        <v>9437</v>
      </c>
      <c r="AM230">
        <v>0</v>
      </c>
      <c r="AN230">
        <v>0</v>
      </c>
      <c r="AP230">
        <v>6</v>
      </c>
      <c r="AR230">
        <v>0</v>
      </c>
      <c r="AS230">
        <v>0</v>
      </c>
      <c r="AT230">
        <v>0</v>
      </c>
      <c r="AU230">
        <v>39.98</v>
      </c>
      <c r="AV230">
        <v>0</v>
      </c>
      <c r="AW230">
        <v>1</v>
      </c>
      <c r="AX230">
        <v>0</v>
      </c>
      <c r="AY230">
        <v>0</v>
      </c>
      <c r="AZ230">
        <v>0</v>
      </c>
      <c r="BB230">
        <v>0</v>
      </c>
      <c r="BC230">
        <v>0</v>
      </c>
      <c r="BD230">
        <v>0</v>
      </c>
      <c r="BE230">
        <v>0</v>
      </c>
      <c r="BG230">
        <v>0</v>
      </c>
      <c r="BH230">
        <v>0</v>
      </c>
      <c r="CB230">
        <v>2499</v>
      </c>
      <c r="CC230" s="5">
        <v>46195</v>
      </c>
      <c r="CH230">
        <v>24.5</v>
      </c>
      <c r="CI230" s="5">
        <v>46185</v>
      </c>
      <c r="CJ230">
        <v>1</v>
      </c>
      <c r="CK230">
        <v>0</v>
      </c>
      <c r="CL230">
        <v>0</v>
      </c>
      <c r="CM230">
        <v>0</v>
      </c>
      <c r="CN230">
        <v>0</v>
      </c>
      <c r="CO230">
        <v>0</v>
      </c>
      <c r="CP230" t="s">
        <v>347</v>
      </c>
      <c r="CQ230" t="s">
        <v>348</v>
      </c>
    </row>
    <row r="231" spans="1:95">
      <c r="A231" s="5">
        <v>46188</v>
      </c>
      <c r="B231" t="s">
        <v>1177</v>
      </c>
      <c r="C231" t="s">
        <v>1178</v>
      </c>
      <c r="D231" t="s">
        <v>1179</v>
      </c>
      <c r="E231" t="s">
        <v>1180</v>
      </c>
      <c r="F231" t="s">
        <v>337</v>
      </c>
      <c r="H231">
        <v>0</v>
      </c>
      <c r="I231">
        <v>36</v>
      </c>
      <c r="J231">
        <v>7</v>
      </c>
      <c r="K231">
        <v>0</v>
      </c>
      <c r="L231">
        <v>0</v>
      </c>
      <c r="M231">
        <v>0</v>
      </c>
      <c r="N231">
        <v>0</v>
      </c>
      <c r="O231" t="s">
        <v>338</v>
      </c>
      <c r="P231">
        <v>2</v>
      </c>
      <c r="Q231">
        <v>5</v>
      </c>
      <c r="R231">
        <v>13</v>
      </c>
      <c r="S231">
        <v>23</v>
      </c>
      <c r="U231">
        <v>22.99</v>
      </c>
      <c r="V231">
        <v>18.49</v>
      </c>
      <c r="W231">
        <v>18.49</v>
      </c>
      <c r="X231">
        <v>0</v>
      </c>
      <c r="Y231" t="s">
        <v>464</v>
      </c>
      <c r="AA231">
        <v>0</v>
      </c>
      <c r="AB231">
        <v>0</v>
      </c>
      <c r="AC231">
        <v>0</v>
      </c>
      <c r="AD231">
        <v>0</v>
      </c>
      <c r="AE231">
        <v>0.89</v>
      </c>
      <c r="AF231">
        <v>0.111431</v>
      </c>
      <c r="AG231" t="s">
        <v>340</v>
      </c>
      <c r="AH231" t="s">
        <v>341</v>
      </c>
      <c r="AI231">
        <v>0</v>
      </c>
      <c r="AJ231" t="s">
        <v>342</v>
      </c>
      <c r="AK231" t="s">
        <v>353</v>
      </c>
      <c r="AL231">
        <v>9437</v>
      </c>
      <c r="AM231">
        <v>0</v>
      </c>
      <c r="AN231">
        <v>0</v>
      </c>
      <c r="AO231">
        <v>0</v>
      </c>
      <c r="AP231">
        <v>0</v>
      </c>
      <c r="AQ231">
        <v>18.49</v>
      </c>
      <c r="AR231">
        <v>36.98</v>
      </c>
      <c r="AS231">
        <v>96.95</v>
      </c>
      <c r="AT231">
        <v>240.85</v>
      </c>
      <c r="AU231">
        <v>413.94</v>
      </c>
      <c r="AV231">
        <v>36</v>
      </c>
      <c r="AW231">
        <v>0</v>
      </c>
      <c r="AX231">
        <v>0</v>
      </c>
      <c r="AY231">
        <v>0</v>
      </c>
      <c r="AZ231">
        <v>0</v>
      </c>
      <c r="BA231">
        <v>3.22</v>
      </c>
      <c r="BB231">
        <v>0</v>
      </c>
      <c r="BG231">
        <v>0</v>
      </c>
      <c r="BY231">
        <v>157</v>
      </c>
      <c r="BZ231">
        <v>20</v>
      </c>
      <c r="CB231">
        <v>35</v>
      </c>
      <c r="CC231" s="5">
        <v>46187</v>
      </c>
      <c r="CD231" s="5">
        <v>46188</v>
      </c>
      <c r="CE231" t="s">
        <v>345</v>
      </c>
      <c r="CF231" t="s">
        <v>346</v>
      </c>
      <c r="CG231">
        <v>157</v>
      </c>
      <c r="CH231">
        <v>89.4</v>
      </c>
      <c r="CI231" s="5">
        <v>46186</v>
      </c>
      <c r="CJ231">
        <v>0</v>
      </c>
      <c r="CL231">
        <v>0</v>
      </c>
      <c r="CN231">
        <v>0</v>
      </c>
      <c r="CO231">
        <v>0</v>
      </c>
      <c r="CP231" t="s">
        <v>347</v>
      </c>
      <c r="CQ231" t="s">
        <v>348</v>
      </c>
    </row>
    <row r="232" spans="1:95">
      <c r="A232" s="5">
        <v>46188</v>
      </c>
      <c r="B232" t="s">
        <v>1181</v>
      </c>
      <c r="C232" t="s">
        <v>1078</v>
      </c>
      <c r="D232" t="s">
        <v>1182</v>
      </c>
      <c r="E232" t="s">
        <v>1080</v>
      </c>
      <c r="G232">
        <v>0</v>
      </c>
      <c r="H232">
        <v>-1</v>
      </c>
      <c r="O232" t="s">
        <v>338</v>
      </c>
      <c r="U232">
        <v>0</v>
      </c>
      <c r="V232">
        <v>0</v>
      </c>
      <c r="W232">
        <v>0</v>
      </c>
      <c r="X232">
        <v>0</v>
      </c>
      <c r="Y232" t="s">
        <v>359</v>
      </c>
      <c r="AB232">
        <v>0</v>
      </c>
      <c r="AC232">
        <v>0</v>
      </c>
      <c r="AE232">
        <v>-1</v>
      </c>
      <c r="AJ232" t="s">
        <v>342</v>
      </c>
      <c r="AK232" t="s">
        <v>353</v>
      </c>
      <c r="AM232">
        <v>0</v>
      </c>
      <c r="AN232">
        <v>0</v>
      </c>
      <c r="AQ232">
        <v>26.99</v>
      </c>
      <c r="AY232">
        <v>0</v>
      </c>
      <c r="BB232">
        <v>0</v>
      </c>
      <c r="BG232">
        <v>0</v>
      </c>
      <c r="BH232">
        <v>0</v>
      </c>
      <c r="CJ232">
        <v>0</v>
      </c>
      <c r="CK232">
        <v>0</v>
      </c>
      <c r="CL232">
        <v>0</v>
      </c>
      <c r="CM232">
        <v>0</v>
      </c>
      <c r="CN232">
        <v>0</v>
      </c>
      <c r="CO232">
        <v>0</v>
      </c>
      <c r="CP232" t="s">
        <v>347</v>
      </c>
      <c r="CQ232" t="s">
        <v>348</v>
      </c>
    </row>
    <row r="233" spans="1:95">
      <c r="A233" s="5">
        <v>46188</v>
      </c>
      <c r="B233" t="s">
        <v>1183</v>
      </c>
      <c r="C233" t="s">
        <v>1184</v>
      </c>
      <c r="D233" t="s">
        <v>1185</v>
      </c>
      <c r="E233" t="s">
        <v>1186</v>
      </c>
      <c r="G233">
        <v>0</v>
      </c>
      <c r="H233">
        <v>-1</v>
      </c>
      <c r="O233" t="s">
        <v>338</v>
      </c>
      <c r="U233">
        <v>0</v>
      </c>
      <c r="V233">
        <v>0</v>
      </c>
      <c r="W233">
        <v>0</v>
      </c>
      <c r="X233">
        <v>0</v>
      </c>
      <c r="Y233" t="s">
        <v>359</v>
      </c>
      <c r="AB233">
        <v>0</v>
      </c>
      <c r="AC233">
        <v>0</v>
      </c>
      <c r="AE233">
        <v>-1</v>
      </c>
      <c r="AH233" t="s">
        <v>341</v>
      </c>
      <c r="AJ233" t="s">
        <v>342</v>
      </c>
      <c r="AK233" t="s">
        <v>353</v>
      </c>
      <c r="AM233">
        <v>0</v>
      </c>
      <c r="AN233">
        <v>0</v>
      </c>
      <c r="AQ233">
        <v>20.79</v>
      </c>
      <c r="AY233">
        <v>0</v>
      </c>
      <c r="BB233">
        <v>0</v>
      </c>
      <c r="BC233">
        <v>0</v>
      </c>
      <c r="BD233">
        <v>0</v>
      </c>
      <c r="BE233">
        <v>0</v>
      </c>
      <c r="BG233">
        <v>0</v>
      </c>
      <c r="BH233">
        <v>0</v>
      </c>
      <c r="CJ233">
        <v>0</v>
      </c>
      <c r="CK233">
        <v>0</v>
      </c>
      <c r="CL233">
        <v>0</v>
      </c>
      <c r="CM233">
        <v>0</v>
      </c>
      <c r="CN233">
        <v>0</v>
      </c>
      <c r="CO233">
        <v>0</v>
      </c>
      <c r="CP233" t="s">
        <v>347</v>
      </c>
      <c r="CQ233" t="s">
        <v>348</v>
      </c>
    </row>
    <row r="234" spans="1:95">
      <c r="A234" s="5">
        <v>46188</v>
      </c>
      <c r="B234" t="s">
        <v>1187</v>
      </c>
      <c r="C234" t="s">
        <v>1188</v>
      </c>
      <c r="D234" t="s">
        <v>1189</v>
      </c>
      <c r="E234" t="s">
        <v>1190</v>
      </c>
      <c r="F234" t="s">
        <v>337</v>
      </c>
      <c r="G234">
        <v>20</v>
      </c>
      <c r="H234">
        <v>0</v>
      </c>
      <c r="I234">
        <v>20</v>
      </c>
      <c r="J234">
        <v>0</v>
      </c>
      <c r="K234">
        <v>0</v>
      </c>
      <c r="L234">
        <v>0</v>
      </c>
      <c r="M234">
        <v>0</v>
      </c>
      <c r="N234">
        <v>0</v>
      </c>
      <c r="O234" t="s">
        <v>338</v>
      </c>
      <c r="T234" t="s">
        <v>409</v>
      </c>
      <c r="U234">
        <v>38.99</v>
      </c>
      <c r="V234">
        <v>0</v>
      </c>
      <c r="W234">
        <v>31.99</v>
      </c>
      <c r="X234">
        <v>0</v>
      </c>
      <c r="Y234" t="s">
        <v>391</v>
      </c>
      <c r="AB234">
        <v>0</v>
      </c>
      <c r="AC234">
        <v>0</v>
      </c>
      <c r="AE234">
        <v>0</v>
      </c>
      <c r="AF234">
        <v>0.038098</v>
      </c>
      <c r="AG234" t="s">
        <v>340</v>
      </c>
      <c r="AH234" t="s">
        <v>341</v>
      </c>
      <c r="AI234">
        <v>0.76196</v>
      </c>
      <c r="AJ234" t="s">
        <v>342</v>
      </c>
      <c r="AK234" t="s">
        <v>353</v>
      </c>
      <c r="AL234">
        <v>206385</v>
      </c>
      <c r="AM234">
        <v>38</v>
      </c>
      <c r="AN234">
        <v>0</v>
      </c>
      <c r="AQ234">
        <v>31.99</v>
      </c>
      <c r="AV234">
        <v>0</v>
      </c>
      <c r="AW234">
        <v>20</v>
      </c>
      <c r="AX234">
        <v>0</v>
      </c>
      <c r="AY234">
        <v>0</v>
      </c>
      <c r="AZ234">
        <v>0</v>
      </c>
      <c r="BB234">
        <v>0</v>
      </c>
      <c r="BC234">
        <v>0</v>
      </c>
      <c r="BD234">
        <v>0</v>
      </c>
      <c r="BE234">
        <v>0</v>
      </c>
      <c r="BG234">
        <v>0</v>
      </c>
      <c r="BH234">
        <v>0</v>
      </c>
      <c r="CB234">
        <v>2</v>
      </c>
      <c r="CC234" s="5">
        <v>46193</v>
      </c>
      <c r="CI234" s="5">
        <v>46186</v>
      </c>
      <c r="CJ234">
        <v>20</v>
      </c>
      <c r="CK234">
        <v>0</v>
      </c>
      <c r="CL234">
        <v>0</v>
      </c>
      <c r="CM234">
        <v>0</v>
      </c>
      <c r="CN234">
        <v>0</v>
      </c>
      <c r="CO234">
        <v>38</v>
      </c>
      <c r="CP234" t="s">
        <v>347</v>
      </c>
      <c r="CQ234" t="s">
        <v>348</v>
      </c>
    </row>
    <row r="235" spans="1:95">
      <c r="A235" s="5">
        <v>46188</v>
      </c>
      <c r="B235" t="s">
        <v>1191</v>
      </c>
      <c r="C235" t="s">
        <v>1192</v>
      </c>
      <c r="D235" t="s">
        <v>1193</v>
      </c>
      <c r="E235" t="s">
        <v>1194</v>
      </c>
      <c r="G235">
        <v>0</v>
      </c>
      <c r="H235">
        <v>-1</v>
      </c>
      <c r="O235" t="s">
        <v>338</v>
      </c>
      <c r="U235">
        <v>0</v>
      </c>
      <c r="V235">
        <v>0</v>
      </c>
      <c r="W235">
        <v>0</v>
      </c>
      <c r="X235">
        <v>0</v>
      </c>
      <c r="Y235" t="s">
        <v>359</v>
      </c>
      <c r="AB235">
        <v>0</v>
      </c>
      <c r="AC235">
        <v>0</v>
      </c>
      <c r="AE235">
        <v>-1</v>
      </c>
      <c r="AH235" t="s">
        <v>341</v>
      </c>
      <c r="AJ235" t="s">
        <v>342</v>
      </c>
      <c r="AK235" t="s">
        <v>1195</v>
      </c>
      <c r="AN235">
        <v>0</v>
      </c>
      <c r="AQ235">
        <v>35.99</v>
      </c>
      <c r="AY235">
        <v>0</v>
      </c>
      <c r="BB235">
        <v>0</v>
      </c>
      <c r="BC235">
        <v>0</v>
      </c>
      <c r="BD235">
        <v>0</v>
      </c>
      <c r="BE235">
        <v>0</v>
      </c>
      <c r="BG235">
        <v>0</v>
      </c>
      <c r="BH235">
        <v>0</v>
      </c>
      <c r="CJ235">
        <v>0</v>
      </c>
      <c r="CK235">
        <v>0</v>
      </c>
      <c r="CL235">
        <v>0</v>
      </c>
      <c r="CM235">
        <v>0</v>
      </c>
      <c r="CN235">
        <v>0</v>
      </c>
      <c r="CP235" t="s">
        <v>347</v>
      </c>
      <c r="CQ235" t="s">
        <v>348</v>
      </c>
    </row>
    <row r="236" spans="1:95">
      <c r="A236" s="5">
        <v>46188</v>
      </c>
      <c r="B236" t="s">
        <v>1196</v>
      </c>
      <c r="C236" t="s">
        <v>1197</v>
      </c>
      <c r="D236" t="s">
        <v>1198</v>
      </c>
      <c r="E236" t="s">
        <v>1199</v>
      </c>
      <c r="G236">
        <v>0</v>
      </c>
      <c r="H236">
        <v>-1</v>
      </c>
      <c r="O236" t="s">
        <v>338</v>
      </c>
      <c r="U236">
        <v>0</v>
      </c>
      <c r="V236">
        <v>0</v>
      </c>
      <c r="W236">
        <v>0</v>
      </c>
      <c r="X236">
        <v>0</v>
      </c>
      <c r="Y236" t="s">
        <v>359</v>
      </c>
      <c r="AB236">
        <v>0</v>
      </c>
      <c r="AC236">
        <v>0</v>
      </c>
      <c r="AE236">
        <v>-1</v>
      </c>
      <c r="AH236" t="s">
        <v>377</v>
      </c>
      <c r="AJ236" t="s">
        <v>342</v>
      </c>
      <c r="AK236" t="s">
        <v>465</v>
      </c>
      <c r="AN236">
        <v>0</v>
      </c>
      <c r="AY236">
        <v>0</v>
      </c>
      <c r="BB236">
        <v>0</v>
      </c>
      <c r="BG236">
        <v>0</v>
      </c>
      <c r="BH236">
        <v>0</v>
      </c>
      <c r="CJ236">
        <v>0</v>
      </c>
      <c r="CK236">
        <v>0</v>
      </c>
      <c r="CL236">
        <v>0</v>
      </c>
      <c r="CM236">
        <v>0</v>
      </c>
      <c r="CN236">
        <v>0</v>
      </c>
      <c r="CP236" t="s">
        <v>347</v>
      </c>
      <c r="CQ236" t="s">
        <v>348</v>
      </c>
    </row>
    <row r="237" spans="1:95">
      <c r="A237" s="5">
        <v>46188</v>
      </c>
      <c r="B237" t="s">
        <v>1200</v>
      </c>
      <c r="C237" t="s">
        <v>1201</v>
      </c>
      <c r="D237" t="s">
        <v>1202</v>
      </c>
      <c r="E237" t="s">
        <v>1203</v>
      </c>
      <c r="F237" t="s">
        <v>337</v>
      </c>
      <c r="G237">
        <v>0</v>
      </c>
      <c r="H237">
        <v>0</v>
      </c>
      <c r="I237">
        <v>0</v>
      </c>
      <c r="J237">
        <v>0</v>
      </c>
      <c r="K237">
        <v>0</v>
      </c>
      <c r="L237">
        <v>1</v>
      </c>
      <c r="M237">
        <v>0</v>
      </c>
      <c r="N237">
        <v>0</v>
      </c>
      <c r="O237" t="s">
        <v>338</v>
      </c>
      <c r="P237">
        <v>1</v>
      </c>
      <c r="Q237">
        <v>4</v>
      </c>
      <c r="R237">
        <v>5</v>
      </c>
      <c r="S237">
        <v>6</v>
      </c>
      <c r="T237" t="s">
        <v>351</v>
      </c>
      <c r="U237">
        <v>29.99</v>
      </c>
      <c r="V237">
        <v>0</v>
      </c>
      <c r="W237">
        <v>29.99</v>
      </c>
      <c r="X237">
        <v>0</v>
      </c>
      <c r="Y237" t="s">
        <v>352</v>
      </c>
      <c r="AB237">
        <v>0</v>
      </c>
      <c r="AC237">
        <v>0</v>
      </c>
      <c r="AE237">
        <v>1.26</v>
      </c>
      <c r="AF237">
        <v>0.024016</v>
      </c>
      <c r="AG237" t="s">
        <v>340</v>
      </c>
      <c r="AH237" t="s">
        <v>341</v>
      </c>
      <c r="AI237">
        <v>0</v>
      </c>
      <c r="AJ237" t="s">
        <v>342</v>
      </c>
      <c r="AK237" t="s">
        <v>353</v>
      </c>
      <c r="AM237">
        <v>0</v>
      </c>
      <c r="AN237">
        <v>0</v>
      </c>
      <c r="AO237">
        <v>0</v>
      </c>
      <c r="AP237">
        <v>0</v>
      </c>
      <c r="AQ237">
        <v>11.13</v>
      </c>
      <c r="AR237">
        <v>11.13</v>
      </c>
      <c r="AS237">
        <v>45.11</v>
      </c>
      <c r="AT237">
        <v>57.45</v>
      </c>
      <c r="AU237">
        <v>70.44</v>
      </c>
      <c r="AV237">
        <v>0</v>
      </c>
      <c r="AW237">
        <v>0</v>
      </c>
      <c r="AX237">
        <v>0</v>
      </c>
      <c r="AY237">
        <v>1</v>
      </c>
      <c r="AZ237">
        <v>0</v>
      </c>
      <c r="BB237">
        <v>0</v>
      </c>
      <c r="BC237">
        <v>0</v>
      </c>
      <c r="BD237">
        <v>0</v>
      </c>
      <c r="BE237">
        <v>0</v>
      </c>
      <c r="BG237">
        <v>1</v>
      </c>
      <c r="BH237">
        <v>0</v>
      </c>
      <c r="BI237">
        <v>0</v>
      </c>
      <c r="BJ237">
        <v>0</v>
      </c>
      <c r="BK237">
        <v>0</v>
      </c>
      <c r="BL237">
        <v>0</v>
      </c>
      <c r="BM237">
        <v>0</v>
      </c>
      <c r="BN237">
        <v>0</v>
      </c>
      <c r="BO237">
        <v>0</v>
      </c>
      <c r="BP237">
        <v>0</v>
      </c>
      <c r="BQ237">
        <v>0</v>
      </c>
      <c r="BR237">
        <v>0</v>
      </c>
      <c r="BS237">
        <v>1</v>
      </c>
      <c r="BT237">
        <v>0.14</v>
      </c>
      <c r="BU237">
        <v>0</v>
      </c>
      <c r="BV237">
        <v>0</v>
      </c>
      <c r="BW237">
        <v>0</v>
      </c>
      <c r="BX237">
        <v>0</v>
      </c>
      <c r="BY237">
        <v>77</v>
      </c>
      <c r="BZ237">
        <v>3</v>
      </c>
      <c r="CA237" t="s">
        <v>429</v>
      </c>
      <c r="CB237">
        <v>3</v>
      </c>
      <c r="CC237" s="5">
        <v>46193</v>
      </c>
      <c r="CD237" s="5">
        <v>46188</v>
      </c>
      <c r="CE237" t="s">
        <v>345</v>
      </c>
      <c r="CF237" t="s">
        <v>346</v>
      </c>
      <c r="CG237">
        <v>24.8</v>
      </c>
      <c r="CH237">
        <v>77</v>
      </c>
      <c r="CI237" s="5">
        <v>46186</v>
      </c>
      <c r="CJ237">
        <v>0</v>
      </c>
      <c r="CK237">
        <v>0</v>
      </c>
      <c r="CL237">
        <v>0</v>
      </c>
      <c r="CM237">
        <v>1</v>
      </c>
      <c r="CN237">
        <v>0</v>
      </c>
      <c r="CO237">
        <v>22</v>
      </c>
      <c r="CP237" t="s">
        <v>347</v>
      </c>
      <c r="CQ237" t="s">
        <v>348</v>
      </c>
    </row>
    <row r="238" spans="1:95">
      <c r="A238" s="5">
        <v>46188</v>
      </c>
      <c r="B238" t="s">
        <v>1204</v>
      </c>
      <c r="C238" t="s">
        <v>1205</v>
      </c>
      <c r="D238" t="s">
        <v>1206</v>
      </c>
      <c r="E238" t="s">
        <v>1207</v>
      </c>
      <c r="F238" t="s">
        <v>337</v>
      </c>
      <c r="G238">
        <v>61</v>
      </c>
      <c r="H238">
        <v>0</v>
      </c>
      <c r="I238">
        <v>67</v>
      </c>
      <c r="J238">
        <v>0</v>
      </c>
      <c r="K238">
        <v>0</v>
      </c>
      <c r="L238">
        <v>0</v>
      </c>
      <c r="M238">
        <v>0</v>
      </c>
      <c r="N238">
        <v>0</v>
      </c>
      <c r="O238" t="s">
        <v>338</v>
      </c>
      <c r="P238">
        <v>8</v>
      </c>
      <c r="Q238">
        <v>25</v>
      </c>
      <c r="R238">
        <v>65</v>
      </c>
      <c r="S238">
        <v>112</v>
      </c>
      <c r="U238">
        <v>19.99</v>
      </c>
      <c r="V238">
        <v>16.99</v>
      </c>
      <c r="W238">
        <v>16.99</v>
      </c>
      <c r="X238">
        <v>0</v>
      </c>
      <c r="Y238" t="s">
        <v>464</v>
      </c>
      <c r="AA238">
        <v>0</v>
      </c>
      <c r="AB238">
        <v>0</v>
      </c>
      <c r="AC238">
        <v>0</v>
      </c>
      <c r="AD238">
        <v>0</v>
      </c>
      <c r="AE238">
        <v>2.31</v>
      </c>
      <c r="AF238">
        <v>0.088886</v>
      </c>
      <c r="AG238" t="s">
        <v>340</v>
      </c>
      <c r="AH238" t="s">
        <v>341</v>
      </c>
      <c r="AI238">
        <v>5.422046</v>
      </c>
      <c r="AJ238" t="s">
        <v>342</v>
      </c>
      <c r="AK238" t="s">
        <v>353</v>
      </c>
      <c r="AL238">
        <v>2409</v>
      </c>
      <c r="AM238">
        <v>60</v>
      </c>
      <c r="AN238">
        <v>0</v>
      </c>
      <c r="AO238">
        <v>17</v>
      </c>
      <c r="AP238">
        <v>12</v>
      </c>
      <c r="AQ238">
        <v>16.99</v>
      </c>
      <c r="AR238">
        <v>135.92</v>
      </c>
      <c r="AS238">
        <v>427.75</v>
      </c>
      <c r="AT238">
        <v>1112.43</v>
      </c>
      <c r="AU238">
        <v>1975.96</v>
      </c>
      <c r="AV238">
        <v>59</v>
      </c>
      <c r="AW238">
        <v>8</v>
      </c>
      <c r="AX238">
        <v>0</v>
      </c>
      <c r="AY238">
        <v>0</v>
      </c>
      <c r="AZ238">
        <v>0</v>
      </c>
      <c r="BA238">
        <v>5.72</v>
      </c>
      <c r="BB238">
        <v>49</v>
      </c>
      <c r="BC238">
        <v>0</v>
      </c>
      <c r="BD238">
        <v>48</v>
      </c>
      <c r="BE238">
        <v>1</v>
      </c>
      <c r="BG238">
        <v>3</v>
      </c>
      <c r="BH238">
        <v>0</v>
      </c>
      <c r="BY238">
        <v>84.7</v>
      </c>
      <c r="BZ238">
        <v>106</v>
      </c>
      <c r="CA238" t="s">
        <v>344</v>
      </c>
      <c r="CB238">
        <v>97</v>
      </c>
      <c r="CC238" s="5">
        <v>46192</v>
      </c>
      <c r="CD238" s="5">
        <v>46188</v>
      </c>
      <c r="CE238" t="s">
        <v>345</v>
      </c>
      <c r="CF238" t="s">
        <v>346</v>
      </c>
      <c r="CG238">
        <v>84.7</v>
      </c>
      <c r="CH238">
        <v>34.9</v>
      </c>
      <c r="CI238" s="5">
        <v>46186</v>
      </c>
      <c r="CJ238">
        <v>110</v>
      </c>
      <c r="CK238">
        <v>0</v>
      </c>
      <c r="CL238">
        <v>1</v>
      </c>
      <c r="CM238">
        <v>2</v>
      </c>
      <c r="CN238">
        <v>0</v>
      </c>
      <c r="CO238">
        <v>63</v>
      </c>
      <c r="CP238" t="s">
        <v>347</v>
      </c>
      <c r="CQ238" t="s">
        <v>348</v>
      </c>
    </row>
    <row r="239" spans="1:95">
      <c r="A239" s="5">
        <v>46188</v>
      </c>
      <c r="B239" t="s">
        <v>1208</v>
      </c>
      <c r="C239" t="s">
        <v>1209</v>
      </c>
      <c r="D239" t="s">
        <v>1210</v>
      </c>
      <c r="E239" t="s">
        <v>1211</v>
      </c>
      <c r="G239">
        <v>0</v>
      </c>
      <c r="H239">
        <v>-1</v>
      </c>
      <c r="O239" t="s">
        <v>338</v>
      </c>
      <c r="P239">
        <v>0</v>
      </c>
      <c r="Q239">
        <v>0</v>
      </c>
      <c r="R239">
        <v>0</v>
      </c>
      <c r="S239">
        <v>0</v>
      </c>
      <c r="U239">
        <v>0</v>
      </c>
      <c r="V239">
        <v>0</v>
      </c>
      <c r="W239">
        <v>0</v>
      </c>
      <c r="X239">
        <v>0</v>
      </c>
      <c r="Y239" t="s">
        <v>359</v>
      </c>
      <c r="AB239">
        <v>0</v>
      </c>
      <c r="AC239">
        <v>0</v>
      </c>
      <c r="AE239">
        <v>-1</v>
      </c>
      <c r="AH239" t="s">
        <v>341</v>
      </c>
      <c r="AJ239" t="s">
        <v>342</v>
      </c>
      <c r="AK239" t="s">
        <v>353</v>
      </c>
      <c r="AM239">
        <v>0</v>
      </c>
      <c r="AN239">
        <v>0</v>
      </c>
      <c r="AQ239">
        <v>71.24</v>
      </c>
      <c r="AR239">
        <v>0</v>
      </c>
      <c r="AS239">
        <v>0</v>
      </c>
      <c r="AT239">
        <v>0</v>
      </c>
      <c r="AU239">
        <v>0</v>
      </c>
      <c r="AY239">
        <v>0</v>
      </c>
      <c r="BB239">
        <v>0</v>
      </c>
      <c r="BC239">
        <v>0</v>
      </c>
      <c r="BD239">
        <v>0</v>
      </c>
      <c r="BE239">
        <v>0</v>
      </c>
      <c r="BG239">
        <v>0</v>
      </c>
      <c r="BH239">
        <v>0</v>
      </c>
      <c r="BZ239">
        <v>1</v>
      </c>
      <c r="CA239" t="s">
        <v>429</v>
      </c>
      <c r="CJ239">
        <v>0</v>
      </c>
      <c r="CK239">
        <v>0</v>
      </c>
      <c r="CL239">
        <v>0</v>
      </c>
      <c r="CM239">
        <v>0</v>
      </c>
      <c r="CN239">
        <v>0</v>
      </c>
      <c r="CO239">
        <v>0</v>
      </c>
      <c r="CP239" t="s">
        <v>347</v>
      </c>
      <c r="CQ239" t="s">
        <v>348</v>
      </c>
    </row>
    <row r="240" spans="1:95">
      <c r="A240" s="5">
        <v>46188</v>
      </c>
      <c r="B240" t="s">
        <v>1212</v>
      </c>
      <c r="C240" t="s">
        <v>40</v>
      </c>
      <c r="D240" t="s">
        <v>65</v>
      </c>
      <c r="E240" t="s">
        <v>1213</v>
      </c>
      <c r="F240" t="s">
        <v>337</v>
      </c>
      <c r="G240">
        <v>21</v>
      </c>
      <c r="H240">
        <v>0</v>
      </c>
      <c r="I240">
        <v>0</v>
      </c>
      <c r="J240">
        <v>22</v>
      </c>
      <c r="K240">
        <v>0</v>
      </c>
      <c r="L240">
        <v>0</v>
      </c>
      <c r="M240">
        <v>0</v>
      </c>
      <c r="N240">
        <v>0</v>
      </c>
      <c r="O240" t="s">
        <v>338</v>
      </c>
      <c r="P240">
        <v>2</v>
      </c>
      <c r="Q240">
        <v>9</v>
      </c>
      <c r="R240">
        <v>12</v>
      </c>
      <c r="S240">
        <v>14</v>
      </c>
      <c r="T240" t="s">
        <v>351</v>
      </c>
      <c r="U240">
        <v>20.99</v>
      </c>
      <c r="V240">
        <v>12.99</v>
      </c>
      <c r="W240">
        <v>12.99</v>
      </c>
      <c r="X240">
        <v>0</v>
      </c>
      <c r="Y240" t="s">
        <v>352</v>
      </c>
      <c r="AA240">
        <v>9.09</v>
      </c>
      <c r="AB240">
        <v>2</v>
      </c>
      <c r="AC240">
        <v>0</v>
      </c>
      <c r="AD240">
        <v>20.64</v>
      </c>
      <c r="AE240">
        <v>0.46</v>
      </c>
      <c r="AF240">
        <v>0.038835</v>
      </c>
      <c r="AG240" t="s">
        <v>340</v>
      </c>
      <c r="AH240" t="s">
        <v>341</v>
      </c>
      <c r="AI240">
        <v>0.815535</v>
      </c>
      <c r="AJ240" t="s">
        <v>342</v>
      </c>
      <c r="AK240" t="s">
        <v>353</v>
      </c>
      <c r="AL240">
        <v>298958</v>
      </c>
      <c r="AM240">
        <v>145</v>
      </c>
      <c r="AN240">
        <v>9</v>
      </c>
      <c r="AO240">
        <v>9</v>
      </c>
      <c r="AP240">
        <v>19</v>
      </c>
      <c r="AQ240">
        <v>12.99</v>
      </c>
      <c r="AR240">
        <v>25.98</v>
      </c>
      <c r="AS240">
        <v>121.91</v>
      </c>
      <c r="AT240">
        <v>171.44</v>
      </c>
      <c r="AU240">
        <v>205.02</v>
      </c>
      <c r="AV240">
        <v>0</v>
      </c>
      <c r="AW240">
        <v>0</v>
      </c>
      <c r="AX240">
        <v>0</v>
      </c>
      <c r="AY240">
        <v>0</v>
      </c>
      <c r="AZ240">
        <v>0</v>
      </c>
      <c r="BA240">
        <v>0.58</v>
      </c>
      <c r="BB240">
        <v>0</v>
      </c>
      <c r="BC240">
        <v>0</v>
      </c>
      <c r="BD240">
        <v>0</v>
      </c>
      <c r="BE240">
        <v>0</v>
      </c>
      <c r="BG240">
        <v>0</v>
      </c>
      <c r="BH240">
        <v>0</v>
      </c>
      <c r="BY240">
        <v>216.2</v>
      </c>
      <c r="BZ240">
        <v>17</v>
      </c>
      <c r="CA240" t="s">
        <v>354</v>
      </c>
      <c r="CB240">
        <v>7</v>
      </c>
      <c r="CC240" s="5">
        <v>46194</v>
      </c>
      <c r="CD240" s="5">
        <v>46188</v>
      </c>
      <c r="CE240" t="s">
        <v>345</v>
      </c>
      <c r="CF240" t="s">
        <v>346</v>
      </c>
      <c r="CG240">
        <v>99.9</v>
      </c>
      <c r="CH240">
        <v>216.2</v>
      </c>
      <c r="CI240" s="5">
        <v>46186</v>
      </c>
      <c r="CJ240">
        <v>21</v>
      </c>
      <c r="CK240">
        <v>0</v>
      </c>
      <c r="CL240">
        <v>0</v>
      </c>
      <c r="CM240">
        <v>0</v>
      </c>
      <c r="CN240">
        <v>0</v>
      </c>
      <c r="CO240">
        <v>145</v>
      </c>
      <c r="CP240" t="s">
        <v>347</v>
      </c>
      <c r="CQ240" t="s">
        <v>348</v>
      </c>
    </row>
    <row r="241" spans="1:95">
      <c r="A241" s="5">
        <v>46188</v>
      </c>
      <c r="B241" t="s">
        <v>1214</v>
      </c>
      <c r="C241" t="s">
        <v>1215</v>
      </c>
      <c r="D241" t="s">
        <v>1216</v>
      </c>
      <c r="E241" t="s">
        <v>1217</v>
      </c>
      <c r="F241" t="s">
        <v>337</v>
      </c>
      <c r="G241">
        <v>12</v>
      </c>
      <c r="H241">
        <v>0</v>
      </c>
      <c r="I241">
        <v>10</v>
      </c>
      <c r="J241">
        <v>1</v>
      </c>
      <c r="K241">
        <v>0</v>
      </c>
      <c r="L241">
        <v>0</v>
      </c>
      <c r="M241">
        <v>1</v>
      </c>
      <c r="N241">
        <v>0</v>
      </c>
      <c r="O241" t="s">
        <v>338</v>
      </c>
      <c r="P241">
        <v>0</v>
      </c>
      <c r="Q241">
        <v>1</v>
      </c>
      <c r="R241">
        <v>5</v>
      </c>
      <c r="S241">
        <v>5</v>
      </c>
      <c r="T241" t="s">
        <v>351</v>
      </c>
      <c r="U241">
        <v>32.49</v>
      </c>
      <c r="V241">
        <v>26.99</v>
      </c>
      <c r="W241">
        <v>26.99</v>
      </c>
      <c r="X241">
        <v>0</v>
      </c>
      <c r="Y241" t="s">
        <v>339</v>
      </c>
      <c r="AA241">
        <v>0</v>
      </c>
      <c r="AB241">
        <v>0</v>
      </c>
      <c r="AC241">
        <v>0</v>
      </c>
      <c r="AD241">
        <v>474.64</v>
      </c>
      <c r="AE241">
        <v>0.32</v>
      </c>
      <c r="AF241">
        <v>0.142309</v>
      </c>
      <c r="AG241" t="s">
        <v>340</v>
      </c>
      <c r="AH241" t="s">
        <v>341</v>
      </c>
      <c r="AI241">
        <v>1.707708</v>
      </c>
      <c r="AJ241" t="s">
        <v>342</v>
      </c>
      <c r="AK241" t="s">
        <v>353</v>
      </c>
      <c r="AL241">
        <v>688636</v>
      </c>
      <c r="AM241">
        <v>162</v>
      </c>
      <c r="AN241">
        <v>1</v>
      </c>
      <c r="AO241">
        <v>48</v>
      </c>
      <c r="AP241">
        <v>31</v>
      </c>
      <c r="AQ241">
        <v>26.99</v>
      </c>
      <c r="AR241">
        <v>0</v>
      </c>
      <c r="AS241">
        <v>26.99</v>
      </c>
      <c r="AT241">
        <v>134.95</v>
      </c>
      <c r="AU241">
        <v>134.95</v>
      </c>
      <c r="AV241">
        <v>0</v>
      </c>
      <c r="AW241">
        <v>0</v>
      </c>
      <c r="AX241">
        <v>10</v>
      </c>
      <c r="AY241">
        <v>0</v>
      </c>
      <c r="AZ241">
        <v>0</v>
      </c>
      <c r="BA241">
        <v>2.19</v>
      </c>
      <c r="BB241">
        <v>0</v>
      </c>
      <c r="BC241">
        <v>0</v>
      </c>
      <c r="BD241">
        <v>0</v>
      </c>
      <c r="BE241">
        <v>0</v>
      </c>
      <c r="BG241">
        <v>0</v>
      </c>
      <c r="BH241">
        <v>0</v>
      </c>
      <c r="BI241">
        <v>0</v>
      </c>
      <c r="BJ241">
        <v>0</v>
      </c>
      <c r="BK241">
        <v>0</v>
      </c>
      <c r="BL241">
        <v>0</v>
      </c>
      <c r="BM241">
        <v>0</v>
      </c>
      <c r="BN241">
        <v>0</v>
      </c>
      <c r="BO241">
        <v>0</v>
      </c>
      <c r="BP241">
        <v>0</v>
      </c>
      <c r="BQ241">
        <v>0</v>
      </c>
      <c r="BR241">
        <v>0</v>
      </c>
      <c r="BS241">
        <v>0</v>
      </c>
      <c r="BT241">
        <v>0</v>
      </c>
      <c r="BU241">
        <v>1</v>
      </c>
      <c r="BV241">
        <v>0.98</v>
      </c>
      <c r="BW241">
        <v>0</v>
      </c>
      <c r="BX241">
        <v>0</v>
      </c>
      <c r="BY241">
        <v>370</v>
      </c>
      <c r="BZ241">
        <v>4</v>
      </c>
      <c r="CA241" t="s">
        <v>354</v>
      </c>
      <c r="CB241">
        <v>7</v>
      </c>
      <c r="CC241" s="5">
        <v>46186</v>
      </c>
      <c r="CD241" s="5">
        <v>46188</v>
      </c>
      <c r="CE241" t="s">
        <v>345</v>
      </c>
      <c r="CF241" t="s">
        <v>346</v>
      </c>
      <c r="CG241">
        <v>370</v>
      </c>
      <c r="CH241">
        <v>280.2</v>
      </c>
      <c r="CI241" s="5">
        <v>46186</v>
      </c>
      <c r="CJ241">
        <v>12</v>
      </c>
      <c r="CK241">
        <v>0</v>
      </c>
      <c r="CL241">
        <v>0</v>
      </c>
      <c r="CM241">
        <v>0</v>
      </c>
      <c r="CN241">
        <v>0</v>
      </c>
      <c r="CO241">
        <v>162</v>
      </c>
      <c r="CP241" t="s">
        <v>347</v>
      </c>
      <c r="CQ241" t="s">
        <v>348</v>
      </c>
    </row>
    <row r="242" spans="1:95">
      <c r="A242" s="5">
        <v>46188</v>
      </c>
      <c r="B242" t="s">
        <v>1218</v>
      </c>
      <c r="C242" t="s">
        <v>1219</v>
      </c>
      <c r="D242" t="s">
        <v>1220</v>
      </c>
      <c r="E242" t="s">
        <v>1221</v>
      </c>
      <c r="F242" t="s">
        <v>337</v>
      </c>
      <c r="G242">
        <v>20</v>
      </c>
      <c r="H242">
        <v>0</v>
      </c>
      <c r="I242">
        <v>20</v>
      </c>
      <c r="J242">
        <v>0</v>
      </c>
      <c r="K242">
        <v>0</v>
      </c>
      <c r="L242">
        <v>0</v>
      </c>
      <c r="M242">
        <v>0</v>
      </c>
      <c r="N242">
        <v>0</v>
      </c>
      <c r="O242" t="s">
        <v>338</v>
      </c>
      <c r="T242" t="s">
        <v>409</v>
      </c>
      <c r="U242">
        <v>39.99</v>
      </c>
      <c r="V242">
        <v>0</v>
      </c>
      <c r="W242">
        <v>20.99</v>
      </c>
      <c r="X242">
        <v>0</v>
      </c>
      <c r="Y242" t="s">
        <v>391</v>
      </c>
      <c r="AA242">
        <v>0</v>
      </c>
      <c r="AB242">
        <v>0</v>
      </c>
      <c r="AC242">
        <v>0</v>
      </c>
      <c r="AD242">
        <v>19.85</v>
      </c>
      <c r="AE242">
        <v>0</v>
      </c>
      <c r="AF242">
        <v>0.110773</v>
      </c>
      <c r="AG242" t="s">
        <v>340</v>
      </c>
      <c r="AH242" t="s">
        <v>341</v>
      </c>
      <c r="AI242">
        <v>2.21546</v>
      </c>
      <c r="AJ242" t="s">
        <v>342</v>
      </c>
      <c r="AK242" t="s">
        <v>353</v>
      </c>
      <c r="AL242">
        <v>206385</v>
      </c>
      <c r="AM242">
        <v>79</v>
      </c>
      <c r="AN242">
        <v>0</v>
      </c>
      <c r="AQ242">
        <v>20.99</v>
      </c>
      <c r="AV242">
        <v>0</v>
      </c>
      <c r="AW242">
        <v>20</v>
      </c>
      <c r="AX242">
        <v>0</v>
      </c>
      <c r="AY242">
        <v>0</v>
      </c>
      <c r="AZ242">
        <v>0</v>
      </c>
      <c r="BA242">
        <v>1.58</v>
      </c>
      <c r="BB242">
        <v>0</v>
      </c>
      <c r="BC242">
        <v>0</v>
      </c>
      <c r="BD242">
        <v>0</v>
      </c>
      <c r="BE242">
        <v>0</v>
      </c>
      <c r="BG242">
        <v>0</v>
      </c>
      <c r="BH242">
        <v>0</v>
      </c>
      <c r="CI242" s="5">
        <v>46186</v>
      </c>
      <c r="CJ242">
        <v>20</v>
      </c>
      <c r="CK242">
        <v>0</v>
      </c>
      <c r="CL242">
        <v>0</v>
      </c>
      <c r="CM242">
        <v>0</v>
      </c>
      <c r="CN242">
        <v>0</v>
      </c>
      <c r="CO242">
        <v>79</v>
      </c>
      <c r="CP242" t="s">
        <v>347</v>
      </c>
      <c r="CQ242" t="s">
        <v>348</v>
      </c>
    </row>
    <row r="243" spans="1:95">
      <c r="A243" s="5">
        <v>46188</v>
      </c>
      <c r="B243" t="s">
        <v>1222</v>
      </c>
      <c r="C243" t="s">
        <v>1223</v>
      </c>
      <c r="D243" t="s">
        <v>1224</v>
      </c>
      <c r="E243" t="s">
        <v>1225</v>
      </c>
      <c r="G243">
        <v>0</v>
      </c>
      <c r="H243">
        <v>-1</v>
      </c>
      <c r="O243" t="s">
        <v>338</v>
      </c>
      <c r="U243">
        <v>0</v>
      </c>
      <c r="V243">
        <v>0</v>
      </c>
      <c r="W243">
        <v>0</v>
      </c>
      <c r="X243">
        <v>0</v>
      </c>
      <c r="Y243" t="s">
        <v>359</v>
      </c>
      <c r="AB243">
        <v>0</v>
      </c>
      <c r="AC243">
        <v>0</v>
      </c>
      <c r="AE243">
        <v>-1</v>
      </c>
      <c r="AH243" t="s">
        <v>377</v>
      </c>
      <c r="AJ243" t="s">
        <v>342</v>
      </c>
      <c r="AK243" t="s">
        <v>353</v>
      </c>
      <c r="AN243">
        <v>0</v>
      </c>
      <c r="AY243">
        <v>0</v>
      </c>
      <c r="BB243">
        <v>0</v>
      </c>
      <c r="BG243">
        <v>0</v>
      </c>
      <c r="BH243">
        <v>0</v>
      </c>
      <c r="CJ243">
        <v>0</v>
      </c>
      <c r="CK243">
        <v>0</v>
      </c>
      <c r="CL243">
        <v>0</v>
      </c>
      <c r="CM243">
        <v>0</v>
      </c>
      <c r="CN243">
        <v>0</v>
      </c>
      <c r="CP243" t="s">
        <v>347</v>
      </c>
      <c r="CQ243" t="s">
        <v>348</v>
      </c>
    </row>
    <row r="244" spans="1:95">
      <c r="A244" s="5">
        <v>46188</v>
      </c>
      <c r="B244" t="s">
        <v>1226</v>
      </c>
      <c r="C244" t="s">
        <v>1227</v>
      </c>
      <c r="D244" t="s">
        <v>1228</v>
      </c>
      <c r="E244" t="s">
        <v>1229</v>
      </c>
      <c r="G244">
        <v>0</v>
      </c>
      <c r="H244">
        <v>-1</v>
      </c>
      <c r="O244" t="s">
        <v>338</v>
      </c>
      <c r="U244">
        <v>0</v>
      </c>
      <c r="V244">
        <v>0</v>
      </c>
      <c r="W244">
        <v>0</v>
      </c>
      <c r="X244">
        <v>0</v>
      </c>
      <c r="Y244" t="s">
        <v>359</v>
      </c>
      <c r="AB244">
        <v>0</v>
      </c>
      <c r="AC244">
        <v>0</v>
      </c>
      <c r="AE244">
        <v>-1</v>
      </c>
      <c r="AH244" t="s">
        <v>341</v>
      </c>
      <c r="AJ244" t="s">
        <v>342</v>
      </c>
      <c r="AK244" t="s">
        <v>353</v>
      </c>
      <c r="AM244">
        <v>0</v>
      </c>
      <c r="AN244">
        <v>0</v>
      </c>
      <c r="AQ244">
        <v>20.87</v>
      </c>
      <c r="AY244">
        <v>0</v>
      </c>
      <c r="BB244">
        <v>0</v>
      </c>
      <c r="BC244">
        <v>0</v>
      </c>
      <c r="BD244">
        <v>0</v>
      </c>
      <c r="BE244">
        <v>0</v>
      </c>
      <c r="BG244">
        <v>0</v>
      </c>
      <c r="BH244">
        <v>0</v>
      </c>
      <c r="CJ244">
        <v>0</v>
      </c>
      <c r="CK244">
        <v>0</v>
      </c>
      <c r="CL244">
        <v>0</v>
      </c>
      <c r="CM244">
        <v>0</v>
      </c>
      <c r="CN244">
        <v>0</v>
      </c>
      <c r="CO244">
        <v>0</v>
      </c>
      <c r="CP244" t="s">
        <v>347</v>
      </c>
      <c r="CQ244" t="s">
        <v>348</v>
      </c>
    </row>
    <row r="245" spans="1:95">
      <c r="A245" s="5">
        <v>46188</v>
      </c>
      <c r="B245" t="s">
        <v>1230</v>
      </c>
      <c r="C245" t="s">
        <v>1231</v>
      </c>
      <c r="D245" t="s">
        <v>1232</v>
      </c>
      <c r="E245" t="s">
        <v>1233</v>
      </c>
      <c r="F245" t="s">
        <v>337</v>
      </c>
      <c r="G245">
        <v>17</v>
      </c>
      <c r="H245">
        <v>0</v>
      </c>
      <c r="I245">
        <v>17</v>
      </c>
      <c r="J245">
        <v>0</v>
      </c>
      <c r="K245">
        <v>0</v>
      </c>
      <c r="L245">
        <v>0</v>
      </c>
      <c r="M245">
        <v>0</v>
      </c>
      <c r="N245">
        <v>0</v>
      </c>
      <c r="O245" t="s">
        <v>338</v>
      </c>
      <c r="P245">
        <v>0</v>
      </c>
      <c r="Q245">
        <v>3</v>
      </c>
      <c r="R245">
        <v>3</v>
      </c>
      <c r="S245">
        <v>3</v>
      </c>
      <c r="T245" t="s">
        <v>351</v>
      </c>
      <c r="U245">
        <v>33.99</v>
      </c>
      <c r="V245">
        <v>25.49</v>
      </c>
      <c r="W245">
        <v>25.49</v>
      </c>
      <c r="X245">
        <v>0</v>
      </c>
      <c r="Y245" t="s">
        <v>359</v>
      </c>
      <c r="AB245">
        <v>0</v>
      </c>
      <c r="AC245">
        <v>0</v>
      </c>
      <c r="AE245">
        <v>0.21</v>
      </c>
      <c r="AF245">
        <v>0.087579</v>
      </c>
      <c r="AG245" t="s">
        <v>340</v>
      </c>
      <c r="AH245" t="s">
        <v>341</v>
      </c>
      <c r="AI245">
        <v>1.488843</v>
      </c>
      <c r="AJ245" t="s">
        <v>342</v>
      </c>
      <c r="AK245" t="s">
        <v>652</v>
      </c>
      <c r="AL245">
        <v>519741</v>
      </c>
      <c r="AM245">
        <v>226</v>
      </c>
      <c r="AN245">
        <v>0</v>
      </c>
      <c r="AO245">
        <v>22</v>
      </c>
      <c r="AP245">
        <v>73</v>
      </c>
      <c r="AQ245">
        <v>25.49</v>
      </c>
      <c r="AR245">
        <v>0</v>
      </c>
      <c r="AS245">
        <v>76.47</v>
      </c>
      <c r="AT245">
        <v>76.47</v>
      </c>
      <c r="AU245">
        <v>76.47</v>
      </c>
      <c r="AV245">
        <v>8</v>
      </c>
      <c r="AW245">
        <v>9</v>
      </c>
      <c r="AX245">
        <v>0</v>
      </c>
      <c r="AY245">
        <v>0</v>
      </c>
      <c r="AZ245">
        <v>0</v>
      </c>
      <c r="BB245">
        <v>0</v>
      </c>
      <c r="BC245">
        <v>0</v>
      </c>
      <c r="BD245">
        <v>0</v>
      </c>
      <c r="BE245">
        <v>0</v>
      </c>
      <c r="BG245">
        <v>0</v>
      </c>
      <c r="BH245">
        <v>0</v>
      </c>
      <c r="BY245">
        <v>473</v>
      </c>
      <c r="CD245" s="5">
        <v>46188</v>
      </c>
      <c r="CE245" t="s">
        <v>345</v>
      </c>
      <c r="CF245" t="s">
        <v>346</v>
      </c>
      <c r="CG245">
        <v>366.3</v>
      </c>
      <c r="CH245">
        <v>473</v>
      </c>
      <c r="CI245" s="5">
        <v>46186</v>
      </c>
      <c r="CJ245">
        <v>17</v>
      </c>
      <c r="CK245">
        <v>0</v>
      </c>
      <c r="CL245">
        <v>0</v>
      </c>
      <c r="CM245">
        <v>0</v>
      </c>
      <c r="CN245">
        <v>0</v>
      </c>
      <c r="CO245">
        <v>226</v>
      </c>
      <c r="CP245" t="s">
        <v>347</v>
      </c>
      <c r="CQ245" t="s">
        <v>348</v>
      </c>
    </row>
    <row r="246" spans="1:95">
      <c r="A246" s="5">
        <v>46188</v>
      </c>
      <c r="B246" t="s">
        <v>1234</v>
      </c>
      <c r="C246" t="s">
        <v>1235</v>
      </c>
      <c r="D246" t="s">
        <v>1236</v>
      </c>
      <c r="E246" t="s">
        <v>1237</v>
      </c>
      <c r="G246">
        <v>0</v>
      </c>
      <c r="H246">
        <v>-1</v>
      </c>
      <c r="O246" t="s">
        <v>338</v>
      </c>
      <c r="P246">
        <v>0</v>
      </c>
      <c r="Q246">
        <v>0</v>
      </c>
      <c r="R246">
        <v>0</v>
      </c>
      <c r="S246">
        <v>0</v>
      </c>
      <c r="U246">
        <v>0</v>
      </c>
      <c r="V246">
        <v>0</v>
      </c>
      <c r="W246">
        <v>0</v>
      </c>
      <c r="X246">
        <v>0</v>
      </c>
      <c r="Y246" t="s">
        <v>359</v>
      </c>
      <c r="AB246">
        <v>0</v>
      </c>
      <c r="AC246">
        <v>0</v>
      </c>
      <c r="AE246">
        <v>-1</v>
      </c>
      <c r="AH246" t="s">
        <v>341</v>
      </c>
      <c r="AJ246" t="s">
        <v>342</v>
      </c>
      <c r="AK246" t="s">
        <v>353</v>
      </c>
      <c r="AM246">
        <v>0</v>
      </c>
      <c r="AN246">
        <v>0</v>
      </c>
      <c r="AQ246">
        <v>99.99</v>
      </c>
      <c r="AR246">
        <v>0</v>
      </c>
      <c r="AS246">
        <v>0</v>
      </c>
      <c r="AT246">
        <v>0</v>
      </c>
      <c r="AU246">
        <v>0</v>
      </c>
      <c r="AY246">
        <v>0</v>
      </c>
      <c r="BB246">
        <v>0</v>
      </c>
      <c r="BC246">
        <v>0</v>
      </c>
      <c r="BD246">
        <v>0</v>
      </c>
      <c r="BE246">
        <v>0</v>
      </c>
      <c r="BG246">
        <v>0</v>
      </c>
      <c r="BH246">
        <v>0</v>
      </c>
      <c r="BZ246">
        <v>1</v>
      </c>
      <c r="CA246" t="s">
        <v>429</v>
      </c>
      <c r="CJ246">
        <v>0</v>
      </c>
      <c r="CK246">
        <v>0</v>
      </c>
      <c r="CL246">
        <v>0</v>
      </c>
      <c r="CM246">
        <v>0</v>
      </c>
      <c r="CN246">
        <v>0</v>
      </c>
      <c r="CO246">
        <v>0</v>
      </c>
      <c r="CP246" t="s">
        <v>347</v>
      </c>
      <c r="CQ246" t="s">
        <v>348</v>
      </c>
    </row>
    <row r="247" spans="1:95">
      <c r="A247" s="5">
        <v>46188</v>
      </c>
      <c r="B247" t="s">
        <v>1238</v>
      </c>
      <c r="C247" t="s">
        <v>1239</v>
      </c>
      <c r="D247" t="s">
        <v>1240</v>
      </c>
      <c r="E247" t="s">
        <v>1241</v>
      </c>
      <c r="F247" t="s">
        <v>337</v>
      </c>
      <c r="G247">
        <v>34</v>
      </c>
      <c r="H247">
        <v>0</v>
      </c>
      <c r="I247">
        <v>37</v>
      </c>
      <c r="J247">
        <v>0</v>
      </c>
      <c r="K247">
        <v>0</v>
      </c>
      <c r="L247">
        <v>0</v>
      </c>
      <c r="M247">
        <v>0</v>
      </c>
      <c r="N247">
        <v>0</v>
      </c>
      <c r="O247" t="s">
        <v>338</v>
      </c>
      <c r="U247">
        <v>32.99</v>
      </c>
      <c r="V247">
        <v>24.99</v>
      </c>
      <c r="W247">
        <v>24.99</v>
      </c>
      <c r="X247">
        <v>0</v>
      </c>
      <c r="Y247" t="s">
        <v>372</v>
      </c>
      <c r="AA247">
        <v>0</v>
      </c>
      <c r="AB247">
        <v>0</v>
      </c>
      <c r="AC247">
        <v>0</v>
      </c>
      <c r="AD247">
        <v>0</v>
      </c>
      <c r="AE247">
        <v>0.9</v>
      </c>
      <c r="AF247">
        <v>0.167105</v>
      </c>
      <c r="AG247" t="s">
        <v>340</v>
      </c>
      <c r="AH247" t="s">
        <v>341</v>
      </c>
      <c r="AI247">
        <v>5.68157</v>
      </c>
      <c r="AJ247" t="s">
        <v>342</v>
      </c>
      <c r="AK247" t="s">
        <v>353</v>
      </c>
      <c r="AL247">
        <v>9437</v>
      </c>
      <c r="AM247">
        <v>109</v>
      </c>
      <c r="AN247">
        <v>0</v>
      </c>
      <c r="AQ247">
        <v>24.99</v>
      </c>
      <c r="AV247">
        <v>22</v>
      </c>
      <c r="AW247">
        <v>15</v>
      </c>
      <c r="AX247">
        <v>0</v>
      </c>
      <c r="AY247">
        <v>0</v>
      </c>
      <c r="AZ247">
        <v>0</v>
      </c>
      <c r="BA247">
        <v>4.08</v>
      </c>
      <c r="BB247">
        <v>0</v>
      </c>
      <c r="BC247">
        <v>0</v>
      </c>
      <c r="BD247">
        <v>0</v>
      </c>
      <c r="BE247">
        <v>0</v>
      </c>
      <c r="BG247">
        <v>1</v>
      </c>
      <c r="BH247">
        <v>0</v>
      </c>
      <c r="BY247">
        <v>171.7</v>
      </c>
      <c r="BZ247">
        <v>21</v>
      </c>
      <c r="CA247" t="s">
        <v>360</v>
      </c>
      <c r="CB247">
        <v>10</v>
      </c>
      <c r="CC247" s="5">
        <v>46194</v>
      </c>
      <c r="CD247" s="5">
        <v>46188</v>
      </c>
      <c r="CE247" t="s">
        <v>345</v>
      </c>
      <c r="CF247" t="s">
        <v>346</v>
      </c>
      <c r="CG247">
        <v>171.7</v>
      </c>
      <c r="CH247">
        <v>111.1</v>
      </c>
      <c r="CI247" s="5">
        <v>46186</v>
      </c>
      <c r="CJ247">
        <v>36</v>
      </c>
      <c r="CK247">
        <v>2</v>
      </c>
      <c r="CL247">
        <v>0</v>
      </c>
      <c r="CM247">
        <v>1</v>
      </c>
      <c r="CN247">
        <v>0</v>
      </c>
      <c r="CO247">
        <v>114</v>
      </c>
      <c r="CP247" t="s">
        <v>347</v>
      </c>
      <c r="CQ247" t="s">
        <v>348</v>
      </c>
    </row>
    <row r="248" spans="1:95">
      <c r="A248" s="5">
        <v>46188</v>
      </c>
      <c r="B248" t="s">
        <v>1242</v>
      </c>
      <c r="C248" t="s">
        <v>1243</v>
      </c>
      <c r="D248" t="s">
        <v>1244</v>
      </c>
      <c r="E248" t="s">
        <v>1245</v>
      </c>
      <c r="F248" t="s">
        <v>337</v>
      </c>
      <c r="G248">
        <v>2</v>
      </c>
      <c r="H248">
        <v>0</v>
      </c>
      <c r="I248">
        <v>6</v>
      </c>
      <c r="J248">
        <v>0</v>
      </c>
      <c r="K248">
        <v>0</v>
      </c>
      <c r="L248">
        <v>0</v>
      </c>
      <c r="M248">
        <v>0</v>
      </c>
      <c r="N248">
        <v>0</v>
      </c>
      <c r="O248" t="s">
        <v>338</v>
      </c>
      <c r="P248">
        <v>7</v>
      </c>
      <c r="Q248">
        <v>40</v>
      </c>
      <c r="R248">
        <v>67</v>
      </c>
      <c r="S248">
        <v>74</v>
      </c>
      <c r="U248">
        <v>18.99</v>
      </c>
      <c r="V248">
        <v>0</v>
      </c>
      <c r="W248">
        <v>14.81</v>
      </c>
      <c r="X248">
        <v>0</v>
      </c>
      <c r="Y248" t="s">
        <v>339</v>
      </c>
      <c r="AA248">
        <v>0</v>
      </c>
      <c r="AB248">
        <v>0</v>
      </c>
      <c r="AC248">
        <v>0</v>
      </c>
      <c r="AD248">
        <v>0</v>
      </c>
      <c r="AE248">
        <v>4.71</v>
      </c>
      <c r="AF248">
        <v>0.073008</v>
      </c>
      <c r="AG248" t="s">
        <v>340</v>
      </c>
      <c r="AH248" t="s">
        <v>341</v>
      </c>
      <c r="AI248">
        <v>0.146016</v>
      </c>
      <c r="AJ248" t="s">
        <v>342</v>
      </c>
      <c r="AK248" t="s">
        <v>465</v>
      </c>
      <c r="AL248">
        <v>2409</v>
      </c>
      <c r="AM248">
        <v>1</v>
      </c>
      <c r="AN248">
        <v>0</v>
      </c>
      <c r="AO248">
        <v>4</v>
      </c>
      <c r="AP248">
        <v>8</v>
      </c>
      <c r="AQ248">
        <v>12.99</v>
      </c>
      <c r="AR248">
        <v>101.85</v>
      </c>
      <c r="AS248">
        <v>590.58</v>
      </c>
      <c r="AT248">
        <v>983.61</v>
      </c>
      <c r="AU248">
        <v>1083.29</v>
      </c>
      <c r="AV248">
        <v>1</v>
      </c>
      <c r="AW248">
        <v>5</v>
      </c>
      <c r="AX248">
        <v>0</v>
      </c>
      <c r="AY248">
        <v>0</v>
      </c>
      <c r="AZ248">
        <v>0</v>
      </c>
      <c r="BA248">
        <v>0.04</v>
      </c>
      <c r="BB248">
        <v>45</v>
      </c>
      <c r="BC248">
        <v>45</v>
      </c>
      <c r="BD248">
        <v>0</v>
      </c>
      <c r="BE248">
        <v>0</v>
      </c>
      <c r="BG248">
        <v>1</v>
      </c>
      <c r="BH248">
        <v>0</v>
      </c>
      <c r="BY248">
        <v>23.8</v>
      </c>
      <c r="BZ248">
        <v>60</v>
      </c>
      <c r="CA248" t="s">
        <v>344</v>
      </c>
      <c r="CD248" s="5">
        <v>46188</v>
      </c>
      <c r="CE248" t="s">
        <v>345</v>
      </c>
      <c r="CF248" t="s">
        <v>346</v>
      </c>
      <c r="CG248">
        <v>18.7</v>
      </c>
      <c r="CH248">
        <v>23.8</v>
      </c>
      <c r="CI248" s="5">
        <v>46186</v>
      </c>
      <c r="CJ248">
        <v>47</v>
      </c>
      <c r="CK248">
        <v>0</v>
      </c>
      <c r="CL248">
        <v>1</v>
      </c>
      <c r="CM248">
        <v>0</v>
      </c>
      <c r="CN248">
        <v>0</v>
      </c>
      <c r="CO248">
        <v>41</v>
      </c>
      <c r="CQ248" t="s">
        <v>348</v>
      </c>
    </row>
    <row r="249" spans="1:95">
      <c r="A249" s="5">
        <v>46188</v>
      </c>
      <c r="B249" t="s">
        <v>1246</v>
      </c>
      <c r="C249" t="s">
        <v>114</v>
      </c>
      <c r="D249" t="s">
        <v>1247</v>
      </c>
      <c r="E249" t="s">
        <v>1248</v>
      </c>
      <c r="F249" t="s">
        <v>337</v>
      </c>
      <c r="G249">
        <v>14</v>
      </c>
      <c r="H249">
        <v>0</v>
      </c>
      <c r="I249">
        <v>18</v>
      </c>
      <c r="J249">
        <v>0</v>
      </c>
      <c r="K249">
        <v>0</v>
      </c>
      <c r="L249">
        <v>0</v>
      </c>
      <c r="M249">
        <v>0</v>
      </c>
      <c r="N249">
        <v>0</v>
      </c>
      <c r="O249" t="s">
        <v>338</v>
      </c>
      <c r="P249">
        <v>2</v>
      </c>
      <c r="Q249">
        <v>18</v>
      </c>
      <c r="R249">
        <v>36</v>
      </c>
      <c r="S249">
        <v>71</v>
      </c>
      <c r="T249" t="s">
        <v>351</v>
      </c>
      <c r="U249">
        <v>37.99</v>
      </c>
      <c r="V249">
        <v>0</v>
      </c>
      <c r="W249">
        <v>37.99</v>
      </c>
      <c r="X249">
        <v>0</v>
      </c>
      <c r="Y249" t="s">
        <v>633</v>
      </c>
      <c r="AA249">
        <v>0</v>
      </c>
      <c r="AB249">
        <v>0</v>
      </c>
      <c r="AC249">
        <v>0</v>
      </c>
      <c r="AD249">
        <v>0</v>
      </c>
      <c r="AE249">
        <v>2.35</v>
      </c>
      <c r="AF249">
        <v>0.130652</v>
      </c>
      <c r="AG249" t="s">
        <v>340</v>
      </c>
      <c r="AH249" t="s">
        <v>341</v>
      </c>
      <c r="AI249">
        <v>1.829128</v>
      </c>
      <c r="AJ249" t="s">
        <v>342</v>
      </c>
      <c r="AK249" t="s">
        <v>353</v>
      </c>
      <c r="AL249">
        <v>195068</v>
      </c>
      <c r="AM249">
        <v>51</v>
      </c>
      <c r="AN249">
        <v>0</v>
      </c>
      <c r="AO249">
        <v>9</v>
      </c>
      <c r="AP249">
        <v>8</v>
      </c>
      <c r="AQ249">
        <v>37.99</v>
      </c>
      <c r="AR249">
        <v>75.98</v>
      </c>
      <c r="AS249">
        <v>683.82</v>
      </c>
      <c r="AT249">
        <v>1361.64</v>
      </c>
      <c r="AU249">
        <v>2475.29</v>
      </c>
      <c r="AV249">
        <v>12</v>
      </c>
      <c r="AW249">
        <v>6</v>
      </c>
      <c r="AX249">
        <v>0</v>
      </c>
      <c r="AY249">
        <v>0</v>
      </c>
      <c r="AZ249">
        <v>0</v>
      </c>
      <c r="BA249">
        <v>1.78</v>
      </c>
      <c r="BB249">
        <v>30</v>
      </c>
      <c r="BC249">
        <v>0</v>
      </c>
      <c r="BD249">
        <v>30</v>
      </c>
      <c r="BE249">
        <v>0</v>
      </c>
      <c r="BG249">
        <v>1</v>
      </c>
      <c r="BH249">
        <v>2</v>
      </c>
      <c r="BY249">
        <v>32.6</v>
      </c>
      <c r="BZ249">
        <v>43</v>
      </c>
      <c r="CA249" t="s">
        <v>344</v>
      </c>
      <c r="CB249">
        <v>40</v>
      </c>
      <c r="CC249" s="5">
        <v>46194</v>
      </c>
      <c r="CD249" s="5">
        <v>46188</v>
      </c>
      <c r="CE249" t="s">
        <v>345</v>
      </c>
      <c r="CF249" t="s">
        <v>346</v>
      </c>
      <c r="CG249">
        <v>32.6</v>
      </c>
      <c r="CH249">
        <v>28.1</v>
      </c>
      <c r="CI249" s="5">
        <v>46186</v>
      </c>
      <c r="CJ249">
        <v>47</v>
      </c>
      <c r="CK249">
        <v>3</v>
      </c>
      <c r="CL249">
        <v>0</v>
      </c>
      <c r="CM249">
        <v>1</v>
      </c>
      <c r="CN249">
        <v>0</v>
      </c>
      <c r="CO249">
        <v>52</v>
      </c>
      <c r="CP249" t="s">
        <v>347</v>
      </c>
      <c r="CQ249" t="s">
        <v>348</v>
      </c>
    </row>
    <row r="250" spans="1:95">
      <c r="A250" s="5">
        <v>46188</v>
      </c>
      <c r="B250" t="s">
        <v>1249</v>
      </c>
      <c r="C250" t="s">
        <v>1250</v>
      </c>
      <c r="D250" t="s">
        <v>1251</v>
      </c>
      <c r="E250" t="s">
        <v>1252</v>
      </c>
      <c r="F250" t="s">
        <v>337</v>
      </c>
      <c r="G250">
        <v>53</v>
      </c>
      <c r="H250">
        <v>0</v>
      </c>
      <c r="I250">
        <v>49</v>
      </c>
      <c r="J250">
        <v>4</v>
      </c>
      <c r="K250">
        <v>0</v>
      </c>
      <c r="L250">
        <v>0</v>
      </c>
      <c r="M250">
        <v>0</v>
      </c>
      <c r="N250">
        <v>0</v>
      </c>
      <c r="O250" t="s">
        <v>338</v>
      </c>
      <c r="P250">
        <v>0</v>
      </c>
      <c r="Q250">
        <v>3</v>
      </c>
      <c r="R250">
        <v>9</v>
      </c>
      <c r="S250">
        <v>19</v>
      </c>
      <c r="U250">
        <v>40.99</v>
      </c>
      <c r="V250">
        <v>0</v>
      </c>
      <c r="W250">
        <v>40.99</v>
      </c>
      <c r="X250">
        <v>0</v>
      </c>
      <c r="Y250" t="s">
        <v>339</v>
      </c>
      <c r="AA250">
        <v>0</v>
      </c>
      <c r="AB250">
        <v>0</v>
      </c>
      <c r="AC250">
        <v>0</v>
      </c>
      <c r="AD250">
        <v>0</v>
      </c>
      <c r="AE250">
        <v>0.44</v>
      </c>
      <c r="AF250">
        <v>0.306156</v>
      </c>
      <c r="AG250" t="s">
        <v>340</v>
      </c>
      <c r="AH250" t="s">
        <v>341</v>
      </c>
      <c r="AI250">
        <v>16.226268</v>
      </c>
      <c r="AJ250" t="s">
        <v>342</v>
      </c>
      <c r="AK250" t="s">
        <v>353</v>
      </c>
      <c r="AL250">
        <v>203254</v>
      </c>
      <c r="AM250">
        <v>147</v>
      </c>
      <c r="AN250">
        <v>0</v>
      </c>
      <c r="AO250">
        <v>70</v>
      </c>
      <c r="AP250">
        <v>36</v>
      </c>
      <c r="AQ250">
        <v>30.74</v>
      </c>
      <c r="AR250">
        <v>0</v>
      </c>
      <c r="AS250">
        <v>92.22</v>
      </c>
      <c r="AT250">
        <v>276.66</v>
      </c>
      <c r="AU250">
        <v>609.85</v>
      </c>
      <c r="AV250">
        <v>0</v>
      </c>
      <c r="AW250">
        <v>36</v>
      </c>
      <c r="AX250">
        <v>13</v>
      </c>
      <c r="AY250">
        <v>0</v>
      </c>
      <c r="AZ250">
        <v>0</v>
      </c>
      <c r="BA250">
        <v>10.78</v>
      </c>
      <c r="BB250">
        <v>0</v>
      </c>
      <c r="BC250">
        <v>0</v>
      </c>
      <c r="BD250">
        <v>0</v>
      </c>
      <c r="BE250">
        <v>0</v>
      </c>
      <c r="BG250">
        <v>0</v>
      </c>
      <c r="BH250">
        <v>0</v>
      </c>
      <c r="BY250">
        <v>409.3</v>
      </c>
      <c r="BZ250">
        <v>20</v>
      </c>
      <c r="CA250" t="s">
        <v>360</v>
      </c>
      <c r="CD250" s="5">
        <v>46188</v>
      </c>
      <c r="CE250" t="s">
        <v>345</v>
      </c>
      <c r="CF250" t="s">
        <v>346</v>
      </c>
      <c r="CG250">
        <v>409.3</v>
      </c>
      <c r="CH250">
        <v>206.1</v>
      </c>
      <c r="CI250" s="5">
        <v>46186</v>
      </c>
      <c r="CJ250">
        <v>53</v>
      </c>
      <c r="CK250">
        <v>0</v>
      </c>
      <c r="CL250">
        <v>0</v>
      </c>
      <c r="CM250">
        <v>0</v>
      </c>
      <c r="CN250">
        <v>0</v>
      </c>
      <c r="CO250">
        <v>147</v>
      </c>
      <c r="CP250" t="s">
        <v>347</v>
      </c>
      <c r="CQ250" t="s">
        <v>348</v>
      </c>
    </row>
    <row r="251" spans="1:95">
      <c r="A251" s="5">
        <v>46188</v>
      </c>
      <c r="B251" t="s">
        <v>1253</v>
      </c>
      <c r="C251" t="s">
        <v>1254</v>
      </c>
      <c r="D251" t="s">
        <v>1255</v>
      </c>
      <c r="E251" t="s">
        <v>1256</v>
      </c>
      <c r="G251">
        <v>0</v>
      </c>
      <c r="H251">
        <v>-1</v>
      </c>
      <c r="O251" t="s">
        <v>338</v>
      </c>
      <c r="U251">
        <v>0</v>
      </c>
      <c r="V251">
        <v>0</v>
      </c>
      <c r="W251">
        <v>0</v>
      </c>
      <c r="X251">
        <v>0</v>
      </c>
      <c r="Y251" t="s">
        <v>359</v>
      </c>
      <c r="AB251">
        <v>0</v>
      </c>
      <c r="AC251">
        <v>0</v>
      </c>
      <c r="AE251">
        <v>-1</v>
      </c>
      <c r="AH251" t="s">
        <v>341</v>
      </c>
      <c r="AJ251" t="s">
        <v>342</v>
      </c>
      <c r="AK251" t="s">
        <v>404</v>
      </c>
      <c r="AM251">
        <v>0</v>
      </c>
      <c r="AN251">
        <v>0</v>
      </c>
      <c r="AQ251">
        <v>3.99</v>
      </c>
      <c r="AY251">
        <v>0</v>
      </c>
      <c r="BB251">
        <v>0</v>
      </c>
      <c r="BC251">
        <v>0</v>
      </c>
      <c r="BD251">
        <v>0</v>
      </c>
      <c r="BE251">
        <v>0</v>
      </c>
      <c r="BG251">
        <v>0</v>
      </c>
      <c r="BH251">
        <v>0</v>
      </c>
      <c r="CJ251">
        <v>0</v>
      </c>
      <c r="CK251">
        <v>0</v>
      </c>
      <c r="CL251">
        <v>0</v>
      </c>
      <c r="CM251">
        <v>0</v>
      </c>
      <c r="CN251">
        <v>0</v>
      </c>
      <c r="CO251">
        <v>0</v>
      </c>
      <c r="CP251" t="s">
        <v>347</v>
      </c>
      <c r="CQ251" t="s">
        <v>348</v>
      </c>
    </row>
    <row r="252" spans="1:95">
      <c r="A252" s="5">
        <v>46188</v>
      </c>
      <c r="B252" t="s">
        <v>1257</v>
      </c>
      <c r="C252" t="s">
        <v>1258</v>
      </c>
      <c r="D252" t="s">
        <v>1259</v>
      </c>
      <c r="E252" t="s">
        <v>1260</v>
      </c>
      <c r="G252">
        <v>0</v>
      </c>
      <c r="H252">
        <v>-1</v>
      </c>
      <c r="O252" t="s">
        <v>338</v>
      </c>
      <c r="U252">
        <v>0</v>
      </c>
      <c r="V252">
        <v>0</v>
      </c>
      <c r="W252">
        <v>0</v>
      </c>
      <c r="X252">
        <v>0</v>
      </c>
      <c r="Y252" t="s">
        <v>359</v>
      </c>
      <c r="AB252">
        <v>0</v>
      </c>
      <c r="AC252">
        <v>0</v>
      </c>
      <c r="AE252">
        <v>-1</v>
      </c>
      <c r="AH252" t="s">
        <v>341</v>
      </c>
      <c r="AJ252" t="s">
        <v>342</v>
      </c>
      <c r="AK252" t="s">
        <v>353</v>
      </c>
      <c r="AN252">
        <v>0</v>
      </c>
      <c r="AY252">
        <v>0</v>
      </c>
      <c r="BB252">
        <v>0</v>
      </c>
      <c r="BG252">
        <v>0</v>
      </c>
      <c r="BH252">
        <v>0</v>
      </c>
      <c r="CJ252">
        <v>0</v>
      </c>
      <c r="CK252">
        <v>0</v>
      </c>
      <c r="CL252">
        <v>0</v>
      </c>
      <c r="CM252">
        <v>0</v>
      </c>
      <c r="CN252">
        <v>0</v>
      </c>
      <c r="CP252" t="s">
        <v>347</v>
      </c>
      <c r="CQ252" t="s">
        <v>348</v>
      </c>
    </row>
    <row r="253" spans="1:95">
      <c r="A253" s="5">
        <v>46188</v>
      </c>
      <c r="B253" t="s">
        <v>1261</v>
      </c>
      <c r="C253" t="s">
        <v>1262</v>
      </c>
      <c r="D253" t="s">
        <v>1263</v>
      </c>
      <c r="E253" t="s">
        <v>1264</v>
      </c>
      <c r="F253" t="s">
        <v>337</v>
      </c>
      <c r="G253">
        <v>20</v>
      </c>
      <c r="H253">
        <v>0</v>
      </c>
      <c r="I253">
        <v>20</v>
      </c>
      <c r="J253">
        <v>0</v>
      </c>
      <c r="K253">
        <v>0</v>
      </c>
      <c r="L253">
        <v>0</v>
      </c>
      <c r="M253">
        <v>0</v>
      </c>
      <c r="N253">
        <v>0</v>
      </c>
      <c r="O253" t="s">
        <v>338</v>
      </c>
      <c r="T253" t="s">
        <v>409</v>
      </c>
      <c r="U253">
        <v>38.99</v>
      </c>
      <c r="V253">
        <v>0</v>
      </c>
      <c r="W253">
        <v>30.99</v>
      </c>
      <c r="X253">
        <v>0</v>
      </c>
      <c r="Y253" t="s">
        <v>391</v>
      </c>
      <c r="AA253">
        <v>0</v>
      </c>
      <c r="AB253">
        <v>0</v>
      </c>
      <c r="AC253">
        <v>0</v>
      </c>
      <c r="AD253">
        <v>583.04</v>
      </c>
      <c r="AE253">
        <v>0</v>
      </c>
      <c r="AF253">
        <v>0.139028</v>
      </c>
      <c r="AG253" t="s">
        <v>340</v>
      </c>
      <c r="AH253" t="s">
        <v>341</v>
      </c>
      <c r="AI253">
        <v>2.78056</v>
      </c>
      <c r="AJ253" t="s">
        <v>342</v>
      </c>
      <c r="AK253" t="s">
        <v>353</v>
      </c>
      <c r="AL253">
        <v>206385</v>
      </c>
      <c r="AM253">
        <v>40</v>
      </c>
      <c r="AN253">
        <v>0</v>
      </c>
      <c r="AQ253">
        <v>30.99</v>
      </c>
      <c r="AV253">
        <v>0</v>
      </c>
      <c r="AW253">
        <v>20</v>
      </c>
      <c r="AX253">
        <v>0</v>
      </c>
      <c r="AY253">
        <v>0</v>
      </c>
      <c r="AZ253">
        <v>0</v>
      </c>
      <c r="BA253">
        <v>1.99</v>
      </c>
      <c r="BB253">
        <v>0</v>
      </c>
      <c r="BC253">
        <v>0</v>
      </c>
      <c r="BD253">
        <v>0</v>
      </c>
      <c r="BE253">
        <v>0</v>
      </c>
      <c r="BG253">
        <v>0</v>
      </c>
      <c r="BH253">
        <v>0</v>
      </c>
      <c r="CB253">
        <v>8</v>
      </c>
      <c r="CC253" s="5">
        <v>46186</v>
      </c>
      <c r="CI253" s="5">
        <v>46186</v>
      </c>
      <c r="CJ253">
        <v>20</v>
      </c>
      <c r="CK253">
        <v>0</v>
      </c>
      <c r="CL253">
        <v>0</v>
      </c>
      <c r="CM253">
        <v>0</v>
      </c>
      <c r="CN253">
        <v>0</v>
      </c>
      <c r="CO253">
        <v>40</v>
      </c>
      <c r="CP253" t="s">
        <v>347</v>
      </c>
      <c r="CQ253" t="s">
        <v>348</v>
      </c>
    </row>
    <row r="254" spans="1:95">
      <c r="A254" s="5">
        <v>46188</v>
      </c>
      <c r="B254" t="s">
        <v>1265</v>
      </c>
      <c r="C254" t="s">
        <v>1266</v>
      </c>
      <c r="D254" t="s">
        <v>1267</v>
      </c>
      <c r="E254" t="s">
        <v>1268</v>
      </c>
      <c r="G254">
        <v>0</v>
      </c>
      <c r="H254">
        <v>-1</v>
      </c>
      <c r="O254" t="s">
        <v>338</v>
      </c>
      <c r="U254">
        <v>0</v>
      </c>
      <c r="V254">
        <v>0</v>
      </c>
      <c r="W254">
        <v>0</v>
      </c>
      <c r="X254">
        <v>0</v>
      </c>
      <c r="Y254" t="s">
        <v>359</v>
      </c>
      <c r="AB254">
        <v>0</v>
      </c>
      <c r="AC254">
        <v>0</v>
      </c>
      <c r="AE254">
        <v>-1</v>
      </c>
      <c r="AH254" t="s">
        <v>341</v>
      </c>
      <c r="AJ254" t="s">
        <v>342</v>
      </c>
      <c r="AK254" t="s">
        <v>353</v>
      </c>
      <c r="AM254">
        <v>0</v>
      </c>
      <c r="AN254">
        <v>0</v>
      </c>
      <c r="AQ254">
        <v>5.99</v>
      </c>
      <c r="AY254">
        <v>0</v>
      </c>
      <c r="BB254">
        <v>0</v>
      </c>
      <c r="BC254">
        <v>0</v>
      </c>
      <c r="BD254">
        <v>0</v>
      </c>
      <c r="BE254">
        <v>0</v>
      </c>
      <c r="BG254">
        <v>0</v>
      </c>
      <c r="BH254">
        <v>0</v>
      </c>
      <c r="CJ254">
        <v>0</v>
      </c>
      <c r="CK254">
        <v>0</v>
      </c>
      <c r="CL254">
        <v>0</v>
      </c>
      <c r="CM254">
        <v>0</v>
      </c>
      <c r="CN254">
        <v>0</v>
      </c>
      <c r="CO254">
        <v>0</v>
      </c>
      <c r="CP254" t="s">
        <v>347</v>
      </c>
      <c r="CQ254" t="s">
        <v>348</v>
      </c>
    </row>
    <row r="255" spans="1:95">
      <c r="A255" s="5">
        <v>46188</v>
      </c>
      <c r="B255" t="s">
        <v>1269</v>
      </c>
      <c r="C255" t="s">
        <v>1270</v>
      </c>
      <c r="D255" t="s">
        <v>1271</v>
      </c>
      <c r="E255" t="s">
        <v>1272</v>
      </c>
      <c r="G255">
        <v>0</v>
      </c>
      <c r="H255">
        <v>-1</v>
      </c>
      <c r="O255" t="s">
        <v>338</v>
      </c>
      <c r="U255">
        <v>0</v>
      </c>
      <c r="V255">
        <v>0</v>
      </c>
      <c r="W255">
        <v>0</v>
      </c>
      <c r="X255">
        <v>0</v>
      </c>
      <c r="Y255" t="s">
        <v>359</v>
      </c>
      <c r="AB255">
        <v>0</v>
      </c>
      <c r="AC255">
        <v>0</v>
      </c>
      <c r="AE255">
        <v>-1</v>
      </c>
      <c r="AH255" t="s">
        <v>341</v>
      </c>
      <c r="AJ255" t="s">
        <v>342</v>
      </c>
      <c r="AK255" t="s">
        <v>465</v>
      </c>
      <c r="AN255">
        <v>0</v>
      </c>
      <c r="AQ255">
        <v>38.99</v>
      </c>
      <c r="AY255">
        <v>0</v>
      </c>
      <c r="BB255">
        <v>0</v>
      </c>
      <c r="BC255">
        <v>0</v>
      </c>
      <c r="BD255">
        <v>0</v>
      </c>
      <c r="BE255">
        <v>0</v>
      </c>
      <c r="BG255">
        <v>0</v>
      </c>
      <c r="BH255">
        <v>0</v>
      </c>
      <c r="CJ255">
        <v>0</v>
      </c>
      <c r="CK255">
        <v>0</v>
      </c>
      <c r="CL255">
        <v>0</v>
      </c>
      <c r="CM255">
        <v>0</v>
      </c>
      <c r="CN255">
        <v>0</v>
      </c>
      <c r="CP255" t="s">
        <v>347</v>
      </c>
      <c r="CQ255" t="s">
        <v>348</v>
      </c>
    </row>
    <row r="256" spans="1:95">
      <c r="A256" s="5">
        <v>46188</v>
      </c>
      <c r="B256" t="s">
        <v>1273</v>
      </c>
      <c r="C256" t="s">
        <v>1274</v>
      </c>
      <c r="D256" t="s">
        <v>1275</v>
      </c>
      <c r="E256" t="s">
        <v>1276</v>
      </c>
      <c r="G256">
        <v>0</v>
      </c>
      <c r="H256">
        <v>-1</v>
      </c>
      <c r="O256" t="s">
        <v>338</v>
      </c>
      <c r="U256">
        <v>0</v>
      </c>
      <c r="V256">
        <v>0</v>
      </c>
      <c r="W256">
        <v>0</v>
      </c>
      <c r="X256">
        <v>0</v>
      </c>
      <c r="Y256" t="s">
        <v>359</v>
      </c>
      <c r="AB256">
        <v>0</v>
      </c>
      <c r="AC256">
        <v>0</v>
      </c>
      <c r="AE256">
        <v>-1</v>
      </c>
      <c r="AH256" t="s">
        <v>377</v>
      </c>
      <c r="AJ256" t="s">
        <v>342</v>
      </c>
      <c r="AK256" t="s">
        <v>353</v>
      </c>
      <c r="AN256">
        <v>0</v>
      </c>
      <c r="AY256">
        <v>0</v>
      </c>
      <c r="BB256">
        <v>0</v>
      </c>
      <c r="BG256">
        <v>0</v>
      </c>
      <c r="BH256">
        <v>0</v>
      </c>
      <c r="CJ256">
        <v>0</v>
      </c>
      <c r="CK256">
        <v>0</v>
      </c>
      <c r="CL256">
        <v>0</v>
      </c>
      <c r="CM256">
        <v>0</v>
      </c>
      <c r="CN256">
        <v>0</v>
      </c>
      <c r="CP256" t="s">
        <v>347</v>
      </c>
      <c r="CQ256" t="s">
        <v>348</v>
      </c>
    </row>
    <row r="257" spans="1:95">
      <c r="A257" s="5">
        <v>46188</v>
      </c>
      <c r="B257" t="s">
        <v>1277</v>
      </c>
      <c r="C257" t="s">
        <v>37</v>
      </c>
      <c r="D257" t="s">
        <v>39</v>
      </c>
      <c r="E257" t="s">
        <v>973</v>
      </c>
      <c r="F257" t="s">
        <v>337</v>
      </c>
      <c r="G257">
        <v>30</v>
      </c>
      <c r="H257">
        <v>0</v>
      </c>
      <c r="I257">
        <v>0</v>
      </c>
      <c r="J257">
        <v>30</v>
      </c>
      <c r="K257">
        <v>0</v>
      </c>
      <c r="L257">
        <v>0</v>
      </c>
      <c r="M257">
        <v>0</v>
      </c>
      <c r="N257">
        <v>0</v>
      </c>
      <c r="O257" t="s">
        <v>338</v>
      </c>
      <c r="T257" t="s">
        <v>351</v>
      </c>
      <c r="U257">
        <v>19.99</v>
      </c>
      <c r="V257">
        <v>15.99</v>
      </c>
      <c r="W257">
        <v>15.99</v>
      </c>
      <c r="X257">
        <v>0</v>
      </c>
      <c r="Y257" t="s">
        <v>613</v>
      </c>
      <c r="AA257">
        <v>0</v>
      </c>
      <c r="AB257">
        <v>0</v>
      </c>
      <c r="AC257">
        <v>0</v>
      </c>
      <c r="AD257">
        <v>199.36</v>
      </c>
      <c r="AE257">
        <v>0</v>
      </c>
      <c r="AF257">
        <v>0.038835</v>
      </c>
      <c r="AG257" t="s">
        <v>340</v>
      </c>
      <c r="AH257" t="s">
        <v>341</v>
      </c>
      <c r="AI257">
        <v>1.16505</v>
      </c>
      <c r="AJ257" t="s">
        <v>342</v>
      </c>
      <c r="AK257" t="s">
        <v>353</v>
      </c>
      <c r="AL257">
        <v>298958</v>
      </c>
      <c r="AN257">
        <v>22</v>
      </c>
      <c r="AQ257">
        <v>15.99</v>
      </c>
      <c r="AV257">
        <v>0</v>
      </c>
      <c r="AW257">
        <v>0</v>
      </c>
      <c r="AX257">
        <v>0</v>
      </c>
      <c r="AY257">
        <v>0</v>
      </c>
      <c r="AZ257">
        <v>0</v>
      </c>
      <c r="BA257">
        <v>0.83</v>
      </c>
      <c r="BB257">
        <v>0</v>
      </c>
      <c r="BC257">
        <v>0</v>
      </c>
      <c r="BD257">
        <v>0</v>
      </c>
      <c r="BE257">
        <v>0</v>
      </c>
      <c r="BG257">
        <v>6</v>
      </c>
      <c r="BH257">
        <v>0</v>
      </c>
      <c r="CA257" t="s">
        <v>354</v>
      </c>
      <c r="CI257" s="5">
        <v>46186</v>
      </c>
      <c r="CJ257">
        <v>30</v>
      </c>
      <c r="CK257">
        <v>0</v>
      </c>
      <c r="CL257">
        <v>6</v>
      </c>
      <c r="CM257">
        <v>0</v>
      </c>
      <c r="CN257">
        <v>0</v>
      </c>
      <c r="CP257" t="s">
        <v>347</v>
      </c>
      <c r="CQ257" t="s">
        <v>348</v>
      </c>
    </row>
    <row r="258" spans="1:95">
      <c r="A258" s="5">
        <v>46188</v>
      </c>
      <c r="B258" t="s">
        <v>1278</v>
      </c>
      <c r="C258" t="s">
        <v>1279</v>
      </c>
      <c r="D258" t="s">
        <v>1280</v>
      </c>
      <c r="E258" t="s">
        <v>1281</v>
      </c>
      <c r="F258" t="s">
        <v>337</v>
      </c>
      <c r="G258">
        <v>89</v>
      </c>
      <c r="H258">
        <v>0</v>
      </c>
      <c r="I258">
        <v>112</v>
      </c>
      <c r="J258">
        <v>0</v>
      </c>
      <c r="K258">
        <v>0</v>
      </c>
      <c r="L258">
        <v>0</v>
      </c>
      <c r="M258">
        <v>0</v>
      </c>
      <c r="N258">
        <v>0</v>
      </c>
      <c r="O258" t="s">
        <v>338</v>
      </c>
      <c r="P258">
        <v>20</v>
      </c>
      <c r="Q258">
        <v>84</v>
      </c>
      <c r="R258">
        <v>136</v>
      </c>
      <c r="S258">
        <v>229</v>
      </c>
      <c r="U258">
        <v>35.99</v>
      </c>
      <c r="V258">
        <v>25.49</v>
      </c>
      <c r="W258">
        <v>25.49</v>
      </c>
      <c r="X258">
        <v>0</v>
      </c>
      <c r="Y258" t="s">
        <v>339</v>
      </c>
      <c r="AA258">
        <v>0</v>
      </c>
      <c r="AB258">
        <v>0</v>
      </c>
      <c r="AC258">
        <v>0</v>
      </c>
      <c r="AD258">
        <v>0</v>
      </c>
      <c r="AE258">
        <v>2.47</v>
      </c>
      <c r="AF258">
        <v>0.123699</v>
      </c>
      <c r="AG258" t="s">
        <v>340</v>
      </c>
      <c r="AH258" t="s">
        <v>341</v>
      </c>
      <c r="AI258">
        <v>11.009211</v>
      </c>
      <c r="AJ258" t="s">
        <v>342</v>
      </c>
      <c r="AK258" t="s">
        <v>353</v>
      </c>
      <c r="AL258">
        <v>101074</v>
      </c>
      <c r="AM258">
        <v>50</v>
      </c>
      <c r="AN258">
        <v>0</v>
      </c>
      <c r="AO258">
        <v>12</v>
      </c>
      <c r="AP258">
        <v>14</v>
      </c>
      <c r="AQ258">
        <v>25.49</v>
      </c>
      <c r="AR258">
        <v>509.8</v>
      </c>
      <c r="AS258">
        <v>2321.78</v>
      </c>
      <c r="AT258">
        <v>3866.2</v>
      </c>
      <c r="AU258">
        <v>6177.31</v>
      </c>
      <c r="AV258">
        <v>112</v>
      </c>
      <c r="AW258">
        <v>0</v>
      </c>
      <c r="AX258">
        <v>0</v>
      </c>
      <c r="AY258">
        <v>0</v>
      </c>
      <c r="AZ258">
        <v>0</v>
      </c>
      <c r="BA258">
        <v>8.12</v>
      </c>
      <c r="BB258">
        <v>164</v>
      </c>
      <c r="BC258">
        <v>164</v>
      </c>
      <c r="BD258">
        <v>0</v>
      </c>
      <c r="BE258">
        <v>0</v>
      </c>
      <c r="BG258">
        <v>2</v>
      </c>
      <c r="BH258">
        <v>3</v>
      </c>
      <c r="BY258">
        <v>34.6</v>
      </c>
      <c r="BZ258">
        <v>132</v>
      </c>
      <c r="CA258" t="s">
        <v>344</v>
      </c>
      <c r="CB258">
        <v>30</v>
      </c>
      <c r="CC258" s="5">
        <v>46195</v>
      </c>
      <c r="CD258" s="5">
        <v>46188</v>
      </c>
      <c r="CE258" t="s">
        <v>346</v>
      </c>
      <c r="CF258" t="s">
        <v>346</v>
      </c>
      <c r="CG258">
        <v>34.6</v>
      </c>
      <c r="CH258">
        <v>34.3</v>
      </c>
      <c r="CI258" s="5">
        <v>46186</v>
      </c>
      <c r="CJ258">
        <v>274</v>
      </c>
      <c r="CK258">
        <v>21</v>
      </c>
      <c r="CL258">
        <v>1</v>
      </c>
      <c r="CM258">
        <v>1</v>
      </c>
      <c r="CN258">
        <v>0</v>
      </c>
      <c r="CO258">
        <v>116</v>
      </c>
      <c r="CP258" t="s">
        <v>347</v>
      </c>
      <c r="CQ258" t="s">
        <v>348</v>
      </c>
    </row>
    <row r="259" spans="1:95">
      <c r="A259" s="5">
        <v>46188</v>
      </c>
      <c r="B259" t="s">
        <v>1282</v>
      </c>
      <c r="C259" t="s">
        <v>1283</v>
      </c>
      <c r="D259" t="s">
        <v>1284</v>
      </c>
      <c r="E259" t="s">
        <v>1285</v>
      </c>
      <c r="F259" t="s">
        <v>337</v>
      </c>
      <c r="G259">
        <v>97</v>
      </c>
      <c r="H259">
        <v>0</v>
      </c>
      <c r="I259">
        <v>99</v>
      </c>
      <c r="J259">
        <v>0</v>
      </c>
      <c r="K259">
        <v>0</v>
      </c>
      <c r="L259">
        <v>0</v>
      </c>
      <c r="M259">
        <v>0</v>
      </c>
      <c r="N259">
        <v>0</v>
      </c>
      <c r="O259" t="s">
        <v>338</v>
      </c>
      <c r="P259">
        <v>24</v>
      </c>
      <c r="Q259">
        <v>79</v>
      </c>
      <c r="R259">
        <v>140</v>
      </c>
      <c r="S259">
        <v>223</v>
      </c>
      <c r="U259">
        <v>23.99</v>
      </c>
      <c r="V259">
        <v>0</v>
      </c>
      <c r="W259">
        <v>23.99</v>
      </c>
      <c r="X259">
        <v>0</v>
      </c>
      <c r="Y259" t="s">
        <v>359</v>
      </c>
      <c r="AA259">
        <v>0</v>
      </c>
      <c r="AB259">
        <v>0</v>
      </c>
      <c r="AC259">
        <v>0</v>
      </c>
      <c r="AD259">
        <v>0</v>
      </c>
      <c r="AE259">
        <v>2.36</v>
      </c>
      <c r="AF259">
        <v>0.101055</v>
      </c>
      <c r="AG259" t="s">
        <v>340</v>
      </c>
      <c r="AH259" t="s">
        <v>341</v>
      </c>
      <c r="AI259">
        <v>9.802335</v>
      </c>
      <c r="AJ259" t="s">
        <v>342</v>
      </c>
      <c r="AK259" t="s">
        <v>353</v>
      </c>
      <c r="AL259">
        <v>2409</v>
      </c>
      <c r="AM259">
        <v>33</v>
      </c>
      <c r="AN259">
        <v>0</v>
      </c>
      <c r="AO259">
        <v>9</v>
      </c>
      <c r="AP259">
        <v>10</v>
      </c>
      <c r="AQ259">
        <v>18.99</v>
      </c>
      <c r="AR259">
        <v>465.76</v>
      </c>
      <c r="AS259">
        <v>1525.21</v>
      </c>
      <c r="AT259">
        <v>2747.51</v>
      </c>
      <c r="AU259">
        <v>4418.68</v>
      </c>
      <c r="AV259">
        <v>64</v>
      </c>
      <c r="AW259">
        <v>35</v>
      </c>
      <c r="AX259">
        <v>0</v>
      </c>
      <c r="AY259">
        <v>0</v>
      </c>
      <c r="AZ259">
        <v>0</v>
      </c>
      <c r="BA259">
        <v>7.3</v>
      </c>
      <c r="BB259">
        <v>90</v>
      </c>
      <c r="BC259">
        <v>60</v>
      </c>
      <c r="BD259">
        <v>30</v>
      </c>
      <c r="BE259">
        <v>0</v>
      </c>
      <c r="BG259">
        <v>0</v>
      </c>
      <c r="BH259">
        <v>0</v>
      </c>
      <c r="BY259">
        <v>46.4</v>
      </c>
      <c r="CB259">
        <v>200</v>
      </c>
      <c r="CC259" s="5">
        <v>46195</v>
      </c>
      <c r="CD259" s="5">
        <v>46188</v>
      </c>
      <c r="CE259" t="s">
        <v>346</v>
      </c>
      <c r="CF259" t="s">
        <v>346</v>
      </c>
      <c r="CG259">
        <v>46.4</v>
      </c>
      <c r="CH259">
        <v>39.1</v>
      </c>
      <c r="CI259" s="5">
        <v>46186</v>
      </c>
      <c r="CJ259">
        <v>188</v>
      </c>
      <c r="CK259">
        <v>1</v>
      </c>
      <c r="CL259">
        <v>0</v>
      </c>
      <c r="CM259">
        <v>0</v>
      </c>
      <c r="CN259">
        <v>0</v>
      </c>
      <c r="CO259">
        <v>60</v>
      </c>
      <c r="CP259" t="s">
        <v>347</v>
      </c>
      <c r="CQ259" t="s">
        <v>348</v>
      </c>
    </row>
    <row r="260" spans="1:95">
      <c r="A260" s="5">
        <v>46188</v>
      </c>
      <c r="B260" t="s">
        <v>1286</v>
      </c>
      <c r="C260" t="s">
        <v>1287</v>
      </c>
      <c r="D260" t="s">
        <v>1288</v>
      </c>
      <c r="E260" t="s">
        <v>1289</v>
      </c>
      <c r="G260">
        <v>0</v>
      </c>
      <c r="H260">
        <v>-1</v>
      </c>
      <c r="O260" t="s">
        <v>338</v>
      </c>
      <c r="U260">
        <v>0</v>
      </c>
      <c r="V260">
        <v>0</v>
      </c>
      <c r="W260">
        <v>0</v>
      </c>
      <c r="X260">
        <v>0</v>
      </c>
      <c r="Y260" t="s">
        <v>359</v>
      </c>
      <c r="AB260">
        <v>0</v>
      </c>
      <c r="AC260">
        <v>0</v>
      </c>
      <c r="AE260">
        <v>-1</v>
      </c>
      <c r="AJ260" t="s">
        <v>342</v>
      </c>
      <c r="AK260" t="s">
        <v>353</v>
      </c>
      <c r="AN260">
        <v>0</v>
      </c>
      <c r="AY260">
        <v>0</v>
      </c>
      <c r="BB260">
        <v>0</v>
      </c>
      <c r="BG260">
        <v>0</v>
      </c>
      <c r="BH260">
        <v>0</v>
      </c>
      <c r="CJ260">
        <v>0</v>
      </c>
      <c r="CK260">
        <v>0</v>
      </c>
      <c r="CL260">
        <v>0</v>
      </c>
      <c r="CM260">
        <v>0</v>
      </c>
      <c r="CN260">
        <v>0</v>
      </c>
      <c r="CP260" t="s">
        <v>347</v>
      </c>
      <c r="CQ260" t="s">
        <v>348</v>
      </c>
    </row>
    <row r="261" spans="1:95">
      <c r="A261" s="5">
        <v>46188</v>
      </c>
      <c r="B261" t="s">
        <v>1290</v>
      </c>
      <c r="C261" t="s">
        <v>1291</v>
      </c>
      <c r="D261" t="s">
        <v>1292</v>
      </c>
      <c r="E261" t="s">
        <v>448</v>
      </c>
      <c r="G261">
        <v>0</v>
      </c>
      <c r="H261">
        <v>-1</v>
      </c>
      <c r="O261" t="s">
        <v>338</v>
      </c>
      <c r="U261">
        <v>0</v>
      </c>
      <c r="V261">
        <v>0</v>
      </c>
      <c r="W261">
        <v>0</v>
      </c>
      <c r="X261">
        <v>0</v>
      </c>
      <c r="Y261" t="s">
        <v>359</v>
      </c>
      <c r="AB261">
        <v>0</v>
      </c>
      <c r="AC261">
        <v>0</v>
      </c>
      <c r="AE261">
        <v>-1</v>
      </c>
      <c r="AH261" t="s">
        <v>341</v>
      </c>
      <c r="AJ261" t="s">
        <v>342</v>
      </c>
      <c r="AK261" t="s">
        <v>353</v>
      </c>
      <c r="AM261">
        <v>0</v>
      </c>
      <c r="AN261">
        <v>0</v>
      </c>
      <c r="AQ261">
        <v>29.99</v>
      </c>
      <c r="AY261">
        <v>0</v>
      </c>
      <c r="BB261">
        <v>0</v>
      </c>
      <c r="BC261">
        <v>0</v>
      </c>
      <c r="BD261">
        <v>0</v>
      </c>
      <c r="BE261">
        <v>0</v>
      </c>
      <c r="BG261">
        <v>0</v>
      </c>
      <c r="BH261">
        <v>0</v>
      </c>
      <c r="CJ261">
        <v>0</v>
      </c>
      <c r="CK261">
        <v>0</v>
      </c>
      <c r="CL261">
        <v>0</v>
      </c>
      <c r="CM261">
        <v>0</v>
      </c>
      <c r="CN261">
        <v>0</v>
      </c>
      <c r="CO261">
        <v>0</v>
      </c>
      <c r="CP261" t="s">
        <v>347</v>
      </c>
      <c r="CQ261" t="s">
        <v>348</v>
      </c>
    </row>
    <row r="262" spans="1:95">
      <c r="A262" s="5">
        <v>46188</v>
      </c>
      <c r="B262" t="s">
        <v>1293</v>
      </c>
      <c r="C262" t="s">
        <v>1294</v>
      </c>
      <c r="D262" t="s">
        <v>1295</v>
      </c>
      <c r="E262" t="s">
        <v>1296</v>
      </c>
      <c r="F262" t="s">
        <v>337</v>
      </c>
      <c r="G262">
        <v>26</v>
      </c>
      <c r="H262">
        <v>0</v>
      </c>
      <c r="I262">
        <v>26</v>
      </c>
      <c r="J262">
        <v>0</v>
      </c>
      <c r="K262">
        <v>0</v>
      </c>
      <c r="L262">
        <v>0</v>
      </c>
      <c r="M262">
        <v>0</v>
      </c>
      <c r="N262">
        <v>0</v>
      </c>
      <c r="O262" t="s">
        <v>338</v>
      </c>
      <c r="U262">
        <v>39.99</v>
      </c>
      <c r="V262">
        <v>0</v>
      </c>
      <c r="W262">
        <v>28.99</v>
      </c>
      <c r="X262">
        <v>0</v>
      </c>
      <c r="Y262" t="s">
        <v>372</v>
      </c>
      <c r="AA262">
        <v>0</v>
      </c>
      <c r="AB262">
        <v>0</v>
      </c>
      <c r="AC262">
        <v>0</v>
      </c>
      <c r="AD262">
        <v>812.83</v>
      </c>
      <c r="AE262">
        <v>0.1</v>
      </c>
      <c r="AF262">
        <v>0.151269</v>
      </c>
      <c r="AG262" t="s">
        <v>340</v>
      </c>
      <c r="AH262" t="s">
        <v>341</v>
      </c>
      <c r="AI262">
        <v>3.932994</v>
      </c>
      <c r="AJ262" t="s">
        <v>342</v>
      </c>
      <c r="AK262" t="s">
        <v>353</v>
      </c>
      <c r="AL262">
        <v>101074</v>
      </c>
      <c r="AM262">
        <v>198</v>
      </c>
      <c r="AN262">
        <v>0</v>
      </c>
      <c r="AQ262">
        <v>22.99</v>
      </c>
      <c r="AV262">
        <v>0</v>
      </c>
      <c r="AW262">
        <v>0</v>
      </c>
      <c r="AX262">
        <v>26</v>
      </c>
      <c r="AY262">
        <v>0</v>
      </c>
      <c r="AZ262">
        <v>0</v>
      </c>
      <c r="BA262">
        <v>2.74</v>
      </c>
      <c r="BB262">
        <v>0</v>
      </c>
      <c r="BC262">
        <v>0</v>
      </c>
      <c r="BD262">
        <v>0</v>
      </c>
      <c r="BE262">
        <v>0</v>
      </c>
      <c r="BG262">
        <v>0</v>
      </c>
      <c r="BH262">
        <v>0</v>
      </c>
      <c r="BY262">
        <v>897</v>
      </c>
      <c r="BZ262">
        <v>9</v>
      </c>
      <c r="CA262" t="s">
        <v>360</v>
      </c>
      <c r="CD262" s="5">
        <v>46181</v>
      </c>
      <c r="CE262" t="s">
        <v>345</v>
      </c>
      <c r="CF262" t="s">
        <v>346</v>
      </c>
      <c r="CG262">
        <v>805</v>
      </c>
      <c r="CH262">
        <v>897</v>
      </c>
      <c r="CI262" s="5">
        <v>46185</v>
      </c>
      <c r="CJ262">
        <v>26</v>
      </c>
      <c r="CK262">
        <v>0</v>
      </c>
      <c r="CL262">
        <v>0</v>
      </c>
      <c r="CM262">
        <v>0</v>
      </c>
      <c r="CN262">
        <v>0</v>
      </c>
      <c r="CO262">
        <v>198</v>
      </c>
      <c r="CP262" t="s">
        <v>347</v>
      </c>
      <c r="CQ262" t="s">
        <v>348</v>
      </c>
    </row>
    <row r="263" spans="1:95">
      <c r="A263" s="5">
        <v>46188</v>
      </c>
      <c r="B263" t="s">
        <v>1297</v>
      </c>
      <c r="C263" t="s">
        <v>1298</v>
      </c>
      <c r="D263" t="s">
        <v>1299</v>
      </c>
      <c r="E263" t="s">
        <v>1300</v>
      </c>
      <c r="G263">
        <v>0</v>
      </c>
      <c r="H263">
        <v>-1</v>
      </c>
      <c r="O263" t="s">
        <v>338</v>
      </c>
      <c r="U263">
        <v>0</v>
      </c>
      <c r="V263">
        <v>0</v>
      </c>
      <c r="W263">
        <v>0</v>
      </c>
      <c r="X263">
        <v>0</v>
      </c>
      <c r="Y263" t="s">
        <v>359</v>
      </c>
      <c r="AB263">
        <v>0</v>
      </c>
      <c r="AC263">
        <v>0</v>
      </c>
      <c r="AE263">
        <v>-1</v>
      </c>
      <c r="AJ263" t="s">
        <v>342</v>
      </c>
      <c r="AK263" t="s">
        <v>353</v>
      </c>
      <c r="AM263">
        <v>0</v>
      </c>
      <c r="AN263">
        <v>0</v>
      </c>
      <c r="AQ263">
        <v>19.99</v>
      </c>
      <c r="AY263">
        <v>0</v>
      </c>
      <c r="BB263">
        <v>0</v>
      </c>
      <c r="BG263">
        <v>0</v>
      </c>
      <c r="BH263">
        <v>0</v>
      </c>
      <c r="CJ263">
        <v>0</v>
      </c>
      <c r="CK263">
        <v>0</v>
      </c>
      <c r="CL263">
        <v>0</v>
      </c>
      <c r="CM263">
        <v>0</v>
      </c>
      <c r="CN263">
        <v>0</v>
      </c>
      <c r="CO263">
        <v>0</v>
      </c>
      <c r="CP263" t="s">
        <v>347</v>
      </c>
      <c r="CQ263" t="s">
        <v>348</v>
      </c>
    </row>
    <row r="264" spans="1:95">
      <c r="A264" s="5">
        <v>46188</v>
      </c>
      <c r="B264" t="s">
        <v>1301</v>
      </c>
      <c r="C264" t="s">
        <v>1302</v>
      </c>
      <c r="D264" t="s">
        <v>1303</v>
      </c>
      <c r="E264" t="s">
        <v>1304</v>
      </c>
      <c r="G264">
        <v>0</v>
      </c>
      <c r="H264">
        <v>-1</v>
      </c>
      <c r="O264" t="s">
        <v>338</v>
      </c>
      <c r="P264">
        <v>0</v>
      </c>
      <c r="Q264">
        <v>0</v>
      </c>
      <c r="R264">
        <v>0</v>
      </c>
      <c r="S264">
        <v>0</v>
      </c>
      <c r="U264">
        <v>0</v>
      </c>
      <c r="V264">
        <v>0</v>
      </c>
      <c r="W264">
        <v>0</v>
      </c>
      <c r="X264">
        <v>0</v>
      </c>
      <c r="Y264" t="s">
        <v>359</v>
      </c>
      <c r="AB264">
        <v>0</v>
      </c>
      <c r="AC264">
        <v>0</v>
      </c>
      <c r="AE264">
        <v>-1</v>
      </c>
      <c r="AH264" t="s">
        <v>341</v>
      </c>
      <c r="AJ264" t="s">
        <v>342</v>
      </c>
      <c r="AK264" t="s">
        <v>404</v>
      </c>
      <c r="AM264">
        <v>0</v>
      </c>
      <c r="AN264">
        <v>0</v>
      </c>
      <c r="AQ264">
        <v>11.38</v>
      </c>
      <c r="AR264">
        <v>0</v>
      </c>
      <c r="AS264">
        <v>0</v>
      </c>
      <c r="AT264">
        <v>0</v>
      </c>
      <c r="AU264">
        <v>0</v>
      </c>
      <c r="AY264">
        <v>0</v>
      </c>
      <c r="BB264">
        <v>0</v>
      </c>
      <c r="BC264">
        <v>0</v>
      </c>
      <c r="BD264">
        <v>0</v>
      </c>
      <c r="BE264">
        <v>0</v>
      </c>
      <c r="BG264">
        <v>0</v>
      </c>
      <c r="BH264">
        <v>0</v>
      </c>
      <c r="BZ264">
        <v>1</v>
      </c>
      <c r="CA264" t="s">
        <v>429</v>
      </c>
      <c r="CJ264">
        <v>0</v>
      </c>
      <c r="CK264">
        <v>0</v>
      </c>
      <c r="CL264">
        <v>0</v>
      </c>
      <c r="CM264">
        <v>0</v>
      </c>
      <c r="CN264">
        <v>0</v>
      </c>
      <c r="CO264">
        <v>0</v>
      </c>
      <c r="CP264" t="s">
        <v>347</v>
      </c>
      <c r="CQ264" t="s">
        <v>348</v>
      </c>
    </row>
    <row r="265" spans="1:95">
      <c r="A265" s="5">
        <v>46188</v>
      </c>
      <c r="B265" t="s">
        <v>1305</v>
      </c>
      <c r="C265" t="s">
        <v>742</v>
      </c>
      <c r="D265" t="s">
        <v>1306</v>
      </c>
      <c r="E265" t="s">
        <v>744</v>
      </c>
      <c r="G265">
        <v>0</v>
      </c>
      <c r="H265">
        <v>-1</v>
      </c>
      <c r="O265" t="s">
        <v>338</v>
      </c>
      <c r="U265">
        <v>0</v>
      </c>
      <c r="V265">
        <v>0</v>
      </c>
      <c r="W265">
        <v>0</v>
      </c>
      <c r="X265">
        <v>0</v>
      </c>
      <c r="Y265" t="s">
        <v>359</v>
      </c>
      <c r="AB265">
        <v>0</v>
      </c>
      <c r="AC265">
        <v>0</v>
      </c>
      <c r="AE265">
        <v>-1</v>
      </c>
      <c r="AH265" t="s">
        <v>377</v>
      </c>
      <c r="AJ265" t="s">
        <v>342</v>
      </c>
      <c r="AK265" t="s">
        <v>353</v>
      </c>
      <c r="AN265">
        <v>0</v>
      </c>
      <c r="AY265">
        <v>0</v>
      </c>
      <c r="BB265">
        <v>0</v>
      </c>
      <c r="BG265">
        <v>0</v>
      </c>
      <c r="BH265">
        <v>0</v>
      </c>
      <c r="CJ265">
        <v>0</v>
      </c>
      <c r="CK265">
        <v>0</v>
      </c>
      <c r="CL265">
        <v>0</v>
      </c>
      <c r="CM265">
        <v>0</v>
      </c>
      <c r="CN265">
        <v>0</v>
      </c>
      <c r="CP265" t="s">
        <v>347</v>
      </c>
      <c r="CQ265" t="s">
        <v>348</v>
      </c>
    </row>
    <row r="266" spans="1:95">
      <c r="A266" s="5">
        <v>46188</v>
      </c>
      <c r="B266" t="s">
        <v>1307</v>
      </c>
      <c r="C266" t="s">
        <v>549</v>
      </c>
      <c r="D266" t="s">
        <v>1308</v>
      </c>
      <c r="E266" t="s">
        <v>551</v>
      </c>
      <c r="G266">
        <v>0</v>
      </c>
      <c r="H266">
        <v>-1</v>
      </c>
      <c r="O266" t="s">
        <v>338</v>
      </c>
      <c r="P266">
        <v>0</v>
      </c>
      <c r="Q266">
        <v>0</v>
      </c>
      <c r="R266">
        <v>0</v>
      </c>
      <c r="S266">
        <v>0</v>
      </c>
      <c r="U266">
        <v>0</v>
      </c>
      <c r="V266">
        <v>0</v>
      </c>
      <c r="W266">
        <v>0</v>
      </c>
      <c r="X266">
        <v>0</v>
      </c>
      <c r="Y266" t="s">
        <v>359</v>
      </c>
      <c r="AB266">
        <v>0</v>
      </c>
      <c r="AC266">
        <v>0</v>
      </c>
      <c r="AE266">
        <v>-1</v>
      </c>
      <c r="AH266" t="s">
        <v>341</v>
      </c>
      <c r="AJ266" t="s">
        <v>342</v>
      </c>
      <c r="AK266" t="s">
        <v>353</v>
      </c>
      <c r="AM266">
        <v>0</v>
      </c>
      <c r="AN266">
        <v>0</v>
      </c>
      <c r="AQ266">
        <v>25.99</v>
      </c>
      <c r="AR266">
        <v>0</v>
      </c>
      <c r="AS266">
        <v>0</v>
      </c>
      <c r="AT266">
        <v>0</v>
      </c>
      <c r="AU266">
        <v>0</v>
      </c>
      <c r="AY266">
        <v>0</v>
      </c>
      <c r="BB266">
        <v>0</v>
      </c>
      <c r="BC266">
        <v>0</v>
      </c>
      <c r="BD266">
        <v>0</v>
      </c>
      <c r="BE266">
        <v>0</v>
      </c>
      <c r="BG266">
        <v>0</v>
      </c>
      <c r="BH266">
        <v>0</v>
      </c>
      <c r="BZ266">
        <v>1</v>
      </c>
      <c r="CA266" t="s">
        <v>429</v>
      </c>
      <c r="CJ266">
        <v>0</v>
      </c>
      <c r="CK266">
        <v>0</v>
      </c>
      <c r="CL266">
        <v>0</v>
      </c>
      <c r="CM266">
        <v>0</v>
      </c>
      <c r="CN266">
        <v>0</v>
      </c>
      <c r="CO266">
        <v>0</v>
      </c>
      <c r="CP266" t="s">
        <v>347</v>
      </c>
      <c r="CQ266" t="s">
        <v>348</v>
      </c>
    </row>
    <row r="267" spans="1:95">
      <c r="A267" s="5">
        <v>46188</v>
      </c>
      <c r="B267" t="s">
        <v>1309</v>
      </c>
      <c r="C267" t="s">
        <v>201</v>
      </c>
      <c r="D267" t="s">
        <v>1310</v>
      </c>
      <c r="E267" t="s">
        <v>363</v>
      </c>
      <c r="G267">
        <v>0</v>
      </c>
      <c r="H267">
        <v>-1</v>
      </c>
      <c r="O267" t="s">
        <v>338</v>
      </c>
      <c r="U267">
        <v>0</v>
      </c>
      <c r="V267">
        <v>0</v>
      </c>
      <c r="W267">
        <v>0</v>
      </c>
      <c r="X267">
        <v>0</v>
      </c>
      <c r="Y267" t="s">
        <v>359</v>
      </c>
      <c r="AB267">
        <v>0</v>
      </c>
      <c r="AC267">
        <v>0</v>
      </c>
      <c r="AE267">
        <v>-1</v>
      </c>
      <c r="AJ267" t="s">
        <v>342</v>
      </c>
      <c r="AK267" t="s">
        <v>353</v>
      </c>
      <c r="AL267">
        <v>2409</v>
      </c>
      <c r="AM267">
        <v>0</v>
      </c>
      <c r="AN267">
        <v>0</v>
      </c>
      <c r="AQ267">
        <v>15.99</v>
      </c>
      <c r="AY267">
        <v>0</v>
      </c>
      <c r="BB267">
        <v>0</v>
      </c>
      <c r="BG267">
        <v>0</v>
      </c>
      <c r="BH267">
        <v>0</v>
      </c>
      <c r="CB267">
        <v>8816</v>
      </c>
      <c r="CC267" s="5">
        <v>46188</v>
      </c>
      <c r="CJ267">
        <v>0</v>
      </c>
      <c r="CK267">
        <v>0</v>
      </c>
      <c r="CL267">
        <v>0</v>
      </c>
      <c r="CM267">
        <v>0</v>
      </c>
      <c r="CN267">
        <v>0</v>
      </c>
      <c r="CO267">
        <v>0</v>
      </c>
      <c r="CP267" t="s">
        <v>347</v>
      </c>
      <c r="CQ267" t="s">
        <v>348</v>
      </c>
    </row>
    <row r="268" spans="1:95">
      <c r="A268" s="5">
        <v>46188</v>
      </c>
      <c r="B268" t="s">
        <v>1311</v>
      </c>
      <c r="C268" t="s">
        <v>1312</v>
      </c>
      <c r="D268" t="s">
        <v>1313</v>
      </c>
      <c r="E268" t="s">
        <v>1314</v>
      </c>
      <c r="G268">
        <v>0</v>
      </c>
      <c r="H268">
        <v>-1</v>
      </c>
      <c r="O268" t="s">
        <v>338</v>
      </c>
      <c r="U268">
        <v>0</v>
      </c>
      <c r="V268">
        <v>0</v>
      </c>
      <c r="W268">
        <v>0</v>
      </c>
      <c r="X268">
        <v>0</v>
      </c>
      <c r="Y268" t="s">
        <v>359</v>
      </c>
      <c r="AB268">
        <v>0</v>
      </c>
      <c r="AC268">
        <v>0</v>
      </c>
      <c r="AE268">
        <v>-1</v>
      </c>
      <c r="AH268" t="s">
        <v>341</v>
      </c>
      <c r="AJ268" t="s">
        <v>342</v>
      </c>
      <c r="AK268" t="s">
        <v>353</v>
      </c>
      <c r="AM268">
        <v>0</v>
      </c>
      <c r="AN268">
        <v>0</v>
      </c>
      <c r="AQ268">
        <v>24.64</v>
      </c>
      <c r="AY268">
        <v>0</v>
      </c>
      <c r="BB268">
        <v>0</v>
      </c>
      <c r="BC268">
        <v>0</v>
      </c>
      <c r="BD268">
        <v>0</v>
      </c>
      <c r="BE268">
        <v>0</v>
      </c>
      <c r="BG268">
        <v>0</v>
      </c>
      <c r="BH268">
        <v>0</v>
      </c>
      <c r="CJ268">
        <v>0</v>
      </c>
      <c r="CK268">
        <v>0</v>
      </c>
      <c r="CL268">
        <v>0</v>
      </c>
      <c r="CM268">
        <v>0</v>
      </c>
      <c r="CN268">
        <v>0</v>
      </c>
      <c r="CO268">
        <v>0</v>
      </c>
      <c r="CP268" t="s">
        <v>347</v>
      </c>
      <c r="CQ268" t="s">
        <v>348</v>
      </c>
    </row>
    <row r="269" spans="1:95">
      <c r="A269" s="5">
        <v>46188</v>
      </c>
      <c r="B269" t="s">
        <v>1315</v>
      </c>
      <c r="C269" t="s">
        <v>1316</v>
      </c>
      <c r="D269" t="s">
        <v>1317</v>
      </c>
      <c r="E269" t="s">
        <v>1318</v>
      </c>
      <c r="F269" t="s">
        <v>337</v>
      </c>
      <c r="G269">
        <v>22</v>
      </c>
      <c r="H269">
        <v>0</v>
      </c>
      <c r="I269">
        <v>28</v>
      </c>
      <c r="J269">
        <v>0</v>
      </c>
      <c r="K269">
        <v>0</v>
      </c>
      <c r="L269">
        <v>0</v>
      </c>
      <c r="M269">
        <v>0</v>
      </c>
      <c r="N269">
        <v>0</v>
      </c>
      <c r="O269" t="s">
        <v>338</v>
      </c>
      <c r="P269">
        <v>0</v>
      </c>
      <c r="Q269">
        <v>6</v>
      </c>
      <c r="R269">
        <v>12</v>
      </c>
      <c r="S269">
        <v>19</v>
      </c>
      <c r="T269" t="s">
        <v>351</v>
      </c>
      <c r="U269">
        <v>15.99</v>
      </c>
      <c r="V269">
        <v>13.49</v>
      </c>
      <c r="W269">
        <v>13.49</v>
      </c>
      <c r="X269">
        <v>0</v>
      </c>
      <c r="Y269" t="s">
        <v>339</v>
      </c>
      <c r="AA269">
        <v>0</v>
      </c>
      <c r="AB269">
        <v>0</v>
      </c>
      <c r="AC269">
        <v>0</v>
      </c>
      <c r="AD269">
        <v>0</v>
      </c>
      <c r="AE269">
        <v>0.9</v>
      </c>
      <c r="AF269">
        <v>0.052371</v>
      </c>
      <c r="AG269" t="s">
        <v>340</v>
      </c>
      <c r="AH269" t="s">
        <v>341</v>
      </c>
      <c r="AI269">
        <v>1.152162</v>
      </c>
      <c r="AJ269" t="s">
        <v>342</v>
      </c>
      <c r="AK269" t="s">
        <v>353</v>
      </c>
      <c r="AL269">
        <v>397496</v>
      </c>
      <c r="AM269">
        <v>102</v>
      </c>
      <c r="AN269">
        <v>0</v>
      </c>
      <c r="AO269">
        <v>14</v>
      </c>
      <c r="AP269">
        <v>15</v>
      </c>
      <c r="AQ269">
        <v>13.49</v>
      </c>
      <c r="AR269">
        <v>0</v>
      </c>
      <c r="AS269">
        <v>76.49</v>
      </c>
      <c r="AT269">
        <v>153.43</v>
      </c>
      <c r="AU269">
        <v>246.32</v>
      </c>
      <c r="AV269">
        <v>21</v>
      </c>
      <c r="AW269">
        <v>6</v>
      </c>
      <c r="AX269">
        <v>1</v>
      </c>
      <c r="AY269">
        <v>0</v>
      </c>
      <c r="AZ269">
        <v>0</v>
      </c>
      <c r="BA269">
        <v>0.82</v>
      </c>
      <c r="BB269">
        <v>0</v>
      </c>
      <c r="BC269">
        <v>0</v>
      </c>
      <c r="BD269">
        <v>0</v>
      </c>
      <c r="BE269">
        <v>0</v>
      </c>
      <c r="BG269">
        <v>0</v>
      </c>
      <c r="BH269">
        <v>0</v>
      </c>
      <c r="BY269">
        <v>102.3</v>
      </c>
      <c r="BZ269">
        <v>18</v>
      </c>
      <c r="CA269" t="s">
        <v>360</v>
      </c>
      <c r="CB269">
        <v>8</v>
      </c>
      <c r="CC269" s="5">
        <v>46195</v>
      </c>
      <c r="CD269" s="5">
        <v>46188</v>
      </c>
      <c r="CE269" t="s">
        <v>345</v>
      </c>
      <c r="CF269" t="s">
        <v>346</v>
      </c>
      <c r="CG269">
        <v>102.3</v>
      </c>
      <c r="CH269">
        <v>86.1</v>
      </c>
      <c r="CI269" s="5">
        <v>46186</v>
      </c>
      <c r="CJ269">
        <v>24</v>
      </c>
      <c r="CK269">
        <v>2</v>
      </c>
      <c r="CL269">
        <v>0</v>
      </c>
      <c r="CM269">
        <v>0</v>
      </c>
      <c r="CN269">
        <v>0</v>
      </c>
      <c r="CO269">
        <v>102</v>
      </c>
      <c r="CP269" t="s">
        <v>347</v>
      </c>
      <c r="CQ269" t="s">
        <v>348</v>
      </c>
    </row>
    <row r="270" spans="1:95">
      <c r="A270" s="5">
        <v>46188</v>
      </c>
      <c r="B270" t="s">
        <v>1319</v>
      </c>
      <c r="C270" t="s">
        <v>1320</v>
      </c>
      <c r="D270" t="s">
        <v>1321</v>
      </c>
      <c r="E270" t="s">
        <v>1322</v>
      </c>
      <c r="F270" t="s">
        <v>337</v>
      </c>
      <c r="G270">
        <v>66</v>
      </c>
      <c r="H270">
        <v>0</v>
      </c>
      <c r="I270">
        <v>71</v>
      </c>
      <c r="J270">
        <v>0</v>
      </c>
      <c r="K270">
        <v>0</v>
      </c>
      <c r="L270">
        <v>0</v>
      </c>
      <c r="M270">
        <v>0</v>
      </c>
      <c r="N270">
        <v>0</v>
      </c>
      <c r="O270" t="s">
        <v>338</v>
      </c>
      <c r="P270">
        <v>5</v>
      </c>
      <c r="Q270">
        <v>19</v>
      </c>
      <c r="R270">
        <v>31</v>
      </c>
      <c r="S270">
        <v>70</v>
      </c>
      <c r="U270">
        <v>29.99</v>
      </c>
      <c r="V270">
        <v>21.49</v>
      </c>
      <c r="W270">
        <v>21.49</v>
      </c>
      <c r="X270">
        <v>0</v>
      </c>
      <c r="Y270" t="s">
        <v>464</v>
      </c>
      <c r="AA270">
        <v>0</v>
      </c>
      <c r="AB270">
        <v>0</v>
      </c>
      <c r="AC270">
        <v>0</v>
      </c>
      <c r="AD270">
        <v>0</v>
      </c>
      <c r="AE270">
        <v>0.86</v>
      </c>
      <c r="AF270">
        <v>0.114556</v>
      </c>
      <c r="AG270" t="s">
        <v>340</v>
      </c>
      <c r="AH270" t="s">
        <v>341</v>
      </c>
      <c r="AI270">
        <v>7.560696</v>
      </c>
      <c r="AJ270" t="s">
        <v>342</v>
      </c>
      <c r="AK270" t="s">
        <v>353</v>
      </c>
      <c r="AL270">
        <v>2409</v>
      </c>
      <c r="AM270">
        <v>59</v>
      </c>
      <c r="AN270">
        <v>0</v>
      </c>
      <c r="AO270">
        <v>13</v>
      </c>
      <c r="AP270">
        <v>12</v>
      </c>
      <c r="AQ270">
        <v>21.49</v>
      </c>
      <c r="AR270">
        <v>107.45</v>
      </c>
      <c r="AS270">
        <v>437.81</v>
      </c>
      <c r="AT270">
        <v>730.29</v>
      </c>
      <c r="AU270">
        <v>1539.6</v>
      </c>
      <c r="AV270">
        <v>36</v>
      </c>
      <c r="AW270">
        <v>0</v>
      </c>
      <c r="AX270">
        <v>35</v>
      </c>
      <c r="AY270">
        <v>0</v>
      </c>
      <c r="AZ270">
        <v>0</v>
      </c>
      <c r="BA270">
        <v>4.44</v>
      </c>
      <c r="BB270">
        <v>0</v>
      </c>
      <c r="BC270">
        <v>0</v>
      </c>
      <c r="BD270">
        <v>0</v>
      </c>
      <c r="BE270">
        <v>0</v>
      </c>
      <c r="BG270">
        <v>11</v>
      </c>
      <c r="BH270">
        <v>0</v>
      </c>
      <c r="BY270">
        <v>123.5</v>
      </c>
      <c r="BZ270">
        <v>66</v>
      </c>
      <c r="CA270" t="s">
        <v>360</v>
      </c>
      <c r="CB270">
        <v>76</v>
      </c>
      <c r="CC270" s="5">
        <v>46195</v>
      </c>
      <c r="CD270" s="5">
        <v>46188</v>
      </c>
      <c r="CE270" t="s">
        <v>345</v>
      </c>
      <c r="CF270" t="s">
        <v>346</v>
      </c>
      <c r="CG270">
        <v>123.5</v>
      </c>
      <c r="CH270">
        <v>100.7</v>
      </c>
      <c r="CI270" s="5">
        <v>46186</v>
      </c>
      <c r="CJ270">
        <v>66</v>
      </c>
      <c r="CK270">
        <v>0</v>
      </c>
      <c r="CL270">
        <v>10</v>
      </c>
      <c r="CM270">
        <v>1</v>
      </c>
      <c r="CN270">
        <v>0</v>
      </c>
      <c r="CO270">
        <v>74</v>
      </c>
      <c r="CP270" t="s">
        <v>347</v>
      </c>
      <c r="CQ270" t="s">
        <v>348</v>
      </c>
    </row>
    <row r="271" spans="1:95">
      <c r="A271" s="5">
        <v>46188</v>
      </c>
      <c r="B271" t="s">
        <v>1323</v>
      </c>
      <c r="C271" t="s">
        <v>1324</v>
      </c>
      <c r="D271" t="s">
        <v>1325</v>
      </c>
      <c r="E271" t="s">
        <v>1326</v>
      </c>
      <c r="G271">
        <v>0</v>
      </c>
      <c r="H271">
        <v>-1</v>
      </c>
      <c r="O271" t="s">
        <v>338</v>
      </c>
      <c r="U271">
        <v>0</v>
      </c>
      <c r="V271">
        <v>0</v>
      </c>
      <c r="W271">
        <v>0</v>
      </c>
      <c r="X271">
        <v>0</v>
      </c>
      <c r="Y271" t="s">
        <v>359</v>
      </c>
      <c r="AB271">
        <v>0</v>
      </c>
      <c r="AC271">
        <v>0</v>
      </c>
      <c r="AE271">
        <v>-1</v>
      </c>
      <c r="AH271" t="s">
        <v>341</v>
      </c>
      <c r="AJ271" t="s">
        <v>342</v>
      </c>
      <c r="AK271" t="s">
        <v>343</v>
      </c>
      <c r="AN271">
        <v>0</v>
      </c>
      <c r="AY271">
        <v>0</v>
      </c>
      <c r="BB271">
        <v>0</v>
      </c>
      <c r="BC271">
        <v>0</v>
      </c>
      <c r="BD271">
        <v>0</v>
      </c>
      <c r="BE271">
        <v>0</v>
      </c>
      <c r="BG271">
        <v>0</v>
      </c>
      <c r="BH271">
        <v>0</v>
      </c>
      <c r="CJ271">
        <v>0</v>
      </c>
      <c r="CK271">
        <v>0</v>
      </c>
      <c r="CL271">
        <v>0</v>
      </c>
      <c r="CM271">
        <v>0</v>
      </c>
      <c r="CN271">
        <v>0</v>
      </c>
      <c r="CP271" t="s">
        <v>347</v>
      </c>
      <c r="CQ271" t="s">
        <v>348</v>
      </c>
    </row>
    <row r="272" spans="1:95">
      <c r="A272" s="5">
        <v>46188</v>
      </c>
      <c r="B272" t="s">
        <v>1327</v>
      </c>
      <c r="C272" t="s">
        <v>1328</v>
      </c>
      <c r="D272" t="s">
        <v>1329</v>
      </c>
      <c r="E272" t="s">
        <v>1330</v>
      </c>
      <c r="G272">
        <v>0</v>
      </c>
      <c r="H272">
        <v>-1</v>
      </c>
      <c r="O272" t="s">
        <v>338</v>
      </c>
      <c r="U272">
        <v>0</v>
      </c>
      <c r="V272">
        <v>0</v>
      </c>
      <c r="W272">
        <v>0</v>
      </c>
      <c r="X272">
        <v>0</v>
      </c>
      <c r="Y272" t="s">
        <v>359</v>
      </c>
      <c r="AB272">
        <v>0</v>
      </c>
      <c r="AC272">
        <v>0</v>
      </c>
      <c r="AE272">
        <v>-1</v>
      </c>
      <c r="AH272" t="s">
        <v>341</v>
      </c>
      <c r="AJ272" t="s">
        <v>342</v>
      </c>
      <c r="AK272" t="s">
        <v>353</v>
      </c>
      <c r="AN272">
        <v>0</v>
      </c>
      <c r="AY272">
        <v>0</v>
      </c>
      <c r="BB272">
        <v>0</v>
      </c>
      <c r="BG272">
        <v>0</v>
      </c>
      <c r="BH272">
        <v>0</v>
      </c>
      <c r="CJ272">
        <v>0</v>
      </c>
      <c r="CK272">
        <v>0</v>
      </c>
      <c r="CL272">
        <v>0</v>
      </c>
      <c r="CM272">
        <v>0</v>
      </c>
      <c r="CN272">
        <v>0</v>
      </c>
      <c r="CP272" t="s">
        <v>347</v>
      </c>
      <c r="CQ272" t="s">
        <v>348</v>
      </c>
    </row>
    <row r="273" spans="1:95">
      <c r="A273" s="5">
        <v>46188</v>
      </c>
      <c r="B273" t="s">
        <v>1331</v>
      </c>
      <c r="C273" t="s">
        <v>1332</v>
      </c>
      <c r="D273" t="s">
        <v>1333</v>
      </c>
      <c r="E273" t="s">
        <v>1334</v>
      </c>
      <c r="G273">
        <v>0</v>
      </c>
      <c r="H273">
        <v>-1</v>
      </c>
      <c r="O273" t="s">
        <v>338</v>
      </c>
      <c r="P273">
        <v>0</v>
      </c>
      <c r="Q273">
        <v>0</v>
      </c>
      <c r="R273">
        <v>0</v>
      </c>
      <c r="S273">
        <v>0</v>
      </c>
      <c r="U273">
        <v>0</v>
      </c>
      <c r="V273">
        <v>0</v>
      </c>
      <c r="W273">
        <v>0</v>
      </c>
      <c r="X273">
        <v>0</v>
      </c>
      <c r="Y273" t="s">
        <v>359</v>
      </c>
      <c r="AB273">
        <v>0</v>
      </c>
      <c r="AC273">
        <v>0</v>
      </c>
      <c r="AE273">
        <v>-1</v>
      </c>
      <c r="AH273" t="s">
        <v>424</v>
      </c>
      <c r="AJ273" t="s">
        <v>342</v>
      </c>
      <c r="AK273" t="s">
        <v>353</v>
      </c>
      <c r="AM273">
        <v>0</v>
      </c>
      <c r="AN273">
        <v>0</v>
      </c>
      <c r="AQ273">
        <v>67.99</v>
      </c>
      <c r="AR273">
        <v>0</v>
      </c>
      <c r="AS273">
        <v>0</v>
      </c>
      <c r="AT273">
        <v>0</v>
      </c>
      <c r="AU273">
        <v>0</v>
      </c>
      <c r="AY273">
        <v>0</v>
      </c>
      <c r="BB273">
        <v>0</v>
      </c>
      <c r="BC273">
        <v>0</v>
      </c>
      <c r="BD273">
        <v>0</v>
      </c>
      <c r="BE273">
        <v>0</v>
      </c>
      <c r="BG273">
        <v>0</v>
      </c>
      <c r="BH273">
        <v>0</v>
      </c>
      <c r="CJ273">
        <v>0</v>
      </c>
      <c r="CK273">
        <v>0</v>
      </c>
      <c r="CL273">
        <v>0</v>
      </c>
      <c r="CM273">
        <v>0</v>
      </c>
      <c r="CN273">
        <v>0</v>
      </c>
      <c r="CO273">
        <v>0</v>
      </c>
      <c r="CP273" t="s">
        <v>347</v>
      </c>
      <c r="CQ273" t="s">
        <v>348</v>
      </c>
    </row>
    <row r="274" spans="1:95">
      <c r="A274" s="5">
        <v>46188</v>
      </c>
      <c r="B274" t="s">
        <v>1335</v>
      </c>
      <c r="C274" t="s">
        <v>1336</v>
      </c>
      <c r="D274" t="s">
        <v>1337</v>
      </c>
      <c r="E274" t="s">
        <v>1338</v>
      </c>
      <c r="F274" t="s">
        <v>337</v>
      </c>
      <c r="G274">
        <v>0</v>
      </c>
      <c r="H274">
        <v>-1</v>
      </c>
      <c r="O274" t="s">
        <v>338</v>
      </c>
      <c r="U274">
        <v>59.99</v>
      </c>
      <c r="V274">
        <v>0</v>
      </c>
      <c r="W274">
        <v>0</v>
      </c>
      <c r="X274">
        <v>0</v>
      </c>
      <c r="Y274" t="s">
        <v>372</v>
      </c>
      <c r="AB274">
        <v>0</v>
      </c>
      <c r="AC274">
        <v>0</v>
      </c>
      <c r="AE274">
        <v>-1</v>
      </c>
      <c r="AH274" t="s">
        <v>341</v>
      </c>
      <c r="AJ274" t="s">
        <v>342</v>
      </c>
      <c r="AK274" t="s">
        <v>353</v>
      </c>
      <c r="AN274">
        <v>0</v>
      </c>
      <c r="AQ274">
        <v>59.99</v>
      </c>
      <c r="AY274">
        <v>0</v>
      </c>
      <c r="BB274">
        <v>35</v>
      </c>
      <c r="BC274">
        <v>35</v>
      </c>
      <c r="BD274">
        <v>0</v>
      </c>
      <c r="BE274">
        <v>0</v>
      </c>
      <c r="BG274">
        <v>0</v>
      </c>
      <c r="BH274">
        <v>0</v>
      </c>
      <c r="CJ274">
        <v>35</v>
      </c>
      <c r="CK274">
        <v>0</v>
      </c>
      <c r="CL274">
        <v>0</v>
      </c>
      <c r="CM274">
        <v>0</v>
      </c>
      <c r="CN274">
        <v>0</v>
      </c>
      <c r="CP274" t="s">
        <v>347</v>
      </c>
      <c r="CQ274" t="s">
        <v>348</v>
      </c>
    </row>
    <row r="275" spans="1:95">
      <c r="A275" s="5">
        <v>46188</v>
      </c>
      <c r="B275" t="s">
        <v>1339</v>
      </c>
      <c r="C275" t="s">
        <v>1340</v>
      </c>
      <c r="D275" t="s">
        <v>1341</v>
      </c>
      <c r="E275" t="s">
        <v>1342</v>
      </c>
      <c r="G275">
        <v>0</v>
      </c>
      <c r="H275">
        <v>-1</v>
      </c>
      <c r="O275" t="s">
        <v>338</v>
      </c>
      <c r="U275">
        <v>0</v>
      </c>
      <c r="V275">
        <v>0</v>
      </c>
      <c r="W275">
        <v>0</v>
      </c>
      <c r="X275">
        <v>0</v>
      </c>
      <c r="Y275" t="s">
        <v>359</v>
      </c>
      <c r="AB275">
        <v>0</v>
      </c>
      <c r="AC275">
        <v>0</v>
      </c>
      <c r="AE275">
        <v>-1</v>
      </c>
      <c r="AH275" t="s">
        <v>341</v>
      </c>
      <c r="AJ275" t="s">
        <v>342</v>
      </c>
      <c r="AK275" t="s">
        <v>353</v>
      </c>
      <c r="AN275">
        <v>0</v>
      </c>
      <c r="AY275">
        <v>0</v>
      </c>
      <c r="BB275">
        <v>0</v>
      </c>
      <c r="BG275">
        <v>0</v>
      </c>
      <c r="BH275">
        <v>0</v>
      </c>
      <c r="CJ275">
        <v>0</v>
      </c>
      <c r="CK275">
        <v>0</v>
      </c>
      <c r="CL275">
        <v>0</v>
      </c>
      <c r="CM275">
        <v>0</v>
      </c>
      <c r="CN275">
        <v>0</v>
      </c>
      <c r="CP275" t="s">
        <v>347</v>
      </c>
      <c r="CQ275" t="s">
        <v>348</v>
      </c>
    </row>
    <row r="276" spans="1:95">
      <c r="A276" s="5">
        <v>46188</v>
      </c>
      <c r="B276" t="s">
        <v>1343</v>
      </c>
      <c r="C276" t="s">
        <v>1344</v>
      </c>
      <c r="D276" t="s">
        <v>1345</v>
      </c>
      <c r="E276" t="s">
        <v>1346</v>
      </c>
      <c r="G276">
        <v>0</v>
      </c>
      <c r="H276">
        <v>-1</v>
      </c>
      <c r="O276" t="s">
        <v>338</v>
      </c>
      <c r="U276">
        <v>0</v>
      </c>
      <c r="V276">
        <v>0</v>
      </c>
      <c r="W276">
        <v>0</v>
      </c>
      <c r="X276">
        <v>0</v>
      </c>
      <c r="Y276" t="s">
        <v>359</v>
      </c>
      <c r="AB276">
        <v>0</v>
      </c>
      <c r="AC276">
        <v>0</v>
      </c>
      <c r="AE276">
        <v>-1</v>
      </c>
      <c r="AJ276" t="s">
        <v>342</v>
      </c>
      <c r="AK276" t="s">
        <v>353</v>
      </c>
      <c r="AM276">
        <v>0</v>
      </c>
      <c r="AN276">
        <v>0</v>
      </c>
      <c r="AQ276">
        <v>14.99</v>
      </c>
      <c r="AY276">
        <v>0</v>
      </c>
      <c r="BB276">
        <v>0</v>
      </c>
      <c r="BG276">
        <v>0</v>
      </c>
      <c r="BH276">
        <v>0</v>
      </c>
      <c r="CJ276">
        <v>0</v>
      </c>
      <c r="CK276">
        <v>0</v>
      </c>
      <c r="CL276">
        <v>0</v>
      </c>
      <c r="CM276">
        <v>0</v>
      </c>
      <c r="CN276">
        <v>0</v>
      </c>
      <c r="CO276">
        <v>0</v>
      </c>
      <c r="CP276" t="s">
        <v>347</v>
      </c>
      <c r="CQ276" t="s">
        <v>348</v>
      </c>
    </row>
    <row r="277" spans="1:95">
      <c r="A277" s="5">
        <v>46188</v>
      </c>
      <c r="B277" t="s">
        <v>1347</v>
      </c>
      <c r="C277" t="s">
        <v>1348</v>
      </c>
      <c r="D277" t="s">
        <v>1349</v>
      </c>
      <c r="E277" t="s">
        <v>1350</v>
      </c>
      <c r="G277">
        <v>0</v>
      </c>
      <c r="H277">
        <v>-1</v>
      </c>
      <c r="O277" t="s">
        <v>338</v>
      </c>
      <c r="U277">
        <v>0</v>
      </c>
      <c r="V277">
        <v>0</v>
      </c>
      <c r="W277">
        <v>0</v>
      </c>
      <c r="X277">
        <v>0</v>
      </c>
      <c r="Y277" t="s">
        <v>359</v>
      </c>
      <c r="AB277">
        <v>0</v>
      </c>
      <c r="AC277">
        <v>0</v>
      </c>
      <c r="AE277">
        <v>-1</v>
      </c>
      <c r="AH277" t="s">
        <v>341</v>
      </c>
      <c r="AJ277" t="s">
        <v>342</v>
      </c>
      <c r="AK277" t="s">
        <v>353</v>
      </c>
      <c r="AL277">
        <v>541684</v>
      </c>
      <c r="AN277">
        <v>0</v>
      </c>
      <c r="AQ277">
        <v>26.99</v>
      </c>
      <c r="AY277">
        <v>0</v>
      </c>
      <c r="BB277">
        <v>0</v>
      </c>
      <c r="BG277">
        <v>0</v>
      </c>
      <c r="BH277">
        <v>0</v>
      </c>
      <c r="CJ277">
        <v>0</v>
      </c>
      <c r="CK277">
        <v>0</v>
      </c>
      <c r="CL277">
        <v>0</v>
      </c>
      <c r="CM277">
        <v>0</v>
      </c>
      <c r="CN277">
        <v>0</v>
      </c>
      <c r="CP277" t="s">
        <v>347</v>
      </c>
      <c r="CQ277" t="s">
        <v>348</v>
      </c>
    </row>
    <row r="278" spans="1:95">
      <c r="A278" s="5">
        <v>46188</v>
      </c>
      <c r="B278" t="s">
        <v>1351</v>
      </c>
      <c r="C278" t="s">
        <v>1352</v>
      </c>
      <c r="D278" t="s">
        <v>1353</v>
      </c>
      <c r="E278" t="s">
        <v>1354</v>
      </c>
      <c r="G278">
        <v>0</v>
      </c>
      <c r="H278">
        <v>-1</v>
      </c>
      <c r="O278" t="s">
        <v>338</v>
      </c>
      <c r="P278">
        <v>0</v>
      </c>
      <c r="Q278">
        <v>0</v>
      </c>
      <c r="R278">
        <v>0</v>
      </c>
      <c r="S278">
        <v>0</v>
      </c>
      <c r="U278">
        <v>0</v>
      </c>
      <c r="V278">
        <v>0</v>
      </c>
      <c r="W278">
        <v>0</v>
      </c>
      <c r="X278">
        <v>0</v>
      </c>
      <c r="Y278" t="s">
        <v>359</v>
      </c>
      <c r="AB278">
        <v>0</v>
      </c>
      <c r="AC278">
        <v>0</v>
      </c>
      <c r="AE278">
        <v>-1</v>
      </c>
      <c r="AH278" t="s">
        <v>341</v>
      </c>
      <c r="AJ278" t="s">
        <v>342</v>
      </c>
      <c r="AK278" t="s">
        <v>343</v>
      </c>
      <c r="AM278">
        <v>0</v>
      </c>
      <c r="AN278">
        <v>0</v>
      </c>
      <c r="AQ278">
        <v>42.99</v>
      </c>
      <c r="AR278">
        <v>0</v>
      </c>
      <c r="AS278">
        <v>0</v>
      </c>
      <c r="AT278">
        <v>0</v>
      </c>
      <c r="AU278">
        <v>0</v>
      </c>
      <c r="AY278">
        <v>0</v>
      </c>
      <c r="BB278">
        <v>0</v>
      </c>
      <c r="BC278">
        <v>0</v>
      </c>
      <c r="BD278">
        <v>0</v>
      </c>
      <c r="BE278">
        <v>0</v>
      </c>
      <c r="BG278">
        <v>0</v>
      </c>
      <c r="BH278">
        <v>0</v>
      </c>
      <c r="BZ278">
        <v>1</v>
      </c>
      <c r="CA278" t="s">
        <v>429</v>
      </c>
      <c r="CJ278">
        <v>0</v>
      </c>
      <c r="CK278">
        <v>0</v>
      </c>
      <c r="CL278">
        <v>0</v>
      </c>
      <c r="CM278">
        <v>0</v>
      </c>
      <c r="CN278">
        <v>0</v>
      </c>
      <c r="CO278">
        <v>0</v>
      </c>
      <c r="CP278" t="s">
        <v>347</v>
      </c>
      <c r="CQ278" t="s">
        <v>348</v>
      </c>
    </row>
    <row r="279" spans="1:95">
      <c r="A279" s="5">
        <v>46188</v>
      </c>
      <c r="B279" t="s">
        <v>1355</v>
      </c>
      <c r="C279" t="s">
        <v>1356</v>
      </c>
      <c r="D279" t="s">
        <v>1357</v>
      </c>
      <c r="E279" t="s">
        <v>489</v>
      </c>
      <c r="G279">
        <v>0</v>
      </c>
      <c r="H279">
        <v>-1</v>
      </c>
      <c r="O279" t="s">
        <v>338</v>
      </c>
      <c r="U279">
        <v>0</v>
      </c>
      <c r="V279">
        <v>0</v>
      </c>
      <c r="W279">
        <v>0</v>
      </c>
      <c r="X279">
        <v>0</v>
      </c>
      <c r="Y279" t="s">
        <v>359</v>
      </c>
      <c r="AB279">
        <v>0</v>
      </c>
      <c r="AC279">
        <v>0</v>
      </c>
      <c r="AE279">
        <v>-1</v>
      </c>
      <c r="AJ279" t="s">
        <v>342</v>
      </c>
      <c r="AK279" t="s">
        <v>353</v>
      </c>
      <c r="AN279">
        <v>0</v>
      </c>
      <c r="AY279">
        <v>0</v>
      </c>
      <c r="BB279">
        <v>0</v>
      </c>
      <c r="BG279">
        <v>0</v>
      </c>
      <c r="BH279">
        <v>0</v>
      </c>
      <c r="CJ279">
        <v>0</v>
      </c>
      <c r="CK279">
        <v>0</v>
      </c>
      <c r="CL279">
        <v>0</v>
      </c>
      <c r="CM279">
        <v>0</v>
      </c>
      <c r="CN279">
        <v>0</v>
      </c>
      <c r="CP279" t="s">
        <v>347</v>
      </c>
      <c r="CQ279" t="s">
        <v>348</v>
      </c>
    </row>
    <row r="280" spans="1:95">
      <c r="A280" s="5">
        <v>46188</v>
      </c>
      <c r="B280" t="s">
        <v>1358</v>
      </c>
      <c r="C280" t="s">
        <v>600</v>
      </c>
      <c r="D280" t="s">
        <v>1359</v>
      </c>
      <c r="E280" t="s">
        <v>602</v>
      </c>
      <c r="G280">
        <v>0</v>
      </c>
      <c r="H280">
        <v>-1</v>
      </c>
      <c r="O280" t="s">
        <v>338</v>
      </c>
      <c r="P280">
        <v>0</v>
      </c>
      <c r="Q280">
        <v>0</v>
      </c>
      <c r="R280">
        <v>0</v>
      </c>
      <c r="S280">
        <v>0</v>
      </c>
      <c r="U280">
        <v>0</v>
      </c>
      <c r="V280">
        <v>0</v>
      </c>
      <c r="W280">
        <v>0</v>
      </c>
      <c r="X280">
        <v>0</v>
      </c>
      <c r="Y280" t="s">
        <v>359</v>
      </c>
      <c r="AB280">
        <v>0</v>
      </c>
      <c r="AC280">
        <v>0</v>
      </c>
      <c r="AE280">
        <v>-1</v>
      </c>
      <c r="AH280" t="s">
        <v>341</v>
      </c>
      <c r="AJ280" t="s">
        <v>342</v>
      </c>
      <c r="AK280" t="s">
        <v>353</v>
      </c>
      <c r="AL280">
        <v>26497</v>
      </c>
      <c r="AM280">
        <v>0</v>
      </c>
      <c r="AN280">
        <v>0</v>
      </c>
      <c r="AQ280">
        <v>25.99</v>
      </c>
      <c r="AR280">
        <v>0</v>
      </c>
      <c r="AS280">
        <v>0</v>
      </c>
      <c r="AT280">
        <v>0</v>
      </c>
      <c r="AU280">
        <v>0</v>
      </c>
      <c r="AY280">
        <v>0</v>
      </c>
      <c r="BB280">
        <v>0</v>
      </c>
      <c r="BC280">
        <v>0</v>
      </c>
      <c r="BD280">
        <v>0</v>
      </c>
      <c r="BE280">
        <v>0</v>
      </c>
      <c r="BG280">
        <v>0</v>
      </c>
      <c r="BH280">
        <v>0</v>
      </c>
      <c r="BZ280">
        <v>1</v>
      </c>
      <c r="CA280" t="s">
        <v>429</v>
      </c>
      <c r="CB280">
        <v>44</v>
      </c>
      <c r="CC280" s="5">
        <v>46188</v>
      </c>
      <c r="CJ280">
        <v>0</v>
      </c>
      <c r="CK280">
        <v>0</v>
      </c>
      <c r="CL280">
        <v>0</v>
      </c>
      <c r="CM280">
        <v>0</v>
      </c>
      <c r="CN280">
        <v>0</v>
      </c>
      <c r="CO280">
        <v>0</v>
      </c>
      <c r="CP280" t="s">
        <v>347</v>
      </c>
      <c r="CQ280" t="s">
        <v>348</v>
      </c>
    </row>
    <row r="281" spans="1:95">
      <c r="A281" s="5">
        <v>46188</v>
      </c>
      <c r="B281" t="s">
        <v>1360</v>
      </c>
      <c r="C281" t="s">
        <v>1361</v>
      </c>
      <c r="D281" t="s">
        <v>1362</v>
      </c>
      <c r="E281" t="s">
        <v>1363</v>
      </c>
      <c r="G281">
        <v>0</v>
      </c>
      <c r="H281">
        <v>-1</v>
      </c>
      <c r="O281" t="s">
        <v>338</v>
      </c>
      <c r="U281">
        <v>0</v>
      </c>
      <c r="V281">
        <v>0</v>
      </c>
      <c r="W281">
        <v>0</v>
      </c>
      <c r="X281">
        <v>0</v>
      </c>
      <c r="Y281" t="s">
        <v>359</v>
      </c>
      <c r="AB281">
        <v>0</v>
      </c>
      <c r="AC281">
        <v>0</v>
      </c>
      <c r="AE281">
        <v>-1</v>
      </c>
      <c r="AH281" t="s">
        <v>341</v>
      </c>
      <c r="AJ281" t="s">
        <v>342</v>
      </c>
      <c r="AK281" t="s">
        <v>404</v>
      </c>
      <c r="AM281">
        <v>0</v>
      </c>
      <c r="AN281">
        <v>0</v>
      </c>
      <c r="AQ281">
        <v>8.99</v>
      </c>
      <c r="AY281">
        <v>0</v>
      </c>
      <c r="BB281">
        <v>0</v>
      </c>
      <c r="BC281">
        <v>0</v>
      </c>
      <c r="BD281">
        <v>0</v>
      </c>
      <c r="BE281">
        <v>0</v>
      </c>
      <c r="BG281">
        <v>0</v>
      </c>
      <c r="BH281">
        <v>0</v>
      </c>
      <c r="CJ281">
        <v>0</v>
      </c>
      <c r="CK281">
        <v>0</v>
      </c>
      <c r="CL281">
        <v>0</v>
      </c>
      <c r="CM281">
        <v>0</v>
      </c>
      <c r="CN281">
        <v>0</v>
      </c>
      <c r="CO281">
        <v>0</v>
      </c>
      <c r="CP281" t="s">
        <v>347</v>
      </c>
      <c r="CQ281" t="s">
        <v>348</v>
      </c>
    </row>
    <row r="282" spans="1:95">
      <c r="A282" s="5">
        <v>46188</v>
      </c>
      <c r="B282" t="s">
        <v>1364</v>
      </c>
      <c r="C282" t="s">
        <v>1365</v>
      </c>
      <c r="D282" t="s">
        <v>1366</v>
      </c>
      <c r="E282" t="s">
        <v>1367</v>
      </c>
      <c r="F282" t="s">
        <v>337</v>
      </c>
      <c r="G282">
        <v>3</v>
      </c>
      <c r="H282">
        <v>0</v>
      </c>
      <c r="I282">
        <v>0</v>
      </c>
      <c r="J282">
        <v>0</v>
      </c>
      <c r="K282">
        <v>0</v>
      </c>
      <c r="L282">
        <v>0</v>
      </c>
      <c r="M282">
        <v>0</v>
      </c>
      <c r="N282">
        <v>3</v>
      </c>
      <c r="O282" t="s">
        <v>338</v>
      </c>
      <c r="P282">
        <v>0</v>
      </c>
      <c r="Q282">
        <v>0</v>
      </c>
      <c r="R282">
        <v>0</v>
      </c>
      <c r="S282">
        <v>0</v>
      </c>
      <c r="T282" t="s">
        <v>351</v>
      </c>
      <c r="U282">
        <v>89.99</v>
      </c>
      <c r="V282">
        <v>65.99</v>
      </c>
      <c r="W282">
        <v>59.99</v>
      </c>
      <c r="X282">
        <v>0</v>
      </c>
      <c r="Y282" t="s">
        <v>339</v>
      </c>
      <c r="AA282">
        <v>0</v>
      </c>
      <c r="AB282">
        <v>0</v>
      </c>
      <c r="AC282">
        <v>0</v>
      </c>
      <c r="AD282">
        <v>514.71</v>
      </c>
      <c r="AE282">
        <v>0</v>
      </c>
      <c r="AF282">
        <v>0.650088</v>
      </c>
      <c r="AG282" t="s">
        <v>340</v>
      </c>
      <c r="AH282" t="s">
        <v>424</v>
      </c>
      <c r="AI282">
        <v>1.950264</v>
      </c>
      <c r="AJ282" t="s">
        <v>342</v>
      </c>
      <c r="AK282" t="s">
        <v>343</v>
      </c>
      <c r="AL282">
        <v>215750</v>
      </c>
      <c r="AM282">
        <v>366</v>
      </c>
      <c r="AN282">
        <v>3</v>
      </c>
      <c r="AQ282">
        <v>59.99</v>
      </c>
      <c r="AR282">
        <v>0</v>
      </c>
      <c r="AS282">
        <v>0</v>
      </c>
      <c r="AT282">
        <v>0</v>
      </c>
      <c r="AU282">
        <v>0</v>
      </c>
      <c r="AV282">
        <v>0</v>
      </c>
      <c r="AW282">
        <v>0</v>
      </c>
      <c r="AX282">
        <v>0</v>
      </c>
      <c r="AY282">
        <v>0</v>
      </c>
      <c r="AZ282">
        <v>0</v>
      </c>
      <c r="BA282">
        <v>16.26</v>
      </c>
      <c r="BB282">
        <v>0</v>
      </c>
      <c r="BC282">
        <v>0</v>
      </c>
      <c r="BD282">
        <v>0</v>
      </c>
      <c r="BE282">
        <v>0</v>
      </c>
      <c r="BG282">
        <v>0</v>
      </c>
      <c r="BH282">
        <v>0</v>
      </c>
      <c r="BI282">
        <v>0</v>
      </c>
      <c r="BJ282">
        <v>0</v>
      </c>
      <c r="BK282">
        <v>0</v>
      </c>
      <c r="BL282">
        <v>0</v>
      </c>
      <c r="BM282">
        <v>0</v>
      </c>
      <c r="BN282">
        <v>0</v>
      </c>
      <c r="BO282">
        <v>0</v>
      </c>
      <c r="BP282">
        <v>0</v>
      </c>
      <c r="BQ282">
        <v>0</v>
      </c>
      <c r="BR282">
        <v>0</v>
      </c>
      <c r="BS282">
        <v>0</v>
      </c>
      <c r="BT282">
        <v>0</v>
      </c>
      <c r="BU282">
        <v>0</v>
      </c>
      <c r="BV282">
        <v>0</v>
      </c>
      <c r="BW282">
        <v>3</v>
      </c>
      <c r="BX282">
        <v>15.41</v>
      </c>
      <c r="BZ282">
        <v>1</v>
      </c>
      <c r="CA282" t="s">
        <v>354</v>
      </c>
      <c r="CI282" s="5">
        <v>46186</v>
      </c>
      <c r="CJ282">
        <v>3</v>
      </c>
      <c r="CK282">
        <v>0</v>
      </c>
      <c r="CL282">
        <v>0</v>
      </c>
      <c r="CM282">
        <v>0</v>
      </c>
      <c r="CN282">
        <v>0</v>
      </c>
      <c r="CO282">
        <v>366</v>
      </c>
      <c r="CP282" t="s">
        <v>347</v>
      </c>
      <c r="CQ282" t="s">
        <v>348</v>
      </c>
    </row>
    <row r="283" spans="1:95">
      <c r="A283" s="5">
        <v>46188</v>
      </c>
      <c r="B283" t="s">
        <v>1368</v>
      </c>
      <c r="C283" t="s">
        <v>219</v>
      </c>
      <c r="D283" t="s">
        <v>1369</v>
      </c>
      <c r="E283" t="s">
        <v>415</v>
      </c>
      <c r="G283">
        <v>0</v>
      </c>
      <c r="H283">
        <v>-1</v>
      </c>
      <c r="O283" t="s">
        <v>338</v>
      </c>
      <c r="U283">
        <v>0</v>
      </c>
      <c r="V283">
        <v>0</v>
      </c>
      <c r="W283">
        <v>0</v>
      </c>
      <c r="X283">
        <v>0</v>
      </c>
      <c r="Y283" t="s">
        <v>359</v>
      </c>
      <c r="AB283">
        <v>0</v>
      </c>
      <c r="AC283">
        <v>0</v>
      </c>
      <c r="AE283">
        <v>-1</v>
      </c>
      <c r="AJ283" t="s">
        <v>342</v>
      </c>
      <c r="AK283" t="s">
        <v>343</v>
      </c>
      <c r="AM283">
        <v>0</v>
      </c>
      <c r="AN283">
        <v>0</v>
      </c>
      <c r="AQ283">
        <v>18.85</v>
      </c>
      <c r="AY283">
        <v>0</v>
      </c>
      <c r="BB283">
        <v>0</v>
      </c>
      <c r="BG283">
        <v>0</v>
      </c>
      <c r="BH283">
        <v>0</v>
      </c>
      <c r="CJ283">
        <v>0</v>
      </c>
      <c r="CK283">
        <v>0</v>
      </c>
      <c r="CL283">
        <v>0</v>
      </c>
      <c r="CM283">
        <v>0</v>
      </c>
      <c r="CN283">
        <v>0</v>
      </c>
      <c r="CO283">
        <v>0</v>
      </c>
      <c r="CP283" t="s">
        <v>347</v>
      </c>
      <c r="CQ283" t="s">
        <v>348</v>
      </c>
    </row>
    <row r="284" spans="1:95">
      <c r="A284" s="5">
        <v>46188</v>
      </c>
      <c r="B284" t="s">
        <v>1370</v>
      </c>
      <c r="C284" t="s">
        <v>1371</v>
      </c>
      <c r="D284" t="s">
        <v>1372</v>
      </c>
      <c r="E284" t="s">
        <v>1373</v>
      </c>
      <c r="F284" t="s">
        <v>337</v>
      </c>
      <c r="G284">
        <v>14</v>
      </c>
      <c r="H284">
        <v>0</v>
      </c>
      <c r="I284">
        <v>14</v>
      </c>
      <c r="J284">
        <v>0</v>
      </c>
      <c r="K284">
        <v>0</v>
      </c>
      <c r="L284">
        <v>0</v>
      </c>
      <c r="M284">
        <v>0</v>
      </c>
      <c r="N284">
        <v>0</v>
      </c>
      <c r="O284" t="s">
        <v>338</v>
      </c>
      <c r="P284">
        <v>3</v>
      </c>
      <c r="Q284">
        <v>20</v>
      </c>
      <c r="R284">
        <v>28</v>
      </c>
      <c r="S284">
        <v>39</v>
      </c>
      <c r="T284" t="s">
        <v>351</v>
      </c>
      <c r="U284">
        <v>30.99</v>
      </c>
      <c r="V284">
        <v>0</v>
      </c>
      <c r="W284">
        <v>23.99</v>
      </c>
      <c r="X284">
        <v>0</v>
      </c>
      <c r="Y284" t="s">
        <v>339</v>
      </c>
      <c r="AA284">
        <v>0</v>
      </c>
      <c r="AB284">
        <v>0</v>
      </c>
      <c r="AC284">
        <v>0</v>
      </c>
      <c r="AD284">
        <v>0</v>
      </c>
      <c r="AE284">
        <v>1.59</v>
      </c>
      <c r="AF284">
        <v>0.188653</v>
      </c>
      <c r="AG284" t="s">
        <v>340</v>
      </c>
      <c r="AH284" t="s">
        <v>341</v>
      </c>
      <c r="AI284">
        <v>2.641142</v>
      </c>
      <c r="AJ284" t="s">
        <v>342</v>
      </c>
      <c r="AK284" t="s">
        <v>652</v>
      </c>
      <c r="AL284">
        <v>292167</v>
      </c>
      <c r="AM284">
        <v>31</v>
      </c>
      <c r="AN284">
        <v>0</v>
      </c>
      <c r="AO284">
        <v>9</v>
      </c>
      <c r="AP284">
        <v>16</v>
      </c>
      <c r="AR284">
        <v>71.97</v>
      </c>
      <c r="AS284">
        <v>473.5</v>
      </c>
      <c r="AT284">
        <v>657.18</v>
      </c>
      <c r="AU284">
        <v>919.64</v>
      </c>
      <c r="AV284">
        <v>0</v>
      </c>
      <c r="AW284">
        <v>14</v>
      </c>
      <c r="AX284">
        <v>0</v>
      </c>
      <c r="AY284">
        <v>0</v>
      </c>
      <c r="AZ284">
        <v>0</v>
      </c>
      <c r="BA284">
        <v>1.39</v>
      </c>
      <c r="BB284">
        <v>35</v>
      </c>
      <c r="BC284">
        <v>35</v>
      </c>
      <c r="BD284">
        <v>0</v>
      </c>
      <c r="BE284">
        <v>0</v>
      </c>
      <c r="BG284">
        <v>0</v>
      </c>
      <c r="BH284">
        <v>0</v>
      </c>
      <c r="BY284">
        <v>61.6</v>
      </c>
      <c r="BZ284">
        <v>36</v>
      </c>
      <c r="CA284" t="s">
        <v>344</v>
      </c>
      <c r="CB284">
        <v>17</v>
      </c>
      <c r="CC284" s="5">
        <v>46194</v>
      </c>
      <c r="CD284" s="5">
        <v>46188</v>
      </c>
      <c r="CE284" t="s">
        <v>345</v>
      </c>
      <c r="CF284" t="s">
        <v>346</v>
      </c>
      <c r="CG284">
        <v>33.9</v>
      </c>
      <c r="CH284">
        <v>61.6</v>
      </c>
      <c r="CI284" s="5">
        <v>46186</v>
      </c>
      <c r="CJ284">
        <v>49</v>
      </c>
      <c r="CK284">
        <v>0</v>
      </c>
      <c r="CL284">
        <v>0</v>
      </c>
      <c r="CM284">
        <v>0</v>
      </c>
      <c r="CN284">
        <v>0</v>
      </c>
      <c r="CO284">
        <v>100</v>
      </c>
      <c r="CP284" t="s">
        <v>347</v>
      </c>
      <c r="CQ284" t="s">
        <v>348</v>
      </c>
    </row>
    <row r="285" spans="1:95">
      <c r="A285" s="5">
        <v>46188</v>
      </c>
      <c r="B285" t="s">
        <v>1374</v>
      </c>
      <c r="C285" t="s">
        <v>1375</v>
      </c>
      <c r="D285" t="s">
        <v>1376</v>
      </c>
      <c r="E285" t="s">
        <v>1377</v>
      </c>
      <c r="F285" t="s">
        <v>337</v>
      </c>
      <c r="G285">
        <v>37</v>
      </c>
      <c r="H285">
        <v>0</v>
      </c>
      <c r="I285">
        <v>39</v>
      </c>
      <c r="J285">
        <v>0</v>
      </c>
      <c r="K285">
        <v>0</v>
      </c>
      <c r="L285">
        <v>0</v>
      </c>
      <c r="M285">
        <v>0</v>
      </c>
      <c r="N285">
        <v>0</v>
      </c>
      <c r="O285" t="s">
        <v>338</v>
      </c>
      <c r="P285">
        <v>1</v>
      </c>
      <c r="Q285">
        <v>2</v>
      </c>
      <c r="R285">
        <v>11</v>
      </c>
      <c r="S285">
        <v>11</v>
      </c>
      <c r="T285" t="s">
        <v>351</v>
      </c>
      <c r="U285">
        <v>29.99</v>
      </c>
      <c r="V285">
        <v>0</v>
      </c>
      <c r="W285">
        <v>24.99</v>
      </c>
      <c r="X285">
        <v>0</v>
      </c>
      <c r="Y285" t="s">
        <v>359</v>
      </c>
      <c r="AA285">
        <v>0</v>
      </c>
      <c r="AB285">
        <v>0</v>
      </c>
      <c r="AC285">
        <v>0</v>
      </c>
      <c r="AD285">
        <v>0</v>
      </c>
      <c r="AE285">
        <v>0.62</v>
      </c>
      <c r="AF285">
        <v>0.15539</v>
      </c>
      <c r="AG285" t="s">
        <v>340</v>
      </c>
      <c r="AH285" t="s">
        <v>341</v>
      </c>
      <c r="AI285">
        <v>5.74943</v>
      </c>
      <c r="AJ285" t="s">
        <v>342</v>
      </c>
      <c r="AK285" t="s">
        <v>353</v>
      </c>
      <c r="AL285">
        <v>525023</v>
      </c>
      <c r="AM285">
        <v>188</v>
      </c>
      <c r="AN285">
        <v>0</v>
      </c>
      <c r="AO285">
        <v>74</v>
      </c>
      <c r="AP285">
        <v>43</v>
      </c>
      <c r="AQ285">
        <v>24.99</v>
      </c>
      <c r="AR285">
        <v>24.99</v>
      </c>
      <c r="AS285">
        <v>54.98</v>
      </c>
      <c r="AT285">
        <v>324.89</v>
      </c>
      <c r="AU285">
        <v>324.89</v>
      </c>
      <c r="AV285">
        <v>10</v>
      </c>
      <c r="AW285">
        <v>29</v>
      </c>
      <c r="AX285">
        <v>0</v>
      </c>
      <c r="AY285">
        <v>0</v>
      </c>
      <c r="AZ285">
        <v>0</v>
      </c>
      <c r="BA285">
        <v>4.16</v>
      </c>
      <c r="BB285">
        <v>0</v>
      </c>
      <c r="BC285">
        <v>0</v>
      </c>
      <c r="BD285">
        <v>0</v>
      </c>
      <c r="BE285">
        <v>0</v>
      </c>
      <c r="BG285">
        <v>0</v>
      </c>
      <c r="BH285">
        <v>0</v>
      </c>
      <c r="BY285">
        <v>129.5</v>
      </c>
      <c r="BZ285">
        <v>10</v>
      </c>
      <c r="CA285" t="s">
        <v>360</v>
      </c>
      <c r="CD285" s="5">
        <v>46188</v>
      </c>
      <c r="CE285" t="s">
        <v>345</v>
      </c>
      <c r="CF285" t="s">
        <v>346</v>
      </c>
      <c r="CG285">
        <v>102.7</v>
      </c>
      <c r="CH285">
        <v>129.5</v>
      </c>
      <c r="CI285" s="5">
        <v>46186</v>
      </c>
      <c r="CJ285">
        <v>39</v>
      </c>
      <c r="CK285">
        <v>2</v>
      </c>
      <c r="CL285">
        <v>0</v>
      </c>
      <c r="CM285">
        <v>0</v>
      </c>
      <c r="CN285">
        <v>0</v>
      </c>
      <c r="CO285">
        <v>188</v>
      </c>
      <c r="CP285" t="s">
        <v>347</v>
      </c>
      <c r="CQ285" t="s">
        <v>348</v>
      </c>
    </row>
    <row r="286" spans="1:95">
      <c r="A286" s="5">
        <v>46188</v>
      </c>
      <c r="B286" t="s">
        <v>1378</v>
      </c>
      <c r="C286" t="s">
        <v>1379</v>
      </c>
      <c r="D286" t="s">
        <v>1380</v>
      </c>
      <c r="G286">
        <v>0</v>
      </c>
      <c r="H286">
        <v>-1</v>
      </c>
      <c r="O286" t="s">
        <v>338</v>
      </c>
      <c r="U286">
        <v>0</v>
      </c>
      <c r="V286">
        <v>0</v>
      </c>
      <c r="W286">
        <v>0</v>
      </c>
      <c r="X286">
        <v>0</v>
      </c>
      <c r="Y286" t="s">
        <v>359</v>
      </c>
      <c r="AB286">
        <v>0</v>
      </c>
      <c r="AC286">
        <v>0</v>
      </c>
      <c r="AE286">
        <v>-1</v>
      </c>
      <c r="AJ286" t="s">
        <v>342</v>
      </c>
      <c r="AN286">
        <v>0</v>
      </c>
      <c r="AY286">
        <v>0</v>
      </c>
      <c r="BB286">
        <v>0</v>
      </c>
      <c r="BG286">
        <v>0</v>
      </c>
      <c r="BH286">
        <v>0</v>
      </c>
      <c r="CJ286">
        <v>0</v>
      </c>
      <c r="CK286">
        <v>0</v>
      </c>
      <c r="CL286">
        <v>0</v>
      </c>
      <c r="CM286">
        <v>0</v>
      </c>
      <c r="CN286">
        <v>0</v>
      </c>
      <c r="CP286" t="s">
        <v>347</v>
      </c>
      <c r="CQ286" t="s">
        <v>348</v>
      </c>
    </row>
    <row r="287" spans="1:95">
      <c r="A287" s="5">
        <v>46188</v>
      </c>
      <c r="B287" t="s">
        <v>1381</v>
      </c>
      <c r="C287" t="s">
        <v>1382</v>
      </c>
      <c r="D287" t="s">
        <v>1383</v>
      </c>
      <c r="E287" t="s">
        <v>1384</v>
      </c>
      <c r="F287" t="s">
        <v>337</v>
      </c>
      <c r="G287">
        <v>0</v>
      </c>
      <c r="H287">
        <v>-1</v>
      </c>
      <c r="O287" t="s">
        <v>338</v>
      </c>
      <c r="U287">
        <v>65.99</v>
      </c>
      <c r="V287">
        <v>0</v>
      </c>
      <c r="W287">
        <v>0</v>
      </c>
      <c r="X287">
        <v>0</v>
      </c>
      <c r="Y287" t="s">
        <v>372</v>
      </c>
      <c r="AB287">
        <v>0</v>
      </c>
      <c r="AC287">
        <v>0</v>
      </c>
      <c r="AE287">
        <v>-1</v>
      </c>
      <c r="AH287" t="s">
        <v>341</v>
      </c>
      <c r="AJ287" t="s">
        <v>342</v>
      </c>
      <c r="AK287" t="s">
        <v>353</v>
      </c>
      <c r="AN287">
        <v>0</v>
      </c>
      <c r="AQ287">
        <v>65.99</v>
      </c>
      <c r="AY287">
        <v>0</v>
      </c>
      <c r="BB287">
        <v>15</v>
      </c>
      <c r="BC287">
        <v>15</v>
      </c>
      <c r="BD287">
        <v>0</v>
      </c>
      <c r="BE287">
        <v>0</v>
      </c>
      <c r="BG287">
        <v>0</v>
      </c>
      <c r="BH287">
        <v>0</v>
      </c>
      <c r="CJ287">
        <v>15</v>
      </c>
      <c r="CK287">
        <v>0</v>
      </c>
      <c r="CL287">
        <v>0</v>
      </c>
      <c r="CM287">
        <v>0</v>
      </c>
      <c r="CN287">
        <v>0</v>
      </c>
      <c r="CP287" t="s">
        <v>347</v>
      </c>
      <c r="CQ287" t="s">
        <v>348</v>
      </c>
    </row>
    <row r="288" spans="1:95">
      <c r="A288" s="5">
        <v>46188</v>
      </c>
      <c r="B288" t="s">
        <v>1385</v>
      </c>
      <c r="C288" t="s">
        <v>1386</v>
      </c>
      <c r="D288" t="s">
        <v>1387</v>
      </c>
      <c r="E288" t="s">
        <v>1388</v>
      </c>
      <c r="F288" t="s">
        <v>337</v>
      </c>
      <c r="G288">
        <v>20</v>
      </c>
      <c r="H288">
        <v>0</v>
      </c>
      <c r="I288">
        <v>20</v>
      </c>
      <c r="J288">
        <v>0</v>
      </c>
      <c r="K288">
        <v>0</v>
      </c>
      <c r="L288">
        <v>0</v>
      </c>
      <c r="M288">
        <v>0</v>
      </c>
      <c r="N288">
        <v>0</v>
      </c>
      <c r="O288" t="s">
        <v>338</v>
      </c>
      <c r="T288" t="s">
        <v>409</v>
      </c>
      <c r="U288">
        <v>39.99</v>
      </c>
      <c r="V288">
        <v>0</v>
      </c>
      <c r="W288">
        <v>21.99</v>
      </c>
      <c r="X288">
        <v>0</v>
      </c>
      <c r="Y288" t="s">
        <v>391</v>
      </c>
      <c r="AA288">
        <v>0</v>
      </c>
      <c r="AB288">
        <v>0</v>
      </c>
      <c r="AC288">
        <v>0</v>
      </c>
      <c r="AD288">
        <v>12.18</v>
      </c>
      <c r="AE288">
        <v>0</v>
      </c>
      <c r="AF288">
        <v>0.110773</v>
      </c>
      <c r="AG288" t="s">
        <v>340</v>
      </c>
      <c r="AH288" t="s">
        <v>341</v>
      </c>
      <c r="AI288">
        <v>2.21546</v>
      </c>
      <c r="AJ288" t="s">
        <v>342</v>
      </c>
      <c r="AK288" t="s">
        <v>353</v>
      </c>
      <c r="AL288">
        <v>206385</v>
      </c>
      <c r="AM288">
        <v>29</v>
      </c>
      <c r="AN288">
        <v>0</v>
      </c>
      <c r="AQ288">
        <v>21.99</v>
      </c>
      <c r="AV288">
        <v>0</v>
      </c>
      <c r="AW288">
        <v>20</v>
      </c>
      <c r="AX288">
        <v>0</v>
      </c>
      <c r="AY288">
        <v>0</v>
      </c>
      <c r="AZ288">
        <v>0</v>
      </c>
      <c r="BA288">
        <v>1.58</v>
      </c>
      <c r="BB288">
        <v>0</v>
      </c>
      <c r="BC288">
        <v>0</v>
      </c>
      <c r="BD288">
        <v>0</v>
      </c>
      <c r="BE288">
        <v>0</v>
      </c>
      <c r="BG288">
        <v>0</v>
      </c>
      <c r="BH288">
        <v>0</v>
      </c>
      <c r="CB288">
        <v>9</v>
      </c>
      <c r="CC288" s="5">
        <v>46194</v>
      </c>
      <c r="CI288" s="5">
        <v>46186</v>
      </c>
      <c r="CJ288">
        <v>20</v>
      </c>
      <c r="CK288">
        <v>0</v>
      </c>
      <c r="CL288">
        <v>0</v>
      </c>
      <c r="CM288">
        <v>0</v>
      </c>
      <c r="CN288">
        <v>0</v>
      </c>
      <c r="CO288">
        <v>29</v>
      </c>
      <c r="CP288" t="s">
        <v>347</v>
      </c>
      <c r="CQ288" t="s">
        <v>348</v>
      </c>
    </row>
    <row r="289" spans="1:95">
      <c r="A289" s="5">
        <v>46188</v>
      </c>
      <c r="B289" t="s">
        <v>1389</v>
      </c>
      <c r="C289" t="s">
        <v>1390</v>
      </c>
      <c r="D289" t="s">
        <v>1391</v>
      </c>
      <c r="E289" t="s">
        <v>1392</v>
      </c>
      <c r="G289">
        <v>0</v>
      </c>
      <c r="H289">
        <v>-1</v>
      </c>
      <c r="O289" t="s">
        <v>338</v>
      </c>
      <c r="U289">
        <v>0</v>
      </c>
      <c r="V289">
        <v>0</v>
      </c>
      <c r="W289">
        <v>0</v>
      </c>
      <c r="X289">
        <v>0</v>
      </c>
      <c r="Y289" t="s">
        <v>359</v>
      </c>
      <c r="AB289">
        <v>0</v>
      </c>
      <c r="AC289">
        <v>0</v>
      </c>
      <c r="AE289">
        <v>-1</v>
      </c>
      <c r="AH289" t="s">
        <v>341</v>
      </c>
      <c r="AJ289" t="s">
        <v>342</v>
      </c>
      <c r="AK289" t="s">
        <v>353</v>
      </c>
      <c r="AN289">
        <v>0</v>
      </c>
      <c r="AQ289">
        <v>47.99</v>
      </c>
      <c r="AY289">
        <v>0</v>
      </c>
      <c r="BB289">
        <v>0</v>
      </c>
      <c r="BC289">
        <v>0</v>
      </c>
      <c r="BD289">
        <v>0</v>
      </c>
      <c r="BE289">
        <v>0</v>
      </c>
      <c r="BG289">
        <v>0</v>
      </c>
      <c r="BH289">
        <v>0</v>
      </c>
      <c r="CJ289">
        <v>0</v>
      </c>
      <c r="CK289">
        <v>0</v>
      </c>
      <c r="CL289">
        <v>0</v>
      </c>
      <c r="CM289">
        <v>0</v>
      </c>
      <c r="CN289">
        <v>0</v>
      </c>
      <c r="CP289" t="s">
        <v>347</v>
      </c>
      <c r="CQ289" t="s">
        <v>348</v>
      </c>
    </row>
    <row r="290" spans="1:95">
      <c r="A290" s="5">
        <v>46188</v>
      </c>
      <c r="B290" t="s">
        <v>1393</v>
      </c>
      <c r="C290" t="s">
        <v>1394</v>
      </c>
      <c r="D290" t="s">
        <v>1395</v>
      </c>
      <c r="E290" t="s">
        <v>1396</v>
      </c>
      <c r="F290" t="s">
        <v>337</v>
      </c>
      <c r="G290">
        <v>0</v>
      </c>
      <c r="H290">
        <v>0</v>
      </c>
      <c r="I290">
        <v>1</v>
      </c>
      <c r="J290">
        <v>0</v>
      </c>
      <c r="K290">
        <v>0</v>
      </c>
      <c r="L290">
        <v>0</v>
      </c>
      <c r="M290">
        <v>0</v>
      </c>
      <c r="N290">
        <v>0</v>
      </c>
      <c r="O290" t="s">
        <v>338</v>
      </c>
      <c r="P290">
        <v>10</v>
      </c>
      <c r="Q290">
        <v>52</v>
      </c>
      <c r="R290">
        <v>71</v>
      </c>
      <c r="S290">
        <v>119</v>
      </c>
      <c r="U290">
        <v>19.99</v>
      </c>
      <c r="V290">
        <v>0</v>
      </c>
      <c r="W290">
        <v>19.99</v>
      </c>
      <c r="X290">
        <v>0</v>
      </c>
      <c r="Y290" t="s">
        <v>359</v>
      </c>
      <c r="AB290">
        <v>0</v>
      </c>
      <c r="AC290">
        <v>0</v>
      </c>
      <c r="AE290">
        <v>4.45</v>
      </c>
      <c r="AF290">
        <v>0.058681</v>
      </c>
      <c r="AG290" t="s">
        <v>340</v>
      </c>
      <c r="AH290" t="s">
        <v>341</v>
      </c>
      <c r="AI290">
        <v>0</v>
      </c>
      <c r="AJ290" t="s">
        <v>342</v>
      </c>
      <c r="AK290" t="s">
        <v>353</v>
      </c>
      <c r="AL290">
        <v>9437</v>
      </c>
      <c r="AM290">
        <v>27</v>
      </c>
      <c r="AN290">
        <v>0</v>
      </c>
      <c r="AO290">
        <v>11</v>
      </c>
      <c r="AP290">
        <v>15</v>
      </c>
      <c r="AQ290">
        <v>13.99</v>
      </c>
      <c r="AR290">
        <v>146.9</v>
      </c>
      <c r="AS290">
        <v>776.38</v>
      </c>
      <c r="AT290">
        <v>1071.19</v>
      </c>
      <c r="AU290">
        <v>1790.71</v>
      </c>
      <c r="AV290">
        <v>0</v>
      </c>
      <c r="AW290">
        <v>1</v>
      </c>
      <c r="AX290">
        <v>0</v>
      </c>
      <c r="AY290">
        <v>0</v>
      </c>
      <c r="AZ290">
        <v>0</v>
      </c>
      <c r="BB290">
        <v>143</v>
      </c>
      <c r="BC290">
        <v>119</v>
      </c>
      <c r="BD290">
        <v>24</v>
      </c>
      <c r="BE290">
        <v>0</v>
      </c>
      <c r="BG290">
        <v>0</v>
      </c>
      <c r="BH290">
        <v>0</v>
      </c>
      <c r="BY290">
        <v>21.6</v>
      </c>
      <c r="BZ290">
        <v>99</v>
      </c>
      <c r="CA290" t="s">
        <v>429</v>
      </c>
      <c r="CB290">
        <v>81</v>
      </c>
      <c r="CC290" s="5">
        <v>46195</v>
      </c>
      <c r="CD290" s="5">
        <v>46188</v>
      </c>
      <c r="CE290" t="s">
        <v>345</v>
      </c>
      <c r="CF290" t="s">
        <v>346</v>
      </c>
      <c r="CG290">
        <v>16.9</v>
      </c>
      <c r="CH290">
        <v>21.6</v>
      </c>
      <c r="CI290" s="5">
        <v>46186</v>
      </c>
      <c r="CJ290">
        <v>143</v>
      </c>
      <c r="CK290">
        <v>0</v>
      </c>
      <c r="CL290">
        <v>0</v>
      </c>
      <c r="CM290">
        <v>0</v>
      </c>
      <c r="CN290">
        <v>0</v>
      </c>
      <c r="CO290">
        <v>135</v>
      </c>
      <c r="CP290" t="s">
        <v>347</v>
      </c>
      <c r="CQ290" t="s">
        <v>348</v>
      </c>
    </row>
    <row r="291" spans="1:95">
      <c r="A291" s="5">
        <v>46188</v>
      </c>
      <c r="B291" t="s">
        <v>1397</v>
      </c>
      <c r="C291" t="s">
        <v>119</v>
      </c>
      <c r="D291" t="s">
        <v>1398</v>
      </c>
      <c r="E291" t="s">
        <v>1399</v>
      </c>
      <c r="G291">
        <v>0</v>
      </c>
      <c r="H291">
        <v>-1</v>
      </c>
      <c r="O291" t="s">
        <v>338</v>
      </c>
      <c r="P291">
        <v>0</v>
      </c>
      <c r="Q291">
        <v>0</v>
      </c>
      <c r="R291">
        <v>0</v>
      </c>
      <c r="S291">
        <v>0</v>
      </c>
      <c r="U291">
        <v>0</v>
      </c>
      <c r="V291">
        <v>0</v>
      </c>
      <c r="W291">
        <v>0</v>
      </c>
      <c r="X291">
        <v>0</v>
      </c>
      <c r="Y291" t="s">
        <v>359</v>
      </c>
      <c r="AB291">
        <v>0</v>
      </c>
      <c r="AC291">
        <v>0</v>
      </c>
      <c r="AE291">
        <v>-1</v>
      </c>
      <c r="AH291" t="s">
        <v>341</v>
      </c>
      <c r="AJ291" t="s">
        <v>342</v>
      </c>
      <c r="AK291" t="s">
        <v>353</v>
      </c>
      <c r="AM291">
        <v>0</v>
      </c>
      <c r="AN291">
        <v>0</v>
      </c>
      <c r="AQ291">
        <v>26.99</v>
      </c>
      <c r="AR291">
        <v>0</v>
      </c>
      <c r="AS291">
        <v>0</v>
      </c>
      <c r="AT291">
        <v>0</v>
      </c>
      <c r="AU291">
        <v>0</v>
      </c>
      <c r="AY291">
        <v>0</v>
      </c>
      <c r="BB291">
        <v>0</v>
      </c>
      <c r="BC291">
        <v>0</v>
      </c>
      <c r="BD291">
        <v>0</v>
      </c>
      <c r="BE291">
        <v>0</v>
      </c>
      <c r="BG291">
        <v>0</v>
      </c>
      <c r="BH291">
        <v>2</v>
      </c>
      <c r="BZ291">
        <v>1</v>
      </c>
      <c r="CA291" t="s">
        <v>429</v>
      </c>
      <c r="CJ291">
        <v>0</v>
      </c>
      <c r="CK291">
        <v>0</v>
      </c>
      <c r="CL291">
        <v>0</v>
      </c>
      <c r="CM291">
        <v>0</v>
      </c>
      <c r="CN291">
        <v>0</v>
      </c>
      <c r="CO291">
        <v>0</v>
      </c>
      <c r="CP291" t="s">
        <v>347</v>
      </c>
      <c r="CQ291" t="s">
        <v>348</v>
      </c>
    </row>
    <row r="292" spans="1:95">
      <c r="A292" s="5">
        <v>46188</v>
      </c>
      <c r="B292" t="s">
        <v>1400</v>
      </c>
      <c r="C292" t="s">
        <v>1401</v>
      </c>
      <c r="D292" t="s">
        <v>1402</v>
      </c>
      <c r="E292" t="s">
        <v>1403</v>
      </c>
      <c r="F292" t="s">
        <v>337</v>
      </c>
      <c r="G292">
        <v>25</v>
      </c>
      <c r="H292">
        <v>0</v>
      </c>
      <c r="I292">
        <v>25</v>
      </c>
      <c r="J292">
        <v>0</v>
      </c>
      <c r="K292">
        <v>0</v>
      </c>
      <c r="L292">
        <v>0</v>
      </c>
      <c r="M292">
        <v>0</v>
      </c>
      <c r="N292">
        <v>0</v>
      </c>
      <c r="O292" t="s">
        <v>338</v>
      </c>
      <c r="T292" t="s">
        <v>351</v>
      </c>
      <c r="U292">
        <v>19.99</v>
      </c>
      <c r="V292">
        <v>0</v>
      </c>
      <c r="W292">
        <v>19.99</v>
      </c>
      <c r="X292">
        <v>0</v>
      </c>
      <c r="Y292" t="s">
        <v>339</v>
      </c>
      <c r="AA292">
        <v>0</v>
      </c>
      <c r="AB292">
        <v>0</v>
      </c>
      <c r="AC292">
        <v>0</v>
      </c>
      <c r="AD292">
        <v>53.81</v>
      </c>
      <c r="AE292">
        <v>0.72</v>
      </c>
      <c r="AF292">
        <v>0.0649</v>
      </c>
      <c r="AG292" t="s">
        <v>340</v>
      </c>
      <c r="AH292" t="s">
        <v>341</v>
      </c>
      <c r="AI292">
        <v>1.6225</v>
      </c>
      <c r="AJ292" t="s">
        <v>342</v>
      </c>
      <c r="AK292" t="s">
        <v>353</v>
      </c>
      <c r="AL292">
        <v>238733</v>
      </c>
      <c r="AM292">
        <v>163</v>
      </c>
      <c r="AN292">
        <v>0</v>
      </c>
      <c r="AQ292">
        <v>16.99</v>
      </c>
      <c r="AV292">
        <v>1</v>
      </c>
      <c r="AW292">
        <v>24</v>
      </c>
      <c r="AX292">
        <v>0</v>
      </c>
      <c r="AY292">
        <v>0</v>
      </c>
      <c r="AZ292">
        <v>0</v>
      </c>
      <c r="BA292">
        <v>5.11</v>
      </c>
      <c r="BB292">
        <v>25</v>
      </c>
      <c r="BC292">
        <v>25</v>
      </c>
      <c r="BD292">
        <v>0</v>
      </c>
      <c r="BE292">
        <v>0</v>
      </c>
      <c r="BG292">
        <v>0</v>
      </c>
      <c r="BH292">
        <v>0</v>
      </c>
      <c r="BY292">
        <v>158.6</v>
      </c>
      <c r="BZ292">
        <v>13</v>
      </c>
      <c r="CA292" t="s">
        <v>360</v>
      </c>
      <c r="CD292" s="5">
        <v>46188</v>
      </c>
      <c r="CE292" t="s">
        <v>345</v>
      </c>
      <c r="CF292" t="s">
        <v>346</v>
      </c>
      <c r="CG292">
        <v>158.6</v>
      </c>
      <c r="CH292">
        <v>107.5</v>
      </c>
      <c r="CI292" s="5">
        <v>46186</v>
      </c>
      <c r="CJ292">
        <v>50</v>
      </c>
      <c r="CK292">
        <v>0</v>
      </c>
      <c r="CL292">
        <v>0</v>
      </c>
      <c r="CM292">
        <v>0</v>
      </c>
      <c r="CN292">
        <v>0</v>
      </c>
      <c r="CO292">
        <v>269</v>
      </c>
      <c r="CP292" t="s">
        <v>347</v>
      </c>
      <c r="CQ292" t="s">
        <v>348</v>
      </c>
    </row>
    <row r="293" spans="1:95">
      <c r="A293" s="5">
        <v>46188</v>
      </c>
      <c r="B293" t="s">
        <v>1404</v>
      </c>
      <c r="C293" t="s">
        <v>1405</v>
      </c>
      <c r="D293" t="s">
        <v>1406</v>
      </c>
      <c r="E293" t="s">
        <v>1407</v>
      </c>
      <c r="F293" t="s">
        <v>337</v>
      </c>
      <c r="G293">
        <v>38</v>
      </c>
      <c r="H293">
        <v>0</v>
      </c>
      <c r="I293">
        <v>41</v>
      </c>
      <c r="J293">
        <v>0</v>
      </c>
      <c r="K293">
        <v>0</v>
      </c>
      <c r="L293">
        <v>0</v>
      </c>
      <c r="M293">
        <v>0</v>
      </c>
      <c r="N293">
        <v>0</v>
      </c>
      <c r="O293" t="s">
        <v>338</v>
      </c>
      <c r="P293">
        <v>8</v>
      </c>
      <c r="Q293">
        <v>13</v>
      </c>
      <c r="R293">
        <v>25</v>
      </c>
      <c r="S293">
        <v>34</v>
      </c>
      <c r="U293">
        <v>23.99</v>
      </c>
      <c r="V293">
        <v>14.49</v>
      </c>
      <c r="W293">
        <v>14.49</v>
      </c>
      <c r="X293">
        <v>0</v>
      </c>
      <c r="Y293" t="s">
        <v>359</v>
      </c>
      <c r="AB293">
        <v>0</v>
      </c>
      <c r="AC293">
        <v>0</v>
      </c>
      <c r="AE293">
        <v>1.56</v>
      </c>
      <c r="AF293">
        <v>0.017738</v>
      </c>
      <c r="AG293" t="s">
        <v>340</v>
      </c>
      <c r="AH293" t="s">
        <v>341</v>
      </c>
      <c r="AI293">
        <v>0.674044</v>
      </c>
      <c r="AJ293" t="s">
        <v>342</v>
      </c>
      <c r="AK293" t="s">
        <v>353</v>
      </c>
      <c r="AL293">
        <v>26497</v>
      </c>
      <c r="AM293">
        <v>134</v>
      </c>
      <c r="AN293">
        <v>0</v>
      </c>
      <c r="AO293">
        <v>11</v>
      </c>
      <c r="AP293">
        <v>14</v>
      </c>
      <c r="AQ293">
        <v>14.49</v>
      </c>
      <c r="AR293">
        <v>115.92</v>
      </c>
      <c r="AS293">
        <v>185.91</v>
      </c>
      <c r="AT293">
        <v>348.99</v>
      </c>
      <c r="AU293">
        <v>474.66</v>
      </c>
      <c r="AV293">
        <v>20</v>
      </c>
      <c r="AW293">
        <v>21</v>
      </c>
      <c r="AX293">
        <v>0</v>
      </c>
      <c r="AY293">
        <v>0</v>
      </c>
      <c r="AZ293">
        <v>0</v>
      </c>
      <c r="BB293">
        <v>0</v>
      </c>
      <c r="BC293">
        <v>0</v>
      </c>
      <c r="BD293">
        <v>0</v>
      </c>
      <c r="BE293">
        <v>0</v>
      </c>
      <c r="BG293">
        <v>1</v>
      </c>
      <c r="BH293">
        <v>0</v>
      </c>
      <c r="BY293">
        <v>114.3</v>
      </c>
      <c r="BZ293">
        <v>18</v>
      </c>
      <c r="CA293" t="s">
        <v>360</v>
      </c>
      <c r="CD293" s="5">
        <v>46188</v>
      </c>
      <c r="CE293" t="s">
        <v>345</v>
      </c>
      <c r="CF293" t="s">
        <v>346</v>
      </c>
      <c r="CG293">
        <v>114.3</v>
      </c>
      <c r="CH293">
        <v>77.2</v>
      </c>
      <c r="CI293" s="5">
        <v>46186</v>
      </c>
      <c r="CJ293">
        <v>40</v>
      </c>
      <c r="CK293">
        <v>2</v>
      </c>
      <c r="CL293">
        <v>0</v>
      </c>
      <c r="CM293">
        <v>1</v>
      </c>
      <c r="CN293">
        <v>0</v>
      </c>
      <c r="CO293">
        <v>137</v>
      </c>
      <c r="CQ293" t="s">
        <v>348</v>
      </c>
    </row>
    <row r="294" spans="1:95">
      <c r="A294" s="5">
        <v>46188</v>
      </c>
      <c r="B294" t="s">
        <v>1408</v>
      </c>
      <c r="C294" t="s">
        <v>28</v>
      </c>
      <c r="D294" t="s">
        <v>56</v>
      </c>
      <c r="E294" t="s">
        <v>1409</v>
      </c>
      <c r="F294" t="s">
        <v>337</v>
      </c>
      <c r="G294">
        <v>31</v>
      </c>
      <c r="H294">
        <v>-1</v>
      </c>
      <c r="O294" t="s">
        <v>338</v>
      </c>
      <c r="P294">
        <v>0</v>
      </c>
      <c r="Q294">
        <v>0</v>
      </c>
      <c r="R294">
        <v>0</v>
      </c>
      <c r="S294">
        <v>1</v>
      </c>
      <c r="U294">
        <v>39.99</v>
      </c>
      <c r="V294">
        <v>0</v>
      </c>
      <c r="W294">
        <v>0</v>
      </c>
      <c r="X294">
        <v>0</v>
      </c>
      <c r="Y294" t="s">
        <v>372</v>
      </c>
      <c r="AA294">
        <v>0</v>
      </c>
      <c r="AB294">
        <v>0</v>
      </c>
      <c r="AC294">
        <v>0</v>
      </c>
      <c r="AD294">
        <v>1216.3</v>
      </c>
      <c r="AE294">
        <v>-1</v>
      </c>
      <c r="AH294" t="s">
        <v>341</v>
      </c>
      <c r="AJ294" t="s">
        <v>342</v>
      </c>
      <c r="AK294" t="s">
        <v>353</v>
      </c>
      <c r="AL294">
        <v>803551</v>
      </c>
      <c r="AM294">
        <v>366</v>
      </c>
      <c r="AN294">
        <v>0</v>
      </c>
      <c r="AP294">
        <v>403</v>
      </c>
      <c r="AQ294">
        <v>33.99</v>
      </c>
      <c r="AR294">
        <v>0</v>
      </c>
      <c r="AS294">
        <v>0</v>
      </c>
      <c r="AT294">
        <v>0</v>
      </c>
      <c r="AU294">
        <v>33.99</v>
      </c>
      <c r="AY294">
        <v>0</v>
      </c>
      <c r="BA294">
        <v>5.09</v>
      </c>
      <c r="BB294">
        <v>0</v>
      </c>
      <c r="BC294">
        <v>0</v>
      </c>
      <c r="BD294">
        <v>0</v>
      </c>
      <c r="BE294">
        <v>0</v>
      </c>
      <c r="BG294">
        <v>0</v>
      </c>
      <c r="BH294">
        <v>0</v>
      </c>
      <c r="BZ294">
        <v>3</v>
      </c>
      <c r="CA294" t="s">
        <v>360</v>
      </c>
      <c r="CH294">
        <v>2816</v>
      </c>
      <c r="CJ294">
        <v>31</v>
      </c>
      <c r="CK294">
        <v>0</v>
      </c>
      <c r="CL294">
        <v>0</v>
      </c>
      <c r="CM294">
        <v>0</v>
      </c>
      <c r="CN294">
        <v>0</v>
      </c>
      <c r="CO294">
        <v>366</v>
      </c>
      <c r="CP294" t="s">
        <v>347</v>
      </c>
      <c r="CQ294" t="s">
        <v>348</v>
      </c>
    </row>
    <row r="295" spans="1:95">
      <c r="A295" s="5">
        <v>46188</v>
      </c>
      <c r="B295" t="s">
        <v>1410</v>
      </c>
      <c r="C295" t="s">
        <v>1411</v>
      </c>
      <c r="D295" t="s">
        <v>1412</v>
      </c>
      <c r="E295" t="s">
        <v>1413</v>
      </c>
      <c r="F295" t="s">
        <v>337</v>
      </c>
      <c r="G295">
        <v>31</v>
      </c>
      <c r="H295">
        <v>0</v>
      </c>
      <c r="I295">
        <v>0</v>
      </c>
      <c r="J295">
        <v>31</v>
      </c>
      <c r="K295">
        <v>0</v>
      </c>
      <c r="L295">
        <v>0</v>
      </c>
      <c r="M295">
        <v>0</v>
      </c>
      <c r="N295">
        <v>0</v>
      </c>
      <c r="O295" t="s">
        <v>338</v>
      </c>
      <c r="P295">
        <v>1</v>
      </c>
      <c r="Q295">
        <v>1</v>
      </c>
      <c r="R295">
        <v>2</v>
      </c>
      <c r="S295">
        <v>9</v>
      </c>
      <c r="T295" t="s">
        <v>351</v>
      </c>
      <c r="U295">
        <v>30.99</v>
      </c>
      <c r="V295">
        <v>25.49</v>
      </c>
      <c r="W295">
        <v>25.49</v>
      </c>
      <c r="X295">
        <v>0</v>
      </c>
      <c r="Y295" t="s">
        <v>339</v>
      </c>
      <c r="AA295">
        <v>0</v>
      </c>
      <c r="AB295">
        <v>0</v>
      </c>
      <c r="AC295">
        <v>0</v>
      </c>
      <c r="AD295">
        <v>0</v>
      </c>
      <c r="AE295">
        <v>0.26</v>
      </c>
      <c r="AF295">
        <v>0.210566</v>
      </c>
      <c r="AG295" t="s">
        <v>340</v>
      </c>
      <c r="AH295" t="s">
        <v>341</v>
      </c>
      <c r="AI295">
        <v>6.527546</v>
      </c>
      <c r="AJ295" t="s">
        <v>342</v>
      </c>
      <c r="AK295" t="s">
        <v>353</v>
      </c>
      <c r="AL295">
        <v>359544</v>
      </c>
      <c r="AM295">
        <v>174</v>
      </c>
      <c r="AN295">
        <v>0</v>
      </c>
      <c r="AO295">
        <v>124</v>
      </c>
      <c r="AP295">
        <v>44</v>
      </c>
      <c r="AQ295">
        <v>25.49</v>
      </c>
      <c r="AR295">
        <v>25.49</v>
      </c>
      <c r="AS295">
        <v>25.49</v>
      </c>
      <c r="AT295">
        <v>50.48</v>
      </c>
      <c r="AU295">
        <v>246.91</v>
      </c>
      <c r="AV295">
        <v>0</v>
      </c>
      <c r="AW295">
        <v>0</v>
      </c>
      <c r="AX295">
        <v>0</v>
      </c>
      <c r="AY295">
        <v>0</v>
      </c>
      <c r="AZ295">
        <v>0</v>
      </c>
      <c r="BA295">
        <v>4.67</v>
      </c>
      <c r="BB295">
        <v>0</v>
      </c>
      <c r="BC295">
        <v>0</v>
      </c>
      <c r="BD295">
        <v>0</v>
      </c>
      <c r="BE295">
        <v>0</v>
      </c>
      <c r="BG295">
        <v>0</v>
      </c>
      <c r="BH295">
        <v>0</v>
      </c>
      <c r="BY295">
        <v>954</v>
      </c>
      <c r="BZ295">
        <v>9</v>
      </c>
      <c r="CA295" t="s">
        <v>360</v>
      </c>
      <c r="CD295" s="5">
        <v>46188</v>
      </c>
      <c r="CE295" t="s">
        <v>345</v>
      </c>
      <c r="CF295" t="s">
        <v>346</v>
      </c>
      <c r="CG295">
        <v>954</v>
      </c>
      <c r="CH295">
        <v>305</v>
      </c>
      <c r="CI295" s="5">
        <v>46186</v>
      </c>
      <c r="CJ295">
        <v>31</v>
      </c>
      <c r="CK295">
        <v>0</v>
      </c>
      <c r="CL295">
        <v>0</v>
      </c>
      <c r="CM295">
        <v>0</v>
      </c>
      <c r="CN295">
        <v>0</v>
      </c>
      <c r="CO295">
        <v>174</v>
      </c>
      <c r="CQ295" t="s">
        <v>348</v>
      </c>
    </row>
    <row r="296" spans="1:95">
      <c r="A296" s="5">
        <v>46188</v>
      </c>
      <c r="B296" t="s">
        <v>1414</v>
      </c>
      <c r="C296" t="s">
        <v>1415</v>
      </c>
      <c r="D296" t="s">
        <v>1416</v>
      </c>
      <c r="E296" t="s">
        <v>1417</v>
      </c>
      <c r="F296" t="s">
        <v>337</v>
      </c>
      <c r="G296">
        <v>2</v>
      </c>
      <c r="H296">
        <v>0</v>
      </c>
      <c r="I296">
        <v>1</v>
      </c>
      <c r="J296">
        <v>1</v>
      </c>
      <c r="K296">
        <v>0</v>
      </c>
      <c r="L296">
        <v>0</v>
      </c>
      <c r="M296">
        <v>0</v>
      </c>
      <c r="N296">
        <v>0</v>
      </c>
      <c r="O296" t="s">
        <v>338</v>
      </c>
      <c r="P296">
        <v>0</v>
      </c>
      <c r="Q296">
        <v>3</v>
      </c>
      <c r="R296">
        <v>9</v>
      </c>
      <c r="S296">
        <v>13</v>
      </c>
      <c r="T296" t="s">
        <v>351</v>
      </c>
      <c r="U296">
        <v>35.99</v>
      </c>
      <c r="V296">
        <v>26.49</v>
      </c>
      <c r="W296">
        <v>26.49</v>
      </c>
      <c r="X296">
        <v>0</v>
      </c>
      <c r="Y296" t="s">
        <v>633</v>
      </c>
      <c r="AA296">
        <v>0</v>
      </c>
      <c r="AB296">
        <v>0</v>
      </c>
      <c r="AC296">
        <v>0</v>
      </c>
      <c r="AD296">
        <v>0</v>
      </c>
      <c r="AE296">
        <v>1.68</v>
      </c>
      <c r="AF296">
        <v>0.251852</v>
      </c>
      <c r="AG296" t="s">
        <v>340</v>
      </c>
      <c r="AH296" t="s">
        <v>341</v>
      </c>
      <c r="AI296">
        <v>0.503704</v>
      </c>
      <c r="AJ296" t="s">
        <v>342</v>
      </c>
      <c r="AK296" t="s">
        <v>353</v>
      </c>
      <c r="AL296">
        <v>292167</v>
      </c>
      <c r="AM296">
        <v>10</v>
      </c>
      <c r="AN296">
        <v>0</v>
      </c>
      <c r="AO296">
        <v>2</v>
      </c>
      <c r="AP296">
        <v>2</v>
      </c>
      <c r="AQ296">
        <v>26.49</v>
      </c>
      <c r="AR296">
        <v>0</v>
      </c>
      <c r="AS296">
        <v>76.65</v>
      </c>
      <c r="AT296">
        <v>244.71</v>
      </c>
      <c r="AU296">
        <v>367.07</v>
      </c>
      <c r="AV296">
        <v>0</v>
      </c>
      <c r="AW296">
        <v>1</v>
      </c>
      <c r="AX296">
        <v>0</v>
      </c>
      <c r="AY296">
        <v>0</v>
      </c>
      <c r="AZ296">
        <v>0</v>
      </c>
      <c r="BA296">
        <v>0.11</v>
      </c>
      <c r="BB296">
        <v>0</v>
      </c>
      <c r="BC296">
        <v>0</v>
      </c>
      <c r="BD296">
        <v>0</v>
      </c>
      <c r="BE296">
        <v>0</v>
      </c>
      <c r="BG296">
        <v>0</v>
      </c>
      <c r="BH296">
        <v>0</v>
      </c>
      <c r="BY296">
        <v>49.5</v>
      </c>
      <c r="BZ296">
        <v>7</v>
      </c>
      <c r="CA296" t="s">
        <v>344</v>
      </c>
      <c r="CB296">
        <v>20</v>
      </c>
      <c r="CC296" s="5">
        <v>46186</v>
      </c>
      <c r="CD296" s="5">
        <v>46188</v>
      </c>
      <c r="CE296" t="s">
        <v>345</v>
      </c>
      <c r="CF296" t="s">
        <v>346</v>
      </c>
      <c r="CG296">
        <v>28.7</v>
      </c>
      <c r="CH296">
        <v>49.5</v>
      </c>
      <c r="CI296" s="5">
        <v>46186</v>
      </c>
      <c r="CJ296">
        <v>2</v>
      </c>
      <c r="CK296">
        <v>0</v>
      </c>
      <c r="CL296">
        <v>0</v>
      </c>
      <c r="CM296">
        <v>0</v>
      </c>
      <c r="CN296">
        <v>0</v>
      </c>
      <c r="CO296">
        <v>10</v>
      </c>
      <c r="CP296" t="s">
        <v>347</v>
      </c>
      <c r="CQ296" t="s">
        <v>348</v>
      </c>
    </row>
    <row r="297" spans="1:95">
      <c r="A297" s="5">
        <v>46188</v>
      </c>
      <c r="B297" t="s">
        <v>1418</v>
      </c>
      <c r="C297" t="s">
        <v>1419</v>
      </c>
      <c r="D297" t="s">
        <v>1420</v>
      </c>
      <c r="E297" t="s">
        <v>1421</v>
      </c>
      <c r="F297" t="s">
        <v>337</v>
      </c>
      <c r="G297">
        <v>6</v>
      </c>
      <c r="H297">
        <v>0</v>
      </c>
      <c r="I297">
        <v>0</v>
      </c>
      <c r="J297">
        <v>0</v>
      </c>
      <c r="K297">
        <v>0</v>
      </c>
      <c r="L297">
        <v>3</v>
      </c>
      <c r="M297">
        <v>3</v>
      </c>
      <c r="N297">
        <v>0</v>
      </c>
      <c r="O297" t="s">
        <v>338</v>
      </c>
      <c r="P297">
        <v>0</v>
      </c>
      <c r="Q297">
        <v>0</v>
      </c>
      <c r="R297">
        <v>0</v>
      </c>
      <c r="S297">
        <v>0</v>
      </c>
      <c r="T297" t="s">
        <v>351</v>
      </c>
      <c r="U297">
        <v>23.99</v>
      </c>
      <c r="V297">
        <v>17.49</v>
      </c>
      <c r="W297">
        <v>17.49</v>
      </c>
      <c r="X297">
        <v>0</v>
      </c>
      <c r="Y297" t="s">
        <v>613</v>
      </c>
      <c r="AB297">
        <v>0</v>
      </c>
      <c r="AC297">
        <v>0</v>
      </c>
      <c r="AE297">
        <v>0</v>
      </c>
      <c r="AF297">
        <v>0.060764</v>
      </c>
      <c r="AG297" t="s">
        <v>340</v>
      </c>
      <c r="AH297" t="s">
        <v>341</v>
      </c>
      <c r="AI297">
        <v>0.364584</v>
      </c>
      <c r="AJ297" t="s">
        <v>342</v>
      </c>
      <c r="AK297" t="s">
        <v>353</v>
      </c>
      <c r="AL297">
        <v>238733</v>
      </c>
      <c r="AM297">
        <v>366</v>
      </c>
      <c r="AN297">
        <v>0</v>
      </c>
      <c r="AQ297">
        <v>17.49</v>
      </c>
      <c r="AR297">
        <v>0</v>
      </c>
      <c r="AS297">
        <v>0</v>
      </c>
      <c r="AT297">
        <v>0</v>
      </c>
      <c r="AU297">
        <v>0</v>
      </c>
      <c r="AV297">
        <v>0</v>
      </c>
      <c r="AW297">
        <v>0</v>
      </c>
      <c r="AX297">
        <v>0</v>
      </c>
      <c r="AY297">
        <v>1</v>
      </c>
      <c r="AZ297">
        <v>2</v>
      </c>
      <c r="BB297">
        <v>0</v>
      </c>
      <c r="BC297">
        <v>0</v>
      </c>
      <c r="BD297">
        <v>0</v>
      </c>
      <c r="BE297">
        <v>0</v>
      </c>
      <c r="BG297">
        <v>0</v>
      </c>
      <c r="BH297">
        <v>0</v>
      </c>
      <c r="BI297">
        <v>0</v>
      </c>
      <c r="BJ297">
        <v>0</v>
      </c>
      <c r="BK297">
        <v>0</v>
      </c>
      <c r="BL297">
        <v>0</v>
      </c>
      <c r="BM297">
        <v>0</v>
      </c>
      <c r="BN297">
        <v>0</v>
      </c>
      <c r="BO297">
        <v>0</v>
      </c>
      <c r="BP297">
        <v>0</v>
      </c>
      <c r="BQ297">
        <v>1</v>
      </c>
      <c r="BR297">
        <v>0.35</v>
      </c>
      <c r="BS297">
        <v>2</v>
      </c>
      <c r="BT297">
        <v>0.72</v>
      </c>
      <c r="BU297">
        <v>3</v>
      </c>
      <c r="BV297">
        <v>1.26</v>
      </c>
      <c r="BW297">
        <v>0</v>
      </c>
      <c r="BX297">
        <v>0</v>
      </c>
      <c r="BZ297">
        <v>1</v>
      </c>
      <c r="CA297" t="s">
        <v>360</v>
      </c>
      <c r="CI297" s="5">
        <v>46186</v>
      </c>
      <c r="CJ297">
        <v>6</v>
      </c>
      <c r="CK297">
        <v>0</v>
      </c>
      <c r="CL297">
        <v>0</v>
      </c>
      <c r="CM297">
        <v>0</v>
      </c>
      <c r="CN297">
        <v>0</v>
      </c>
      <c r="CO297">
        <v>366</v>
      </c>
      <c r="CP297" t="s">
        <v>347</v>
      </c>
      <c r="CQ297" t="s">
        <v>348</v>
      </c>
    </row>
    <row r="298" spans="1:95">
      <c r="A298" s="5">
        <v>46188</v>
      </c>
      <c r="B298" t="s">
        <v>1422</v>
      </c>
      <c r="C298" t="s">
        <v>1423</v>
      </c>
      <c r="D298" t="s">
        <v>1424</v>
      </c>
      <c r="E298" t="s">
        <v>1425</v>
      </c>
      <c r="F298" t="s">
        <v>337</v>
      </c>
      <c r="G298">
        <v>52</v>
      </c>
      <c r="H298">
        <v>-1</v>
      </c>
      <c r="O298" t="s">
        <v>338</v>
      </c>
      <c r="U298">
        <v>19.99</v>
      </c>
      <c r="V298">
        <v>0</v>
      </c>
      <c r="W298">
        <v>0</v>
      </c>
      <c r="X298">
        <v>0</v>
      </c>
      <c r="Y298" t="s">
        <v>372</v>
      </c>
      <c r="AA298">
        <v>0</v>
      </c>
      <c r="AB298">
        <v>0</v>
      </c>
      <c r="AC298">
        <v>0</v>
      </c>
      <c r="AD298">
        <v>0</v>
      </c>
      <c r="AE298">
        <v>-1</v>
      </c>
      <c r="AH298" t="s">
        <v>341</v>
      </c>
      <c r="AJ298" t="s">
        <v>342</v>
      </c>
      <c r="AK298" t="s">
        <v>465</v>
      </c>
      <c r="AL298">
        <v>405433</v>
      </c>
      <c r="AM298">
        <v>87</v>
      </c>
      <c r="AN298">
        <v>0</v>
      </c>
      <c r="AQ298">
        <v>14.99</v>
      </c>
      <c r="AY298">
        <v>0</v>
      </c>
      <c r="BA298">
        <v>3.25</v>
      </c>
      <c r="BB298">
        <v>30</v>
      </c>
      <c r="BC298">
        <v>30</v>
      </c>
      <c r="BD298">
        <v>0</v>
      </c>
      <c r="BE298">
        <v>0</v>
      </c>
      <c r="BG298">
        <v>0</v>
      </c>
      <c r="BH298">
        <v>0</v>
      </c>
      <c r="BY298">
        <v>156</v>
      </c>
      <c r="BZ298">
        <v>29</v>
      </c>
      <c r="CA298" t="s">
        <v>360</v>
      </c>
      <c r="CD298" s="5">
        <v>46188</v>
      </c>
      <c r="CE298" t="s">
        <v>345</v>
      </c>
      <c r="CF298" t="s">
        <v>346</v>
      </c>
      <c r="CG298">
        <v>133.9</v>
      </c>
      <c r="CH298">
        <v>156</v>
      </c>
      <c r="CJ298">
        <v>82</v>
      </c>
      <c r="CK298">
        <v>0</v>
      </c>
      <c r="CL298">
        <v>0</v>
      </c>
      <c r="CM298">
        <v>0</v>
      </c>
      <c r="CN298">
        <v>0</v>
      </c>
      <c r="CO298">
        <v>157</v>
      </c>
      <c r="CP298" t="s">
        <v>347</v>
      </c>
      <c r="CQ298" t="s">
        <v>348</v>
      </c>
    </row>
    <row r="299" spans="1:95">
      <c r="A299" s="5">
        <v>46188</v>
      </c>
      <c r="B299" t="s">
        <v>1426</v>
      </c>
      <c r="C299" t="s">
        <v>1427</v>
      </c>
      <c r="D299" t="s">
        <v>1428</v>
      </c>
      <c r="E299" t="s">
        <v>1429</v>
      </c>
      <c r="F299" t="s">
        <v>337</v>
      </c>
      <c r="G299">
        <v>0</v>
      </c>
      <c r="H299">
        <v>0</v>
      </c>
      <c r="I299">
        <v>0</v>
      </c>
      <c r="J299">
        <v>1</v>
      </c>
      <c r="K299">
        <v>0</v>
      </c>
      <c r="L299">
        <v>0</v>
      </c>
      <c r="M299">
        <v>0</v>
      </c>
      <c r="N299">
        <v>0</v>
      </c>
      <c r="O299" t="s">
        <v>338</v>
      </c>
      <c r="P299">
        <v>7</v>
      </c>
      <c r="Q299">
        <v>21</v>
      </c>
      <c r="R299">
        <v>40</v>
      </c>
      <c r="S299">
        <v>48</v>
      </c>
      <c r="U299">
        <v>30.99</v>
      </c>
      <c r="V299">
        <v>24.99</v>
      </c>
      <c r="W299">
        <v>24.99</v>
      </c>
      <c r="X299">
        <v>0</v>
      </c>
      <c r="Y299" t="s">
        <v>359</v>
      </c>
      <c r="AA299">
        <v>0</v>
      </c>
      <c r="AB299">
        <v>0</v>
      </c>
      <c r="AC299">
        <v>0</v>
      </c>
      <c r="AD299">
        <v>0</v>
      </c>
      <c r="AE299">
        <v>1.4</v>
      </c>
      <c r="AF299">
        <v>0.114277</v>
      </c>
      <c r="AG299" t="s">
        <v>340</v>
      </c>
      <c r="AH299" t="s">
        <v>341</v>
      </c>
      <c r="AI299">
        <v>0</v>
      </c>
      <c r="AJ299" t="s">
        <v>342</v>
      </c>
      <c r="AK299" t="s">
        <v>353</v>
      </c>
      <c r="AL299">
        <v>2409</v>
      </c>
      <c r="AM299">
        <v>29</v>
      </c>
      <c r="AN299">
        <v>0</v>
      </c>
      <c r="AO299">
        <v>12</v>
      </c>
      <c r="AP299">
        <v>17</v>
      </c>
      <c r="AQ299">
        <v>24.99</v>
      </c>
      <c r="AR299">
        <v>174.93</v>
      </c>
      <c r="AS299">
        <v>524.79</v>
      </c>
      <c r="AT299">
        <v>1035.6</v>
      </c>
      <c r="AU299">
        <v>1283.52</v>
      </c>
      <c r="AV299">
        <v>0</v>
      </c>
      <c r="AW299">
        <v>0</v>
      </c>
      <c r="AX299">
        <v>0</v>
      </c>
      <c r="AY299">
        <v>0</v>
      </c>
      <c r="AZ299">
        <v>0</v>
      </c>
      <c r="BA299">
        <v>2.06</v>
      </c>
      <c r="BB299">
        <v>66</v>
      </c>
      <c r="BC299">
        <v>30</v>
      </c>
      <c r="BD299">
        <v>36</v>
      </c>
      <c r="BE299">
        <v>0</v>
      </c>
      <c r="BG299">
        <v>0</v>
      </c>
      <c r="BH299">
        <v>0</v>
      </c>
      <c r="BY299">
        <v>70.6</v>
      </c>
      <c r="CB299">
        <v>44</v>
      </c>
      <c r="CC299" s="5">
        <v>46194</v>
      </c>
      <c r="CD299" s="5">
        <v>46188</v>
      </c>
      <c r="CE299" t="s">
        <v>345</v>
      </c>
      <c r="CF299" t="s">
        <v>346</v>
      </c>
      <c r="CG299">
        <v>26.6</v>
      </c>
      <c r="CH299">
        <v>70.6</v>
      </c>
      <c r="CI299" s="5">
        <v>46186</v>
      </c>
      <c r="CJ299">
        <v>66</v>
      </c>
      <c r="CK299">
        <v>0</v>
      </c>
      <c r="CL299">
        <v>0</v>
      </c>
      <c r="CM299">
        <v>0</v>
      </c>
      <c r="CN299">
        <v>0</v>
      </c>
      <c r="CO299">
        <v>42</v>
      </c>
      <c r="CP299" t="s">
        <v>347</v>
      </c>
      <c r="CQ299" t="s">
        <v>348</v>
      </c>
    </row>
    <row r="300" spans="1:95">
      <c r="A300" s="5">
        <v>46188</v>
      </c>
      <c r="B300" t="s">
        <v>1430</v>
      </c>
      <c r="C300" t="s">
        <v>1431</v>
      </c>
      <c r="D300" t="s">
        <v>1432</v>
      </c>
      <c r="E300" t="s">
        <v>1433</v>
      </c>
      <c r="G300">
        <v>0</v>
      </c>
      <c r="H300">
        <v>-1</v>
      </c>
      <c r="O300" t="s">
        <v>338</v>
      </c>
      <c r="U300">
        <v>0</v>
      </c>
      <c r="V300">
        <v>0</v>
      </c>
      <c r="W300">
        <v>0</v>
      </c>
      <c r="X300">
        <v>0</v>
      </c>
      <c r="Y300" t="s">
        <v>359</v>
      </c>
      <c r="AB300">
        <v>0</v>
      </c>
      <c r="AC300">
        <v>0</v>
      </c>
      <c r="AE300">
        <v>-1</v>
      </c>
      <c r="AH300" t="s">
        <v>341</v>
      </c>
      <c r="AJ300" t="s">
        <v>342</v>
      </c>
      <c r="AK300" t="s">
        <v>353</v>
      </c>
      <c r="AM300">
        <v>0</v>
      </c>
      <c r="AN300">
        <v>0</v>
      </c>
      <c r="AQ300">
        <v>9.99</v>
      </c>
      <c r="AY300">
        <v>0</v>
      </c>
      <c r="BB300">
        <v>0</v>
      </c>
      <c r="BC300">
        <v>0</v>
      </c>
      <c r="BD300">
        <v>0</v>
      </c>
      <c r="BE300">
        <v>0</v>
      </c>
      <c r="BG300">
        <v>0</v>
      </c>
      <c r="BH300">
        <v>0</v>
      </c>
      <c r="CJ300">
        <v>0</v>
      </c>
      <c r="CK300">
        <v>0</v>
      </c>
      <c r="CL300">
        <v>0</v>
      </c>
      <c r="CM300">
        <v>0</v>
      </c>
      <c r="CN300">
        <v>0</v>
      </c>
      <c r="CO300">
        <v>0</v>
      </c>
      <c r="CP300" t="s">
        <v>347</v>
      </c>
      <c r="CQ300" t="s">
        <v>348</v>
      </c>
    </row>
    <row r="301" spans="1:95">
      <c r="A301" s="5">
        <v>46188</v>
      </c>
      <c r="B301" t="s">
        <v>1434</v>
      </c>
      <c r="C301" t="s">
        <v>1435</v>
      </c>
      <c r="D301" t="s">
        <v>1436</v>
      </c>
      <c r="E301" t="s">
        <v>1437</v>
      </c>
      <c r="G301">
        <v>0</v>
      </c>
      <c r="H301">
        <v>-1</v>
      </c>
      <c r="O301" t="s">
        <v>338</v>
      </c>
      <c r="U301">
        <v>0</v>
      </c>
      <c r="V301">
        <v>0</v>
      </c>
      <c r="W301">
        <v>0</v>
      </c>
      <c r="X301">
        <v>0</v>
      </c>
      <c r="Y301" t="s">
        <v>359</v>
      </c>
      <c r="AB301">
        <v>0</v>
      </c>
      <c r="AC301">
        <v>0</v>
      </c>
      <c r="AE301">
        <v>-1</v>
      </c>
      <c r="AH301" t="s">
        <v>424</v>
      </c>
      <c r="AJ301" t="s">
        <v>342</v>
      </c>
      <c r="AK301" t="s">
        <v>465</v>
      </c>
      <c r="AN301">
        <v>0</v>
      </c>
      <c r="AQ301">
        <v>23.85</v>
      </c>
      <c r="AY301">
        <v>0</v>
      </c>
      <c r="BB301">
        <v>0</v>
      </c>
      <c r="BC301">
        <v>0</v>
      </c>
      <c r="BD301">
        <v>0</v>
      </c>
      <c r="BE301">
        <v>0</v>
      </c>
      <c r="BG301">
        <v>0</v>
      </c>
      <c r="BH301">
        <v>0</v>
      </c>
      <c r="CJ301">
        <v>0</v>
      </c>
      <c r="CK301">
        <v>0</v>
      </c>
      <c r="CL301">
        <v>0</v>
      </c>
      <c r="CM301">
        <v>0</v>
      </c>
      <c r="CN301">
        <v>0</v>
      </c>
      <c r="CP301" t="s">
        <v>347</v>
      </c>
      <c r="CQ301" t="s">
        <v>348</v>
      </c>
    </row>
    <row r="302" spans="1:95">
      <c r="A302" s="5">
        <v>46188</v>
      </c>
      <c r="B302" t="s">
        <v>1438</v>
      </c>
      <c r="C302" t="s">
        <v>1439</v>
      </c>
      <c r="D302" t="s">
        <v>1440</v>
      </c>
      <c r="E302" t="s">
        <v>1441</v>
      </c>
      <c r="G302">
        <v>0</v>
      </c>
      <c r="H302">
        <v>-1</v>
      </c>
      <c r="O302" t="s">
        <v>338</v>
      </c>
      <c r="U302">
        <v>0</v>
      </c>
      <c r="V302">
        <v>0</v>
      </c>
      <c r="W302">
        <v>0</v>
      </c>
      <c r="X302">
        <v>0</v>
      </c>
      <c r="Y302" t="s">
        <v>359</v>
      </c>
      <c r="AB302">
        <v>0</v>
      </c>
      <c r="AC302">
        <v>0</v>
      </c>
      <c r="AE302">
        <v>-1</v>
      </c>
      <c r="AH302" t="s">
        <v>341</v>
      </c>
      <c r="AJ302" t="s">
        <v>342</v>
      </c>
      <c r="AK302" t="s">
        <v>353</v>
      </c>
      <c r="AN302">
        <v>0</v>
      </c>
      <c r="AQ302">
        <v>15.99</v>
      </c>
      <c r="AY302">
        <v>0</v>
      </c>
      <c r="BB302">
        <v>0</v>
      </c>
      <c r="BC302">
        <v>0</v>
      </c>
      <c r="BD302">
        <v>0</v>
      </c>
      <c r="BE302">
        <v>0</v>
      </c>
      <c r="BG302">
        <v>0</v>
      </c>
      <c r="BH302">
        <v>0</v>
      </c>
      <c r="CJ302">
        <v>0</v>
      </c>
      <c r="CK302">
        <v>0</v>
      </c>
      <c r="CL302">
        <v>0</v>
      </c>
      <c r="CM302">
        <v>0</v>
      </c>
      <c r="CN302">
        <v>0</v>
      </c>
      <c r="CP302" t="s">
        <v>347</v>
      </c>
      <c r="CQ302" t="s">
        <v>348</v>
      </c>
    </row>
    <row r="303" spans="1:95">
      <c r="A303" s="5">
        <v>46188</v>
      </c>
      <c r="B303" t="s">
        <v>1442</v>
      </c>
      <c r="C303" t="s">
        <v>1443</v>
      </c>
      <c r="D303" t="s">
        <v>1444</v>
      </c>
      <c r="E303" t="s">
        <v>1445</v>
      </c>
      <c r="F303" t="s">
        <v>337</v>
      </c>
      <c r="G303">
        <v>5</v>
      </c>
      <c r="H303">
        <v>0</v>
      </c>
      <c r="I303">
        <v>6</v>
      </c>
      <c r="J303">
        <v>0</v>
      </c>
      <c r="K303">
        <v>0</v>
      </c>
      <c r="L303">
        <v>0</v>
      </c>
      <c r="M303">
        <v>0</v>
      </c>
      <c r="N303">
        <v>0</v>
      </c>
      <c r="O303" t="s">
        <v>338</v>
      </c>
      <c r="T303" t="s">
        <v>351</v>
      </c>
      <c r="U303">
        <v>42.99</v>
      </c>
      <c r="V303">
        <v>38.99</v>
      </c>
      <c r="W303">
        <v>38.99</v>
      </c>
      <c r="X303">
        <v>0</v>
      </c>
      <c r="Y303" t="s">
        <v>352</v>
      </c>
      <c r="AA303">
        <v>16.99</v>
      </c>
      <c r="AB303">
        <v>2</v>
      </c>
      <c r="AC303">
        <v>0</v>
      </c>
      <c r="AD303">
        <v>296.7</v>
      </c>
      <c r="AE303">
        <v>2</v>
      </c>
      <c r="AF303">
        <v>0.206589</v>
      </c>
      <c r="AG303" t="s">
        <v>340</v>
      </c>
      <c r="AH303" t="s">
        <v>341</v>
      </c>
      <c r="AI303">
        <v>1.032945</v>
      </c>
      <c r="AJ303" t="s">
        <v>342</v>
      </c>
      <c r="AK303" t="s">
        <v>343</v>
      </c>
      <c r="AL303">
        <v>1351087</v>
      </c>
      <c r="AM303">
        <v>67</v>
      </c>
      <c r="AN303">
        <v>0</v>
      </c>
      <c r="AQ303">
        <v>38.99</v>
      </c>
      <c r="AV303">
        <v>2</v>
      </c>
      <c r="AW303">
        <v>4</v>
      </c>
      <c r="AX303">
        <v>0</v>
      </c>
      <c r="AY303">
        <v>0</v>
      </c>
      <c r="AZ303">
        <v>0</v>
      </c>
      <c r="BA303">
        <v>0.74</v>
      </c>
      <c r="BB303">
        <v>5</v>
      </c>
      <c r="BC303">
        <v>5</v>
      </c>
      <c r="BD303">
        <v>0</v>
      </c>
      <c r="BE303">
        <v>0</v>
      </c>
      <c r="BG303">
        <v>0</v>
      </c>
      <c r="BH303">
        <v>0</v>
      </c>
      <c r="BY303">
        <v>53.5</v>
      </c>
      <c r="BZ303">
        <v>7</v>
      </c>
      <c r="CA303" t="s">
        <v>344</v>
      </c>
      <c r="CB303">
        <v>4</v>
      </c>
      <c r="CC303" s="5">
        <v>46194</v>
      </c>
      <c r="CD303" s="5">
        <v>46188</v>
      </c>
      <c r="CE303" t="s">
        <v>345</v>
      </c>
      <c r="CF303" t="s">
        <v>346</v>
      </c>
      <c r="CG303">
        <v>44.5</v>
      </c>
      <c r="CH303">
        <v>53.5</v>
      </c>
      <c r="CI303" s="5">
        <v>46186</v>
      </c>
      <c r="CJ303">
        <v>10</v>
      </c>
      <c r="CK303">
        <v>0</v>
      </c>
      <c r="CL303">
        <v>0</v>
      </c>
      <c r="CM303">
        <v>0</v>
      </c>
      <c r="CN303">
        <v>0</v>
      </c>
      <c r="CO303">
        <v>135</v>
      </c>
      <c r="CP303" t="s">
        <v>347</v>
      </c>
      <c r="CQ303" t="s">
        <v>348</v>
      </c>
    </row>
    <row r="304" spans="1:95">
      <c r="A304" s="5">
        <v>46188</v>
      </c>
      <c r="B304" t="s">
        <v>1446</v>
      </c>
      <c r="C304" t="s">
        <v>937</v>
      </c>
      <c r="D304" t="s">
        <v>1447</v>
      </c>
      <c r="E304" t="s">
        <v>939</v>
      </c>
      <c r="F304" t="s">
        <v>337</v>
      </c>
      <c r="G304">
        <v>13</v>
      </c>
      <c r="H304">
        <v>-1</v>
      </c>
      <c r="O304" t="s">
        <v>338</v>
      </c>
      <c r="P304">
        <v>0</v>
      </c>
      <c r="Q304">
        <v>0</v>
      </c>
      <c r="R304">
        <v>3</v>
      </c>
      <c r="S304">
        <v>5</v>
      </c>
      <c r="U304">
        <v>33.99</v>
      </c>
      <c r="V304">
        <v>0</v>
      </c>
      <c r="W304">
        <v>0</v>
      </c>
      <c r="X304">
        <v>0</v>
      </c>
      <c r="Y304" t="s">
        <v>464</v>
      </c>
      <c r="AA304">
        <v>0</v>
      </c>
      <c r="AB304">
        <v>0</v>
      </c>
      <c r="AC304">
        <v>0</v>
      </c>
      <c r="AD304">
        <v>0</v>
      </c>
      <c r="AE304">
        <v>-1</v>
      </c>
      <c r="AH304" t="s">
        <v>341</v>
      </c>
      <c r="AJ304" t="s">
        <v>342</v>
      </c>
      <c r="AK304" t="s">
        <v>353</v>
      </c>
      <c r="AL304">
        <v>359544</v>
      </c>
      <c r="AM304">
        <v>73</v>
      </c>
      <c r="AN304">
        <v>0</v>
      </c>
      <c r="AP304">
        <v>33</v>
      </c>
      <c r="AQ304">
        <v>33.99</v>
      </c>
      <c r="AR304">
        <v>0</v>
      </c>
      <c r="AS304">
        <v>0</v>
      </c>
      <c r="AT304">
        <v>101.97</v>
      </c>
      <c r="AU304">
        <v>169.95</v>
      </c>
      <c r="AY304">
        <v>0</v>
      </c>
      <c r="BA304">
        <v>1.97</v>
      </c>
      <c r="BB304">
        <v>0</v>
      </c>
      <c r="BC304">
        <v>0</v>
      </c>
      <c r="BD304">
        <v>0</v>
      </c>
      <c r="BE304">
        <v>0</v>
      </c>
      <c r="BG304">
        <v>0</v>
      </c>
      <c r="BH304">
        <v>0</v>
      </c>
      <c r="BY304">
        <v>391</v>
      </c>
      <c r="BZ304">
        <v>7</v>
      </c>
      <c r="CA304" t="s">
        <v>360</v>
      </c>
      <c r="CD304" s="5">
        <v>46188</v>
      </c>
      <c r="CE304" t="s">
        <v>345</v>
      </c>
      <c r="CF304" t="s">
        <v>346</v>
      </c>
      <c r="CG304">
        <v>391</v>
      </c>
      <c r="CH304">
        <v>270.8</v>
      </c>
      <c r="CJ304">
        <v>13</v>
      </c>
      <c r="CK304">
        <v>0</v>
      </c>
      <c r="CL304">
        <v>0</v>
      </c>
      <c r="CM304">
        <v>0</v>
      </c>
      <c r="CN304">
        <v>0</v>
      </c>
      <c r="CO304">
        <v>73</v>
      </c>
      <c r="CP304" t="s">
        <v>347</v>
      </c>
      <c r="CQ304" t="s">
        <v>348</v>
      </c>
    </row>
    <row r="305" spans="1:95">
      <c r="A305" s="5">
        <v>46188</v>
      </c>
      <c r="B305" t="s">
        <v>1448</v>
      </c>
      <c r="C305" t="s">
        <v>1449</v>
      </c>
      <c r="D305" t="s">
        <v>1450</v>
      </c>
      <c r="E305" t="s">
        <v>1451</v>
      </c>
      <c r="G305">
        <v>0</v>
      </c>
      <c r="H305">
        <v>-1</v>
      </c>
      <c r="O305" t="s">
        <v>338</v>
      </c>
      <c r="U305">
        <v>0</v>
      </c>
      <c r="V305">
        <v>0</v>
      </c>
      <c r="W305">
        <v>0</v>
      </c>
      <c r="X305">
        <v>0</v>
      </c>
      <c r="Y305" t="s">
        <v>359</v>
      </c>
      <c r="AB305">
        <v>0</v>
      </c>
      <c r="AC305">
        <v>0</v>
      </c>
      <c r="AE305">
        <v>-1</v>
      </c>
      <c r="AJ305" t="s">
        <v>342</v>
      </c>
      <c r="AK305" t="s">
        <v>353</v>
      </c>
      <c r="AN305">
        <v>0</v>
      </c>
      <c r="AY305">
        <v>0</v>
      </c>
      <c r="BB305">
        <v>0</v>
      </c>
      <c r="BG305">
        <v>0</v>
      </c>
      <c r="BH305">
        <v>0</v>
      </c>
      <c r="CJ305">
        <v>0</v>
      </c>
      <c r="CK305">
        <v>0</v>
      </c>
      <c r="CL305">
        <v>0</v>
      </c>
      <c r="CM305">
        <v>0</v>
      </c>
      <c r="CN305">
        <v>0</v>
      </c>
      <c r="CP305" t="s">
        <v>347</v>
      </c>
      <c r="CQ305" t="s">
        <v>348</v>
      </c>
    </row>
    <row r="306" spans="1:95">
      <c r="A306" s="5">
        <v>46188</v>
      </c>
      <c r="B306" t="s">
        <v>1452</v>
      </c>
      <c r="C306" t="s">
        <v>1453</v>
      </c>
      <c r="D306" t="s">
        <v>1454</v>
      </c>
      <c r="E306" t="s">
        <v>1455</v>
      </c>
      <c r="G306">
        <v>0</v>
      </c>
      <c r="H306">
        <v>-1</v>
      </c>
      <c r="O306" t="s">
        <v>338</v>
      </c>
      <c r="P306">
        <v>0</v>
      </c>
      <c r="Q306">
        <v>0</v>
      </c>
      <c r="R306">
        <v>0</v>
      </c>
      <c r="S306">
        <v>0</v>
      </c>
      <c r="U306">
        <v>0</v>
      </c>
      <c r="V306">
        <v>0</v>
      </c>
      <c r="W306">
        <v>0</v>
      </c>
      <c r="X306">
        <v>0</v>
      </c>
      <c r="Y306" t="s">
        <v>359</v>
      </c>
      <c r="AB306">
        <v>0</v>
      </c>
      <c r="AC306">
        <v>0</v>
      </c>
      <c r="AE306">
        <v>-1</v>
      </c>
      <c r="AH306" t="s">
        <v>341</v>
      </c>
      <c r="AJ306" t="s">
        <v>342</v>
      </c>
      <c r="AK306" t="s">
        <v>353</v>
      </c>
      <c r="AM306">
        <v>0</v>
      </c>
      <c r="AN306">
        <v>0</v>
      </c>
      <c r="AQ306">
        <v>56.69</v>
      </c>
      <c r="AR306">
        <v>0</v>
      </c>
      <c r="AS306">
        <v>0</v>
      </c>
      <c r="AT306">
        <v>0</v>
      </c>
      <c r="AU306">
        <v>0</v>
      </c>
      <c r="AY306">
        <v>0</v>
      </c>
      <c r="BB306">
        <v>0</v>
      </c>
      <c r="BC306">
        <v>0</v>
      </c>
      <c r="BD306">
        <v>0</v>
      </c>
      <c r="BE306">
        <v>0</v>
      </c>
      <c r="BG306">
        <v>0</v>
      </c>
      <c r="BH306">
        <v>0</v>
      </c>
      <c r="BZ306">
        <v>1</v>
      </c>
      <c r="CA306" t="s">
        <v>429</v>
      </c>
      <c r="CJ306">
        <v>0</v>
      </c>
      <c r="CK306">
        <v>0</v>
      </c>
      <c r="CL306">
        <v>0</v>
      </c>
      <c r="CM306">
        <v>0</v>
      </c>
      <c r="CN306">
        <v>0</v>
      </c>
      <c r="CO306">
        <v>0</v>
      </c>
      <c r="CP306" t="s">
        <v>347</v>
      </c>
      <c r="CQ306" t="s">
        <v>348</v>
      </c>
    </row>
    <row r="307" spans="1:95">
      <c r="A307" s="5">
        <v>46188</v>
      </c>
      <c r="B307" t="s">
        <v>1456</v>
      </c>
      <c r="C307" t="s">
        <v>1457</v>
      </c>
      <c r="D307" t="s">
        <v>1458</v>
      </c>
      <c r="E307" t="s">
        <v>1459</v>
      </c>
      <c r="G307">
        <v>0</v>
      </c>
      <c r="H307">
        <v>-1</v>
      </c>
      <c r="O307" t="s">
        <v>338</v>
      </c>
      <c r="U307">
        <v>0</v>
      </c>
      <c r="V307">
        <v>0</v>
      </c>
      <c r="W307">
        <v>0</v>
      </c>
      <c r="X307">
        <v>0</v>
      </c>
      <c r="Y307" t="s">
        <v>359</v>
      </c>
      <c r="AB307">
        <v>0</v>
      </c>
      <c r="AC307">
        <v>0</v>
      </c>
      <c r="AE307">
        <v>-1</v>
      </c>
      <c r="AH307" t="s">
        <v>341</v>
      </c>
      <c r="AJ307" t="s">
        <v>342</v>
      </c>
      <c r="AK307" t="s">
        <v>1460</v>
      </c>
      <c r="AN307">
        <v>0</v>
      </c>
      <c r="AQ307">
        <v>27.99</v>
      </c>
      <c r="AY307">
        <v>0</v>
      </c>
      <c r="BB307">
        <v>0</v>
      </c>
      <c r="BC307">
        <v>0</v>
      </c>
      <c r="BD307">
        <v>0</v>
      </c>
      <c r="BE307">
        <v>0</v>
      </c>
      <c r="BG307">
        <v>0</v>
      </c>
      <c r="BH307">
        <v>0</v>
      </c>
      <c r="CJ307">
        <v>0</v>
      </c>
      <c r="CK307">
        <v>0</v>
      </c>
      <c r="CL307">
        <v>0</v>
      </c>
      <c r="CM307">
        <v>0</v>
      </c>
      <c r="CN307">
        <v>0</v>
      </c>
      <c r="CP307" t="s">
        <v>347</v>
      </c>
      <c r="CQ307" t="s">
        <v>348</v>
      </c>
    </row>
    <row r="308" spans="1:95">
      <c r="A308" s="5">
        <v>46188</v>
      </c>
      <c r="B308" t="s">
        <v>1461</v>
      </c>
      <c r="C308" t="s">
        <v>29</v>
      </c>
      <c r="D308" t="s">
        <v>57</v>
      </c>
      <c r="E308" t="s">
        <v>1462</v>
      </c>
      <c r="F308" t="s">
        <v>337</v>
      </c>
      <c r="G308">
        <v>51</v>
      </c>
      <c r="H308">
        <v>0</v>
      </c>
      <c r="I308">
        <v>0</v>
      </c>
      <c r="J308">
        <v>0</v>
      </c>
      <c r="K308">
        <v>51</v>
      </c>
      <c r="L308">
        <v>0</v>
      </c>
      <c r="M308">
        <v>0</v>
      </c>
      <c r="N308">
        <v>0</v>
      </c>
      <c r="O308" t="s">
        <v>338</v>
      </c>
      <c r="P308">
        <v>0</v>
      </c>
      <c r="Q308">
        <v>1</v>
      </c>
      <c r="R308">
        <v>1</v>
      </c>
      <c r="S308">
        <v>1</v>
      </c>
      <c r="T308" t="s">
        <v>351</v>
      </c>
      <c r="U308">
        <v>36.99</v>
      </c>
      <c r="V308">
        <v>0</v>
      </c>
      <c r="W308">
        <v>29.59</v>
      </c>
      <c r="X308">
        <v>0</v>
      </c>
      <c r="Y308" t="s">
        <v>391</v>
      </c>
      <c r="AA308">
        <v>0</v>
      </c>
      <c r="AB308">
        <v>0</v>
      </c>
      <c r="AC308">
        <v>0</v>
      </c>
      <c r="AD308">
        <v>2216.66</v>
      </c>
      <c r="AE308">
        <v>0.02</v>
      </c>
      <c r="AF308">
        <v>0.172179</v>
      </c>
      <c r="AG308" t="s">
        <v>340</v>
      </c>
      <c r="AH308" t="s">
        <v>341</v>
      </c>
      <c r="AI308">
        <v>8.781129</v>
      </c>
      <c r="AJ308" t="s">
        <v>342</v>
      </c>
      <c r="AK308" t="s">
        <v>353</v>
      </c>
      <c r="AL308">
        <v>611724</v>
      </c>
      <c r="AM308">
        <v>366</v>
      </c>
      <c r="AN308">
        <v>51</v>
      </c>
      <c r="AO308">
        <v>204</v>
      </c>
      <c r="AP308">
        <v>663</v>
      </c>
      <c r="AQ308">
        <v>29.59</v>
      </c>
      <c r="AR308">
        <v>0</v>
      </c>
      <c r="AS308">
        <v>29.59</v>
      </c>
      <c r="AT308">
        <v>29.59</v>
      </c>
      <c r="AU308">
        <v>29.59</v>
      </c>
      <c r="AV308">
        <v>0</v>
      </c>
      <c r="AW308">
        <v>0</v>
      </c>
      <c r="AX308">
        <v>0</v>
      </c>
      <c r="AY308">
        <v>51</v>
      </c>
      <c r="AZ308">
        <v>0</v>
      </c>
      <c r="BA308">
        <v>16.25</v>
      </c>
      <c r="BB308">
        <v>0</v>
      </c>
      <c r="BC308">
        <v>0</v>
      </c>
      <c r="BD308">
        <v>0</v>
      </c>
      <c r="BE308">
        <v>0</v>
      </c>
      <c r="BG308">
        <v>0</v>
      </c>
      <c r="BH308">
        <v>0</v>
      </c>
      <c r="BI308">
        <v>36</v>
      </c>
      <c r="BJ308">
        <v>3.11</v>
      </c>
      <c r="BK308">
        <v>15</v>
      </c>
      <c r="BL308">
        <v>2.58</v>
      </c>
      <c r="BM308">
        <v>0</v>
      </c>
      <c r="BN308">
        <v>0</v>
      </c>
      <c r="BO308">
        <v>0</v>
      </c>
      <c r="BP308">
        <v>0</v>
      </c>
      <c r="BQ308">
        <v>0</v>
      </c>
      <c r="BR308">
        <v>0</v>
      </c>
      <c r="BS308">
        <v>0</v>
      </c>
      <c r="BT308">
        <v>0</v>
      </c>
      <c r="BU308">
        <v>0</v>
      </c>
      <c r="BV308">
        <v>0</v>
      </c>
      <c r="BW308">
        <v>0</v>
      </c>
      <c r="BX308">
        <v>0</v>
      </c>
      <c r="BZ308">
        <v>2</v>
      </c>
      <c r="CA308" t="s">
        <v>354</v>
      </c>
      <c r="CH308">
        <v>4710</v>
      </c>
      <c r="CI308" s="5">
        <v>46186</v>
      </c>
      <c r="CJ308">
        <v>51</v>
      </c>
      <c r="CK308">
        <v>0</v>
      </c>
      <c r="CL308">
        <v>0</v>
      </c>
      <c r="CM308">
        <v>0</v>
      </c>
      <c r="CN308">
        <v>0</v>
      </c>
      <c r="CO308">
        <v>366</v>
      </c>
      <c r="CP308" t="s">
        <v>347</v>
      </c>
      <c r="CQ308" t="s">
        <v>348</v>
      </c>
    </row>
    <row r="309" spans="1:95">
      <c r="A309" s="5">
        <v>46188</v>
      </c>
      <c r="B309" t="s">
        <v>1463</v>
      </c>
      <c r="C309" t="s">
        <v>1464</v>
      </c>
      <c r="D309" t="s">
        <v>1465</v>
      </c>
      <c r="E309" t="s">
        <v>1466</v>
      </c>
      <c r="F309" t="s">
        <v>337</v>
      </c>
      <c r="G309">
        <v>64</v>
      </c>
      <c r="H309">
        <v>0</v>
      </c>
      <c r="I309">
        <v>75</v>
      </c>
      <c r="J309">
        <v>0</v>
      </c>
      <c r="K309">
        <v>0</v>
      </c>
      <c r="L309">
        <v>0</v>
      </c>
      <c r="M309">
        <v>0</v>
      </c>
      <c r="N309">
        <v>0</v>
      </c>
      <c r="O309" t="s">
        <v>338</v>
      </c>
      <c r="P309">
        <v>7</v>
      </c>
      <c r="Q309">
        <v>40</v>
      </c>
      <c r="R309">
        <v>70</v>
      </c>
      <c r="S309">
        <v>105</v>
      </c>
      <c r="U309">
        <v>29.99</v>
      </c>
      <c r="V309">
        <v>0</v>
      </c>
      <c r="W309">
        <v>29.99</v>
      </c>
      <c r="X309">
        <v>0</v>
      </c>
      <c r="Y309" t="s">
        <v>359</v>
      </c>
      <c r="AA309">
        <v>0</v>
      </c>
      <c r="AB309">
        <v>0</v>
      </c>
      <c r="AC309">
        <v>0</v>
      </c>
      <c r="AD309">
        <v>0</v>
      </c>
      <c r="AE309">
        <v>0.99</v>
      </c>
      <c r="AF309">
        <v>0.192613</v>
      </c>
      <c r="AG309" t="s">
        <v>340</v>
      </c>
      <c r="AH309" t="s">
        <v>341</v>
      </c>
      <c r="AI309">
        <v>12.327232</v>
      </c>
      <c r="AJ309" t="s">
        <v>342</v>
      </c>
      <c r="AK309" t="s">
        <v>353</v>
      </c>
      <c r="AL309">
        <v>26497</v>
      </c>
      <c r="AM309">
        <v>32</v>
      </c>
      <c r="AN309">
        <v>0</v>
      </c>
      <c r="AO309">
        <v>15</v>
      </c>
      <c r="AP309">
        <v>19</v>
      </c>
      <c r="AQ309">
        <v>22.29</v>
      </c>
      <c r="AR309">
        <v>156.03</v>
      </c>
      <c r="AS309">
        <v>891.6</v>
      </c>
      <c r="AT309">
        <v>1586.7</v>
      </c>
      <c r="AU309">
        <v>2390.5</v>
      </c>
      <c r="AV309">
        <v>43</v>
      </c>
      <c r="AW309">
        <v>1</v>
      </c>
      <c r="AX309">
        <v>31</v>
      </c>
      <c r="AY309">
        <v>0</v>
      </c>
      <c r="AZ309">
        <v>0</v>
      </c>
      <c r="BA309">
        <v>6.74</v>
      </c>
      <c r="BB309">
        <v>90</v>
      </c>
      <c r="BC309">
        <v>90</v>
      </c>
      <c r="BD309">
        <v>0</v>
      </c>
      <c r="BE309">
        <v>0</v>
      </c>
      <c r="BG309">
        <v>2</v>
      </c>
      <c r="BH309">
        <v>6</v>
      </c>
      <c r="BY309">
        <v>80.8</v>
      </c>
      <c r="CB309">
        <v>51</v>
      </c>
      <c r="CC309" s="5">
        <v>46195</v>
      </c>
      <c r="CD309" s="5">
        <v>46188</v>
      </c>
      <c r="CE309" t="s">
        <v>345</v>
      </c>
      <c r="CF309" t="s">
        <v>346</v>
      </c>
      <c r="CG309">
        <v>57.2</v>
      </c>
      <c r="CH309">
        <v>80.8</v>
      </c>
      <c r="CI309" s="5">
        <v>46186</v>
      </c>
      <c r="CJ309">
        <v>156</v>
      </c>
      <c r="CK309">
        <v>2</v>
      </c>
      <c r="CL309">
        <v>1</v>
      </c>
      <c r="CM309">
        <v>1</v>
      </c>
      <c r="CN309">
        <v>0</v>
      </c>
      <c r="CO309">
        <v>99</v>
      </c>
      <c r="CP309" t="s">
        <v>347</v>
      </c>
      <c r="CQ309" t="s">
        <v>348</v>
      </c>
    </row>
    <row r="310" spans="1:95">
      <c r="A310" s="5">
        <v>46188</v>
      </c>
      <c r="B310" t="s">
        <v>1467</v>
      </c>
      <c r="C310" t="s">
        <v>106</v>
      </c>
      <c r="D310" t="s">
        <v>1468</v>
      </c>
      <c r="E310" t="s">
        <v>492</v>
      </c>
      <c r="F310" t="s">
        <v>337</v>
      </c>
      <c r="G310">
        <v>67</v>
      </c>
      <c r="H310">
        <v>0</v>
      </c>
      <c r="I310">
        <v>51</v>
      </c>
      <c r="J310">
        <v>16</v>
      </c>
      <c r="K310">
        <v>0</v>
      </c>
      <c r="L310">
        <v>0</v>
      </c>
      <c r="M310">
        <v>0</v>
      </c>
      <c r="N310">
        <v>0</v>
      </c>
      <c r="O310" t="s">
        <v>338</v>
      </c>
      <c r="P310">
        <v>0</v>
      </c>
      <c r="Q310">
        <v>3</v>
      </c>
      <c r="R310">
        <v>13</v>
      </c>
      <c r="S310">
        <v>26</v>
      </c>
      <c r="U310">
        <v>99.99</v>
      </c>
      <c r="V310">
        <v>0</v>
      </c>
      <c r="W310">
        <v>94.99</v>
      </c>
      <c r="X310">
        <v>0</v>
      </c>
      <c r="Y310" t="s">
        <v>633</v>
      </c>
      <c r="AA310">
        <v>0</v>
      </c>
      <c r="AB310">
        <v>0</v>
      </c>
      <c r="AC310">
        <v>0</v>
      </c>
      <c r="AD310">
        <v>0</v>
      </c>
      <c r="AE310">
        <v>0.43</v>
      </c>
      <c r="AF310">
        <v>0.472689</v>
      </c>
      <c r="AG310" t="s">
        <v>340</v>
      </c>
      <c r="AH310" t="s">
        <v>341</v>
      </c>
      <c r="AI310">
        <v>31.670163</v>
      </c>
      <c r="AJ310" t="s">
        <v>342</v>
      </c>
      <c r="AK310" t="s">
        <v>353</v>
      </c>
      <c r="AL310">
        <v>206385</v>
      </c>
      <c r="AM310">
        <v>141</v>
      </c>
      <c r="AN310">
        <v>0</v>
      </c>
      <c r="AO310">
        <v>89</v>
      </c>
      <c r="AP310">
        <v>33</v>
      </c>
      <c r="AQ310">
        <v>69.99</v>
      </c>
      <c r="AR310">
        <v>0</v>
      </c>
      <c r="AS310">
        <v>231.97</v>
      </c>
      <c r="AT310">
        <v>1019.87</v>
      </c>
      <c r="AU310">
        <v>2059.74</v>
      </c>
      <c r="AV310">
        <v>16</v>
      </c>
      <c r="AW310">
        <v>3</v>
      </c>
      <c r="AX310">
        <v>32</v>
      </c>
      <c r="AY310">
        <v>0</v>
      </c>
      <c r="AZ310">
        <v>0</v>
      </c>
      <c r="BA310">
        <v>26.5</v>
      </c>
      <c r="BB310">
        <v>0</v>
      </c>
      <c r="BC310">
        <v>0</v>
      </c>
      <c r="BD310">
        <v>0</v>
      </c>
      <c r="BE310">
        <v>0</v>
      </c>
      <c r="BG310">
        <v>0</v>
      </c>
      <c r="BH310">
        <v>0</v>
      </c>
      <c r="BY310">
        <v>659</v>
      </c>
      <c r="BZ310">
        <v>31</v>
      </c>
      <c r="CA310" t="s">
        <v>360</v>
      </c>
      <c r="CD310" s="5">
        <v>46188</v>
      </c>
      <c r="CE310" t="s">
        <v>345</v>
      </c>
      <c r="CF310" t="s">
        <v>346</v>
      </c>
      <c r="CG310">
        <v>659</v>
      </c>
      <c r="CH310">
        <v>198.4</v>
      </c>
      <c r="CI310" s="5">
        <v>46186</v>
      </c>
      <c r="CJ310">
        <v>67</v>
      </c>
      <c r="CK310">
        <v>0</v>
      </c>
      <c r="CL310">
        <v>0</v>
      </c>
      <c r="CM310">
        <v>0</v>
      </c>
      <c r="CN310">
        <v>0</v>
      </c>
      <c r="CO310">
        <v>141</v>
      </c>
      <c r="CP310" t="s">
        <v>347</v>
      </c>
      <c r="CQ310" t="s">
        <v>348</v>
      </c>
    </row>
    <row r="311" spans="1:95">
      <c r="A311" s="5">
        <v>46188</v>
      </c>
      <c r="B311" t="s">
        <v>1469</v>
      </c>
      <c r="C311" t="s">
        <v>1470</v>
      </c>
      <c r="D311" t="s">
        <v>1471</v>
      </c>
      <c r="E311" t="s">
        <v>1272</v>
      </c>
      <c r="G311">
        <v>0</v>
      </c>
      <c r="H311">
        <v>-1</v>
      </c>
      <c r="O311" t="s">
        <v>338</v>
      </c>
      <c r="U311">
        <v>0</v>
      </c>
      <c r="V311">
        <v>0</v>
      </c>
      <c r="W311">
        <v>0</v>
      </c>
      <c r="X311">
        <v>0</v>
      </c>
      <c r="Y311" t="s">
        <v>359</v>
      </c>
      <c r="AB311">
        <v>0</v>
      </c>
      <c r="AC311">
        <v>0</v>
      </c>
      <c r="AE311">
        <v>-1</v>
      </c>
      <c r="AH311" t="s">
        <v>341</v>
      </c>
      <c r="AJ311" t="s">
        <v>342</v>
      </c>
      <c r="AK311" t="s">
        <v>465</v>
      </c>
      <c r="AN311">
        <v>0</v>
      </c>
      <c r="AY311">
        <v>0</v>
      </c>
      <c r="BB311">
        <v>0</v>
      </c>
      <c r="BC311">
        <v>0</v>
      </c>
      <c r="BD311">
        <v>0</v>
      </c>
      <c r="BE311">
        <v>0</v>
      </c>
      <c r="BG311">
        <v>0</v>
      </c>
      <c r="BH311">
        <v>0</v>
      </c>
      <c r="CJ311">
        <v>0</v>
      </c>
      <c r="CK311">
        <v>0</v>
      </c>
      <c r="CL311">
        <v>0</v>
      </c>
      <c r="CM311">
        <v>0</v>
      </c>
      <c r="CN311">
        <v>0</v>
      </c>
      <c r="CP311" t="s">
        <v>347</v>
      </c>
      <c r="CQ311" t="s">
        <v>348</v>
      </c>
    </row>
    <row r="312" spans="1:95">
      <c r="A312" s="5">
        <v>46188</v>
      </c>
      <c r="B312" t="s">
        <v>1472</v>
      </c>
      <c r="C312" t="s">
        <v>27</v>
      </c>
      <c r="D312" t="s">
        <v>55</v>
      </c>
      <c r="E312" t="s">
        <v>1473</v>
      </c>
      <c r="F312" t="s">
        <v>337</v>
      </c>
      <c r="G312">
        <v>43</v>
      </c>
      <c r="H312">
        <v>0</v>
      </c>
      <c r="I312">
        <v>0</v>
      </c>
      <c r="J312">
        <v>2</v>
      </c>
      <c r="K312">
        <v>41</v>
      </c>
      <c r="L312">
        <v>0</v>
      </c>
      <c r="M312">
        <v>0</v>
      </c>
      <c r="N312">
        <v>0</v>
      </c>
      <c r="O312" t="s">
        <v>338</v>
      </c>
      <c r="P312">
        <v>0</v>
      </c>
      <c r="Q312">
        <v>0</v>
      </c>
      <c r="R312">
        <v>0</v>
      </c>
      <c r="S312">
        <v>4</v>
      </c>
      <c r="T312" t="s">
        <v>351</v>
      </c>
      <c r="U312">
        <v>39.99</v>
      </c>
      <c r="V312">
        <v>0</v>
      </c>
      <c r="W312">
        <v>34.99</v>
      </c>
      <c r="X312">
        <v>0</v>
      </c>
      <c r="Y312" t="s">
        <v>352</v>
      </c>
      <c r="AA312">
        <v>23.09</v>
      </c>
      <c r="AB312">
        <v>2</v>
      </c>
      <c r="AC312">
        <v>0</v>
      </c>
      <c r="AD312">
        <v>2237.54</v>
      </c>
      <c r="AE312">
        <v>0.09</v>
      </c>
      <c r="AF312">
        <v>0.172179</v>
      </c>
      <c r="AG312" t="s">
        <v>340</v>
      </c>
      <c r="AH312" t="s">
        <v>341</v>
      </c>
      <c r="AI312">
        <v>7.403697</v>
      </c>
      <c r="AJ312" t="s">
        <v>342</v>
      </c>
      <c r="AK312" t="s">
        <v>353</v>
      </c>
      <c r="AL312">
        <v>611724</v>
      </c>
      <c r="AM312">
        <v>366</v>
      </c>
      <c r="AN312">
        <v>43</v>
      </c>
      <c r="AP312">
        <v>139</v>
      </c>
      <c r="AQ312">
        <v>39.99</v>
      </c>
      <c r="AR312">
        <v>0</v>
      </c>
      <c r="AS312">
        <v>0</v>
      </c>
      <c r="AT312">
        <v>0</v>
      </c>
      <c r="AU312">
        <v>131.96</v>
      </c>
      <c r="AV312">
        <v>0</v>
      </c>
      <c r="AW312">
        <v>0</v>
      </c>
      <c r="AX312">
        <v>0</v>
      </c>
      <c r="AY312">
        <v>41</v>
      </c>
      <c r="AZ312">
        <v>0</v>
      </c>
      <c r="BA312">
        <v>12.8</v>
      </c>
      <c r="BB312">
        <v>0</v>
      </c>
      <c r="BC312">
        <v>0</v>
      </c>
      <c r="BD312">
        <v>0</v>
      </c>
      <c r="BE312">
        <v>0</v>
      </c>
      <c r="BG312">
        <v>0</v>
      </c>
      <c r="BH312">
        <v>0</v>
      </c>
      <c r="BI312">
        <v>36</v>
      </c>
      <c r="BJ312">
        <v>3.12</v>
      </c>
      <c r="BK312">
        <v>5</v>
      </c>
      <c r="BL312">
        <v>0.86</v>
      </c>
      <c r="BM312">
        <v>0</v>
      </c>
      <c r="BN312">
        <v>0</v>
      </c>
      <c r="BO312">
        <v>0</v>
      </c>
      <c r="BP312">
        <v>0</v>
      </c>
      <c r="BQ312">
        <v>0</v>
      </c>
      <c r="BR312">
        <v>0</v>
      </c>
      <c r="BS312">
        <v>0</v>
      </c>
      <c r="BT312">
        <v>0</v>
      </c>
      <c r="BU312">
        <v>0</v>
      </c>
      <c r="BV312">
        <v>0</v>
      </c>
      <c r="BW312">
        <v>0</v>
      </c>
      <c r="BX312">
        <v>0</v>
      </c>
      <c r="BZ312">
        <v>4</v>
      </c>
      <c r="CA312" t="s">
        <v>354</v>
      </c>
      <c r="CH312">
        <v>980.3</v>
      </c>
      <c r="CI312" s="5">
        <v>46186</v>
      </c>
      <c r="CJ312">
        <v>43</v>
      </c>
      <c r="CK312">
        <v>0</v>
      </c>
      <c r="CL312">
        <v>0</v>
      </c>
      <c r="CM312">
        <v>0</v>
      </c>
      <c r="CN312">
        <v>0</v>
      </c>
      <c r="CO312">
        <v>366</v>
      </c>
      <c r="CP312" t="s">
        <v>347</v>
      </c>
      <c r="CQ312" t="s">
        <v>348</v>
      </c>
    </row>
    <row r="313" spans="1:95">
      <c r="A313" s="5">
        <v>46188</v>
      </c>
      <c r="B313" t="s">
        <v>1474</v>
      </c>
      <c r="C313" t="s">
        <v>127</v>
      </c>
      <c r="D313" t="s">
        <v>1475</v>
      </c>
      <c r="E313" t="s">
        <v>992</v>
      </c>
      <c r="G313">
        <v>0</v>
      </c>
      <c r="H313">
        <v>-1</v>
      </c>
      <c r="O313" t="s">
        <v>338</v>
      </c>
      <c r="U313">
        <v>0</v>
      </c>
      <c r="V313">
        <v>0</v>
      </c>
      <c r="W313">
        <v>0</v>
      </c>
      <c r="X313">
        <v>0</v>
      </c>
      <c r="Y313" t="s">
        <v>359</v>
      </c>
      <c r="AB313">
        <v>0</v>
      </c>
      <c r="AC313">
        <v>0</v>
      </c>
      <c r="AE313">
        <v>-1</v>
      </c>
      <c r="AH313" t="s">
        <v>341</v>
      </c>
      <c r="AJ313" t="s">
        <v>342</v>
      </c>
      <c r="AK313" t="s">
        <v>465</v>
      </c>
      <c r="AL313">
        <v>2409</v>
      </c>
      <c r="AM313">
        <v>0</v>
      </c>
      <c r="AN313">
        <v>0</v>
      </c>
      <c r="AQ313">
        <v>14.99</v>
      </c>
      <c r="AY313">
        <v>0</v>
      </c>
      <c r="BB313">
        <v>0</v>
      </c>
      <c r="BC313">
        <v>0</v>
      </c>
      <c r="BD313">
        <v>0</v>
      </c>
      <c r="BE313">
        <v>0</v>
      </c>
      <c r="BG313">
        <v>0</v>
      </c>
      <c r="BH313">
        <v>0</v>
      </c>
      <c r="BZ313">
        <v>1</v>
      </c>
      <c r="CA313" t="s">
        <v>429</v>
      </c>
      <c r="CB313">
        <v>262</v>
      </c>
      <c r="CC313" s="5">
        <v>46188</v>
      </c>
      <c r="CJ313">
        <v>0</v>
      </c>
      <c r="CK313">
        <v>0</v>
      </c>
      <c r="CL313">
        <v>0</v>
      </c>
      <c r="CM313">
        <v>0</v>
      </c>
      <c r="CN313">
        <v>0</v>
      </c>
      <c r="CO313">
        <v>0</v>
      </c>
      <c r="CP313" t="s">
        <v>347</v>
      </c>
      <c r="CQ313" t="s">
        <v>348</v>
      </c>
    </row>
  </sheetData>
  <autoFilter xmlns:etc="http://www.wps.cn/officeDocument/2017/etCustomData" ref="A1:CT31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142"/>
  <sheetViews>
    <sheetView workbookViewId="0">
      <selection activeCell="I13" sqref="I13"/>
    </sheetView>
  </sheetViews>
  <sheetFormatPr defaultColWidth="9" defaultRowHeight="13.5"/>
  <sheetData>
    <row r="1" customHeight="1"/>
    <row r="2" customHeight="1"/>
    <row r="8" spans="2:10">
      <c r="B8" t="s">
        <v>1476</v>
      </c>
      <c r="G8" s="9">
        <v>149</v>
      </c>
      <c r="H8" s="9"/>
      <c r="I8" s="9"/>
      <c r="J8" s="13"/>
    </row>
    <row r="9" ht="25.5" spans="2:10">
      <c r="G9" s="14"/>
      <c r="H9" s="14"/>
      <c r="I9" s="14"/>
      <c r="J9" s="15"/>
    </row>
    <row r="10" spans="2:10">
      <c r="B10" s="11" t="s">
        <v>201</v>
      </c>
      <c r="C10" s="7" t="s">
        <v>201</v>
      </c>
      <c r="D10" s="7" t="s">
        <v>1477</v>
      </c>
      <c r="G10" s="11" t="s">
        <v>1478</v>
      </c>
      <c r="H10" s="11" t="s">
        <v>1479</v>
      </c>
      <c r="I10" s="11" t="s">
        <v>421</v>
      </c>
      <c r="J10" s="16" t="s">
        <v>84</v>
      </c>
    </row>
    <row r="11" ht="54" spans="2:10">
      <c r="B11" s="17" t="s">
        <v>1480</v>
      </c>
      <c r="C11" s="7" t="s">
        <v>165</v>
      </c>
      <c r="D11" s="7" t="s">
        <v>1477</v>
      </c>
      <c r="G11" s="11" t="s">
        <v>82</v>
      </c>
      <c r="H11" s="11" t="s">
        <v>1481</v>
      </c>
      <c r="I11" s="11" t="s">
        <v>73</v>
      </c>
      <c r="J11" s="16" t="s">
        <v>79</v>
      </c>
    </row>
    <row r="12" spans="2:10">
      <c r="B12" s="11" t="s">
        <v>116</v>
      </c>
      <c r="C12" s="7" t="s">
        <v>116</v>
      </c>
      <c r="D12" s="7" t="s">
        <v>1477</v>
      </c>
      <c r="G12" s="18" t="s">
        <v>1482</v>
      </c>
      <c r="H12" s="18" t="s">
        <v>1483</v>
      </c>
      <c r="I12" s="18" t="s">
        <v>1484</v>
      </c>
      <c r="J12" s="16" t="s">
        <v>79</v>
      </c>
    </row>
    <row r="13" spans="2:10">
      <c r="B13" s="11" t="s">
        <v>127</v>
      </c>
      <c r="C13" s="7" t="s">
        <v>127</v>
      </c>
      <c r="D13" s="7" t="s">
        <v>1477</v>
      </c>
      <c r="G13" s="18" t="s">
        <v>1485</v>
      </c>
      <c r="H13" s="18" t="s">
        <v>1486</v>
      </c>
      <c r="I13" s="18" t="s">
        <v>1487</v>
      </c>
      <c r="J13" s="19"/>
    </row>
    <row r="14" ht="54" spans="2:10">
      <c r="B14" s="17" t="s">
        <v>1488</v>
      </c>
      <c r="C14" s="7" t="s">
        <v>218</v>
      </c>
      <c r="D14" s="7" t="s">
        <v>1477</v>
      </c>
      <c r="G14" s="20"/>
      <c r="H14" s="20"/>
      <c r="I14" s="20"/>
      <c r="J14" s="19"/>
    </row>
    <row r="15" spans="2:10">
      <c r="B15" s="11" t="s">
        <v>108</v>
      </c>
      <c r="C15" s="7" t="s">
        <v>108</v>
      </c>
      <c r="D15" s="7" t="s">
        <v>1477</v>
      </c>
      <c r="G15" s="18" t="s">
        <v>1489</v>
      </c>
      <c r="H15" s="18" t="s">
        <v>1490</v>
      </c>
      <c r="I15" s="18" t="s">
        <v>1491</v>
      </c>
      <c r="J15" s="16" t="s">
        <v>1492</v>
      </c>
    </row>
    <row r="16" ht="54" spans="2:10">
      <c r="B16" s="17" t="s">
        <v>1493</v>
      </c>
      <c r="C16" s="7" t="s">
        <v>128</v>
      </c>
      <c r="D16" s="7" t="s">
        <v>1477</v>
      </c>
      <c r="G16" s="20" t="s">
        <v>1494</v>
      </c>
      <c r="H16" s="20" t="s">
        <v>1495</v>
      </c>
      <c r="I16" s="20" t="s">
        <v>1496</v>
      </c>
      <c r="J16" s="16" t="s">
        <v>79</v>
      </c>
    </row>
    <row r="17" spans="2:10">
      <c r="B17" s="11"/>
      <c r="C17" s="9"/>
      <c r="D17" s="9"/>
      <c r="G17" s="11" t="s">
        <v>1497</v>
      </c>
      <c r="H17" s="11" t="s">
        <v>1498</v>
      </c>
      <c r="I17" s="11" t="s">
        <v>1499</v>
      </c>
      <c r="J17" s="16" t="s">
        <v>1477</v>
      </c>
    </row>
    <row r="18" spans="2:10">
      <c r="B18" s="11" t="s">
        <v>1013</v>
      </c>
      <c r="C18" s="7" t="s">
        <v>1013</v>
      </c>
      <c r="D18" s="7" t="s">
        <v>1477</v>
      </c>
      <c r="G18" s="18" t="s">
        <v>1500</v>
      </c>
      <c r="H18" s="18" t="s">
        <v>1501</v>
      </c>
      <c r="I18" s="18" t="s">
        <v>1502</v>
      </c>
      <c r="J18" s="16" t="s">
        <v>79</v>
      </c>
    </row>
    <row r="19" ht="108" spans="2:10">
      <c r="B19" s="17" t="s">
        <v>1503</v>
      </c>
      <c r="C19" s="7" t="s">
        <v>1279</v>
      </c>
      <c r="D19" s="7" t="s">
        <v>1477</v>
      </c>
      <c r="G19" s="21" t="s">
        <v>1504</v>
      </c>
      <c r="H19" s="21" t="s">
        <v>1505</v>
      </c>
      <c r="I19" s="21" t="s">
        <v>1506</v>
      </c>
      <c r="J19" s="16" t="s">
        <v>84</v>
      </c>
    </row>
    <row r="20" spans="2:10">
      <c r="B20" s="11" t="s">
        <v>1320</v>
      </c>
      <c r="C20" s="7" t="s">
        <v>1320</v>
      </c>
      <c r="D20" s="7" t="s">
        <v>84</v>
      </c>
      <c r="G20" s="21" t="s">
        <v>1507</v>
      </c>
      <c r="H20" s="21" t="s">
        <v>1508</v>
      </c>
      <c r="I20" s="21" t="s">
        <v>1509</v>
      </c>
      <c r="J20" s="16" t="s">
        <v>84</v>
      </c>
    </row>
    <row r="21" spans="2:10">
      <c r="B21" s="11" t="s">
        <v>1283</v>
      </c>
      <c r="C21" s="7" t="s">
        <v>1283</v>
      </c>
      <c r="D21" s="7" t="s">
        <v>84</v>
      </c>
      <c r="G21" s="21" t="s">
        <v>1510</v>
      </c>
      <c r="H21" s="21" t="s">
        <v>1511</v>
      </c>
      <c r="I21" s="21" t="s">
        <v>120</v>
      </c>
      <c r="J21" s="16" t="s">
        <v>84</v>
      </c>
    </row>
    <row r="22" spans="2:10">
      <c r="B22" s="17"/>
      <c r="C22" s="9"/>
      <c r="D22" s="9"/>
      <c r="G22" s="21" t="s">
        <v>85</v>
      </c>
      <c r="H22" s="21" t="s">
        <v>1512</v>
      </c>
      <c r="I22" s="21" t="s">
        <v>75</v>
      </c>
      <c r="J22" s="16" t="s">
        <v>84</v>
      </c>
    </row>
    <row r="23" spans="2:10">
      <c r="B23" s="11" t="s">
        <v>106</v>
      </c>
      <c r="C23" s="7" t="s">
        <v>106</v>
      </c>
      <c r="D23" s="7" t="s">
        <v>84</v>
      </c>
      <c r="G23" s="21"/>
      <c r="H23" s="21"/>
      <c r="I23" s="21"/>
      <c r="J23" s="19"/>
    </row>
    <row r="24" spans="2:10">
      <c r="B24" s="11" t="s">
        <v>121</v>
      </c>
      <c r="C24" s="7" t="s">
        <v>121</v>
      </c>
      <c r="D24" s="7" t="s">
        <v>79</v>
      </c>
      <c r="G24" s="21" t="s">
        <v>1513</v>
      </c>
      <c r="H24" s="21" t="s">
        <v>1514</v>
      </c>
      <c r="I24" s="21" t="s">
        <v>1515</v>
      </c>
      <c r="J24" s="16" t="s">
        <v>79</v>
      </c>
    </row>
    <row r="25" ht="108" spans="2:10">
      <c r="B25" s="17" t="s">
        <v>1516</v>
      </c>
      <c r="C25" s="7" t="s">
        <v>229</v>
      </c>
      <c r="D25" s="7" t="s">
        <v>79</v>
      </c>
      <c r="G25" s="18" t="s">
        <v>1517</v>
      </c>
      <c r="H25" s="18" t="s">
        <v>1518</v>
      </c>
      <c r="I25" s="18" t="s">
        <v>1519</v>
      </c>
      <c r="J25" s="16" t="s">
        <v>79</v>
      </c>
    </row>
    <row r="26" spans="2:10">
      <c r="B26" s="11" t="s">
        <v>1205</v>
      </c>
      <c r="C26" s="7" t="s">
        <v>1205</v>
      </c>
      <c r="D26" s="7" t="s">
        <v>79</v>
      </c>
      <c r="G26" s="21" t="s">
        <v>1520</v>
      </c>
      <c r="H26" s="21" t="s">
        <v>1521</v>
      </c>
      <c r="I26" s="21" t="s">
        <v>1522</v>
      </c>
      <c r="J26" s="16" t="s">
        <v>79</v>
      </c>
    </row>
    <row r="27" ht="108" spans="2:10">
      <c r="B27" s="17" t="s">
        <v>1523</v>
      </c>
      <c r="C27" s="7" t="s">
        <v>113</v>
      </c>
      <c r="D27" s="7" t="s">
        <v>1477</v>
      </c>
      <c r="G27" s="18" t="s">
        <v>1524</v>
      </c>
      <c r="H27" s="18" t="s">
        <v>1525</v>
      </c>
      <c r="I27" s="18" t="s">
        <v>1526</v>
      </c>
      <c r="J27" s="16" t="s">
        <v>79</v>
      </c>
    </row>
    <row r="28" spans="2:10">
      <c r="B28" s="11" t="s">
        <v>912</v>
      </c>
      <c r="C28" s="7" t="s">
        <v>912</v>
      </c>
      <c r="D28" s="7" t="s">
        <v>79</v>
      </c>
      <c r="G28" s="21" t="s">
        <v>1527</v>
      </c>
      <c r="H28" s="21" t="s">
        <v>1528</v>
      </c>
      <c r="I28" s="21" t="s">
        <v>1529</v>
      </c>
      <c r="J28" s="16" t="s">
        <v>1477</v>
      </c>
    </row>
    <row r="29" ht="108" spans="2:10">
      <c r="B29" s="17" t="s">
        <v>1530</v>
      </c>
      <c r="C29" s="7" t="s">
        <v>568</v>
      </c>
      <c r="D29" s="7" t="s">
        <v>79</v>
      </c>
      <c r="G29" s="21" t="s">
        <v>1531</v>
      </c>
      <c r="H29" s="21" t="s">
        <v>1532</v>
      </c>
      <c r="I29" s="21" t="s">
        <v>117</v>
      </c>
      <c r="J29" s="16" t="s">
        <v>79</v>
      </c>
    </row>
    <row r="30" ht="108" spans="2:10">
      <c r="B30" s="17" t="s">
        <v>1533</v>
      </c>
      <c r="C30" s="7" t="s">
        <v>776</v>
      </c>
      <c r="D30" s="7" t="s">
        <v>79</v>
      </c>
      <c r="G30" s="18" t="s">
        <v>1534</v>
      </c>
      <c r="H30" s="18" t="s">
        <v>1535</v>
      </c>
      <c r="I30" s="18" t="s">
        <v>1536</v>
      </c>
      <c r="J30" s="16" t="s">
        <v>79</v>
      </c>
    </row>
    <row r="31" spans="2:10">
      <c r="B31" s="11" t="s">
        <v>104</v>
      </c>
      <c r="C31" s="7" t="s">
        <v>104</v>
      </c>
      <c r="D31" s="7" t="s">
        <v>79</v>
      </c>
      <c r="G31" s="18" t="s">
        <v>88</v>
      </c>
      <c r="H31" s="18" t="s">
        <v>1537</v>
      </c>
      <c r="I31" s="18" t="s">
        <v>78</v>
      </c>
      <c r="J31" s="16" t="s">
        <v>79</v>
      </c>
    </row>
    <row r="32" spans="2:10">
      <c r="B32" s="11" t="s">
        <v>841</v>
      </c>
      <c r="C32" s="7" t="s">
        <v>841</v>
      </c>
      <c r="D32" s="7" t="s">
        <v>79</v>
      </c>
      <c r="G32" s="18" t="s">
        <v>1538</v>
      </c>
      <c r="H32" s="18" t="s">
        <v>1539</v>
      </c>
      <c r="I32" s="18" t="s">
        <v>1540</v>
      </c>
      <c r="J32" s="16" t="s">
        <v>79</v>
      </c>
    </row>
    <row r="33" ht="108" spans="2:10">
      <c r="B33" s="17" t="s">
        <v>1541</v>
      </c>
      <c r="C33" s="7" t="s">
        <v>123</v>
      </c>
      <c r="D33" s="7" t="s">
        <v>84</v>
      </c>
      <c r="G33" s="21" t="s">
        <v>1542</v>
      </c>
      <c r="H33" s="21" t="s">
        <v>1543</v>
      </c>
      <c r="I33" s="21" t="s">
        <v>1544</v>
      </c>
      <c r="J33" s="16" t="s">
        <v>84</v>
      </c>
    </row>
    <row r="34" ht="108" spans="2:10">
      <c r="B34" s="17" t="s">
        <v>1545</v>
      </c>
      <c r="C34" s="7" t="s">
        <v>1047</v>
      </c>
      <c r="D34" s="7" t="s">
        <v>84</v>
      </c>
      <c r="G34" s="21" t="s">
        <v>1546</v>
      </c>
      <c r="H34" s="21" t="s">
        <v>1547</v>
      </c>
      <c r="I34" s="21" t="s">
        <v>1548</v>
      </c>
      <c r="J34" s="16" t="s">
        <v>84</v>
      </c>
    </row>
    <row r="35" spans="2:10">
      <c r="B35" s="11" t="s">
        <v>819</v>
      </c>
      <c r="C35" s="7" t="s">
        <v>819</v>
      </c>
      <c r="D35" s="7" t="s">
        <v>79</v>
      </c>
      <c r="G35" s="21" t="s">
        <v>1549</v>
      </c>
      <c r="H35" s="21" t="s">
        <v>1550</v>
      </c>
      <c r="I35" s="21" t="s">
        <v>1551</v>
      </c>
      <c r="J35" s="16" t="s">
        <v>84</v>
      </c>
    </row>
    <row r="36" ht="108" spans="2:10">
      <c r="B36" s="17" t="s">
        <v>1552</v>
      </c>
      <c r="C36" s="7" t="s">
        <v>1464</v>
      </c>
      <c r="D36" s="7" t="s">
        <v>84</v>
      </c>
      <c r="G36" s="21" t="s">
        <v>1553</v>
      </c>
      <c r="H36" s="21" t="s">
        <v>1554</v>
      </c>
      <c r="I36" s="21" t="s">
        <v>1555</v>
      </c>
      <c r="J36" s="16" t="s">
        <v>79</v>
      </c>
    </row>
    <row r="37" ht="108" spans="2:10">
      <c r="B37" s="17" t="s">
        <v>1556</v>
      </c>
      <c r="C37" s="7" t="s">
        <v>837</v>
      </c>
      <c r="D37" s="7" t="s">
        <v>84</v>
      </c>
      <c r="G37" s="18" t="s">
        <v>81</v>
      </c>
      <c r="H37" s="18" t="s">
        <v>1557</v>
      </c>
      <c r="I37" s="18" t="s">
        <v>72</v>
      </c>
      <c r="J37" s="16" t="s">
        <v>79</v>
      </c>
    </row>
    <row r="38" spans="2:10">
      <c r="B38" s="11" t="s">
        <v>654</v>
      </c>
      <c r="C38" s="7" t="s">
        <v>654</v>
      </c>
      <c r="D38" s="7" t="s">
        <v>79</v>
      </c>
      <c r="G38" s="11" t="s">
        <v>1558</v>
      </c>
      <c r="H38" s="11" t="s">
        <v>1559</v>
      </c>
      <c r="I38" s="11" t="s">
        <v>1560</v>
      </c>
      <c r="J38" s="16" t="s">
        <v>1492</v>
      </c>
    </row>
    <row r="39" spans="2:10">
      <c r="B39" s="11" t="s">
        <v>1423</v>
      </c>
      <c r="C39" s="7" t="s">
        <v>1423</v>
      </c>
      <c r="D39" s="7" t="s">
        <v>79</v>
      </c>
      <c r="G39" s="18" t="s">
        <v>1561</v>
      </c>
      <c r="H39" s="18" t="s">
        <v>1562</v>
      </c>
      <c r="I39" s="18" t="s">
        <v>1563</v>
      </c>
      <c r="J39" s="19"/>
    </row>
    <row r="40" ht="108" spans="2:10">
      <c r="B40" s="17" t="s">
        <v>1564</v>
      </c>
      <c r="C40" s="7" t="s">
        <v>649</v>
      </c>
      <c r="D40" s="7" t="s">
        <v>84</v>
      </c>
      <c r="G40" s="11" t="s">
        <v>1565</v>
      </c>
      <c r="H40" s="11" t="s">
        <v>1566</v>
      </c>
      <c r="I40" s="11" t="s">
        <v>1567</v>
      </c>
      <c r="J40" s="16" t="s">
        <v>79</v>
      </c>
    </row>
    <row r="41" spans="2:10">
      <c r="B41" s="11" t="s">
        <v>792</v>
      </c>
      <c r="C41" s="7" t="s">
        <v>792</v>
      </c>
      <c r="D41" s="7" t="s">
        <v>1492</v>
      </c>
      <c r="G41" s="11" t="s">
        <v>1568</v>
      </c>
      <c r="H41" s="11" t="s">
        <v>1569</v>
      </c>
      <c r="I41" s="11" t="s">
        <v>1570</v>
      </c>
      <c r="J41" s="16" t="s">
        <v>79</v>
      </c>
    </row>
    <row r="42" ht="108" spans="2:10">
      <c r="B42" s="17" t="s">
        <v>1571</v>
      </c>
      <c r="C42" s="7" t="s">
        <v>600</v>
      </c>
      <c r="D42" s="7" t="s">
        <v>1492</v>
      </c>
      <c r="G42" s="11" t="s">
        <v>1572</v>
      </c>
      <c r="H42" s="11" t="s">
        <v>1573</v>
      </c>
      <c r="I42" s="11" t="s">
        <v>1574</v>
      </c>
      <c r="J42" s="16" t="s">
        <v>84</v>
      </c>
    </row>
    <row r="43" spans="2:10">
      <c r="B43" s="11" t="s">
        <v>334</v>
      </c>
      <c r="C43" s="7" t="s">
        <v>334</v>
      </c>
      <c r="D43" s="7" t="s">
        <v>1492</v>
      </c>
      <c r="G43" s="11" t="s">
        <v>80</v>
      </c>
      <c r="H43" s="11" t="s">
        <v>1575</v>
      </c>
      <c r="I43" s="11" t="s">
        <v>71</v>
      </c>
      <c r="J43" s="16" t="s">
        <v>79</v>
      </c>
    </row>
    <row r="44" spans="2:10">
      <c r="B44" s="11" t="s">
        <v>174</v>
      </c>
      <c r="C44" s="7" t="s">
        <v>174</v>
      </c>
      <c r="D44" s="7" t="s">
        <v>79</v>
      </c>
      <c r="G44" s="11" t="s">
        <v>1576</v>
      </c>
      <c r="H44" s="11" t="s">
        <v>1577</v>
      </c>
      <c r="I44" s="11" t="s">
        <v>1578</v>
      </c>
      <c r="J44" s="16" t="s">
        <v>84</v>
      </c>
    </row>
    <row r="45" spans="2:10">
      <c r="B45" s="11"/>
      <c r="C45" s="9"/>
      <c r="D45" s="9"/>
      <c r="G45" s="11" t="s">
        <v>1579</v>
      </c>
      <c r="H45" s="11" t="s">
        <v>1580</v>
      </c>
      <c r="I45" s="11" t="s">
        <v>1581</v>
      </c>
      <c r="J45" s="16" t="s">
        <v>79</v>
      </c>
    </row>
    <row r="46" spans="2:10">
      <c r="B46" s="11" t="s">
        <v>808</v>
      </c>
      <c r="C46" s="7" t="s">
        <v>808</v>
      </c>
      <c r="D46" s="7" t="s">
        <v>1492</v>
      </c>
      <c r="G46" s="11" t="s">
        <v>1582</v>
      </c>
      <c r="H46" s="11" t="s">
        <v>1583</v>
      </c>
      <c r="I46" s="11" t="s">
        <v>1584</v>
      </c>
      <c r="J46" s="16" t="s">
        <v>79</v>
      </c>
    </row>
    <row r="47" spans="2:10">
      <c r="B47" s="11" t="s">
        <v>1125</v>
      </c>
      <c r="C47" s="7" t="s">
        <v>1125</v>
      </c>
      <c r="D47" s="7" t="s">
        <v>79</v>
      </c>
      <c r="G47" s="11" t="s">
        <v>1585</v>
      </c>
      <c r="H47" s="11" t="s">
        <v>1586</v>
      </c>
      <c r="I47" s="11" t="s">
        <v>1587</v>
      </c>
      <c r="J47" s="16" t="s">
        <v>84</v>
      </c>
    </row>
    <row r="48" spans="2:10">
      <c r="B48" s="11" t="s">
        <v>941</v>
      </c>
      <c r="C48" s="7" t="s">
        <v>941</v>
      </c>
      <c r="D48" s="7" t="s">
        <v>1492</v>
      </c>
      <c r="G48" s="11" t="s">
        <v>1588</v>
      </c>
      <c r="H48" s="11" t="s">
        <v>1589</v>
      </c>
      <c r="I48" s="11" t="s">
        <v>1590</v>
      </c>
      <c r="J48" s="7" t="s">
        <v>1591</v>
      </c>
    </row>
    <row r="49" spans="2:10">
      <c r="B49" s="11" t="s">
        <v>1250</v>
      </c>
      <c r="C49" s="7" t="s">
        <v>1250</v>
      </c>
      <c r="D49" s="7" t="s">
        <v>1492</v>
      </c>
      <c r="G49" s="11" t="s">
        <v>1592</v>
      </c>
      <c r="H49" s="11" t="s">
        <v>1593</v>
      </c>
      <c r="I49" s="11" t="s">
        <v>1594</v>
      </c>
      <c r="J49" s="16" t="s">
        <v>84</v>
      </c>
    </row>
    <row r="50" ht="108" spans="2:10">
      <c r="B50" s="17" t="s">
        <v>1595</v>
      </c>
      <c r="C50" s="7" t="s">
        <v>467</v>
      </c>
      <c r="D50" s="7" t="s">
        <v>79</v>
      </c>
      <c r="G50" s="11" t="s">
        <v>86</v>
      </c>
      <c r="H50" s="11" t="s">
        <v>1596</v>
      </c>
      <c r="I50" s="11" t="s">
        <v>76</v>
      </c>
      <c r="J50" s="16" t="s">
        <v>84</v>
      </c>
    </row>
    <row r="51" spans="2:10">
      <c r="B51" s="11" t="s">
        <v>1243</v>
      </c>
      <c r="C51" s="7" t="s">
        <v>1243</v>
      </c>
      <c r="D51" s="7" t="s">
        <v>1492</v>
      </c>
      <c r="G51" s="11" t="s">
        <v>1597</v>
      </c>
      <c r="H51" s="11" t="s">
        <v>1598</v>
      </c>
      <c r="I51" s="11" t="s">
        <v>1599</v>
      </c>
      <c r="J51" s="7" t="s">
        <v>1591</v>
      </c>
    </row>
    <row r="52" spans="2:10">
      <c r="B52" s="11" t="s">
        <v>908</v>
      </c>
      <c r="C52" s="7" t="s">
        <v>908</v>
      </c>
      <c r="D52" s="7" t="s">
        <v>79</v>
      </c>
      <c r="G52" s="18" t="s">
        <v>1600</v>
      </c>
      <c r="H52" s="18" t="s">
        <v>1601</v>
      </c>
      <c r="I52" s="18" t="s">
        <v>1602</v>
      </c>
      <c r="J52" s="16" t="s">
        <v>79</v>
      </c>
    </row>
    <row r="53" spans="2:10">
      <c r="B53" s="11" t="s">
        <v>1316</v>
      </c>
      <c r="C53" s="7" t="s">
        <v>1316</v>
      </c>
      <c r="D53" s="7" t="s">
        <v>1492</v>
      </c>
      <c r="G53" s="11" t="s">
        <v>1603</v>
      </c>
      <c r="H53" s="11" t="s">
        <v>1604</v>
      </c>
      <c r="I53" s="11" t="s">
        <v>1605</v>
      </c>
      <c r="J53" s="16" t="s">
        <v>84</v>
      </c>
    </row>
    <row r="54" spans="2:10">
      <c r="B54" s="11"/>
      <c r="C54" s="9"/>
      <c r="D54" s="9"/>
      <c r="G54" s="18" t="s">
        <v>1606</v>
      </c>
      <c r="H54" s="18" t="s">
        <v>1607</v>
      </c>
      <c r="I54" s="18" t="s">
        <v>1608</v>
      </c>
      <c r="J54" s="16" t="s">
        <v>79</v>
      </c>
    </row>
    <row r="55" ht="108" spans="2:10">
      <c r="B55" s="17" t="s">
        <v>1609</v>
      </c>
      <c r="C55" s="7" t="s">
        <v>200</v>
      </c>
      <c r="D55" s="7" t="s">
        <v>1492</v>
      </c>
      <c r="G55" s="11" t="s">
        <v>1610</v>
      </c>
      <c r="H55" s="11" t="s">
        <v>1611</v>
      </c>
      <c r="I55" s="11" t="s">
        <v>1612</v>
      </c>
      <c r="J55" s="7" t="s">
        <v>1591</v>
      </c>
    </row>
    <row r="56" ht="108" spans="2:10">
      <c r="B56" s="17" t="s">
        <v>1613</v>
      </c>
      <c r="C56" s="7" t="s">
        <v>1115</v>
      </c>
      <c r="D56" s="7" t="s">
        <v>79</v>
      </c>
      <c r="G56" s="11" t="s">
        <v>1614</v>
      </c>
      <c r="H56" s="11" t="s">
        <v>1615</v>
      </c>
      <c r="I56" s="11" t="s">
        <v>1616</v>
      </c>
      <c r="J56" s="16" t="s">
        <v>84</v>
      </c>
    </row>
    <row r="57" spans="2:10">
      <c r="B57" s="11" t="s">
        <v>708</v>
      </c>
      <c r="C57" s="7" t="s">
        <v>708</v>
      </c>
      <c r="D57" s="7" t="s">
        <v>1492</v>
      </c>
      <c r="G57" s="11" t="s">
        <v>1617</v>
      </c>
      <c r="H57" s="11" t="s">
        <v>1618</v>
      </c>
      <c r="I57" s="11" t="s">
        <v>1619</v>
      </c>
      <c r="J57" s="16" t="s">
        <v>84</v>
      </c>
    </row>
    <row r="58" spans="2:10">
      <c r="B58" s="11" t="s">
        <v>356</v>
      </c>
      <c r="C58" s="7" t="s">
        <v>356</v>
      </c>
      <c r="D58" s="7" t="s">
        <v>1492</v>
      </c>
      <c r="G58" s="18" t="s">
        <v>1620</v>
      </c>
      <c r="H58" s="18" t="s">
        <v>1621</v>
      </c>
      <c r="I58" s="18" t="s">
        <v>1348</v>
      </c>
      <c r="J58" s="16" t="s">
        <v>79</v>
      </c>
    </row>
    <row r="59" spans="2:10">
      <c r="B59" s="11" t="s">
        <v>1239</v>
      </c>
      <c r="C59" s="7" t="s">
        <v>1239</v>
      </c>
      <c r="D59" s="7" t="s">
        <v>1492</v>
      </c>
      <c r="G59" s="18" t="s">
        <v>1622</v>
      </c>
      <c r="H59" s="18" t="s">
        <v>1623</v>
      </c>
      <c r="I59" s="18" t="s">
        <v>1624</v>
      </c>
      <c r="J59" s="16" t="s">
        <v>79</v>
      </c>
    </row>
    <row r="60" ht="108" spans="2:10">
      <c r="B60" s="17" t="s">
        <v>1625</v>
      </c>
      <c r="C60" s="7" t="s">
        <v>1371</v>
      </c>
      <c r="D60" s="7" t="s">
        <v>1492</v>
      </c>
      <c r="G60" s="18" t="s">
        <v>1626</v>
      </c>
      <c r="H60" s="18" t="s">
        <v>1627</v>
      </c>
      <c r="I60" s="18" t="s">
        <v>1628</v>
      </c>
      <c r="J60" s="16" t="s">
        <v>79</v>
      </c>
    </row>
    <row r="61" ht="108" spans="2:10">
      <c r="B61" s="17" t="s">
        <v>1629</v>
      </c>
      <c r="C61" s="7" t="s">
        <v>985</v>
      </c>
      <c r="D61" s="7" t="s">
        <v>1492</v>
      </c>
      <c r="G61" s="18" t="s">
        <v>1630</v>
      </c>
      <c r="H61" s="18" t="s">
        <v>1631</v>
      </c>
      <c r="I61" s="18" t="s">
        <v>1632</v>
      </c>
      <c r="J61" s="16" t="s">
        <v>79</v>
      </c>
    </row>
    <row r="62" spans="2:10">
      <c r="B62" s="11" t="s">
        <v>103</v>
      </c>
      <c r="C62" s="7" t="s">
        <v>103</v>
      </c>
      <c r="D62" s="7" t="s">
        <v>84</v>
      </c>
      <c r="G62" s="21" t="s">
        <v>1633</v>
      </c>
      <c r="H62" s="21" t="s">
        <v>1634</v>
      </c>
      <c r="I62" s="21" t="s">
        <v>1365</v>
      </c>
      <c r="J62" s="16" t="s">
        <v>79</v>
      </c>
    </row>
    <row r="63" spans="2:10">
      <c r="B63" s="11" t="s">
        <v>1411</v>
      </c>
      <c r="C63" s="7" t="s">
        <v>1411</v>
      </c>
      <c r="D63" s="7" t="s">
        <v>79</v>
      </c>
      <c r="G63" s="9"/>
      <c r="H63" s="9"/>
      <c r="I63" s="7" t="s">
        <v>1590</v>
      </c>
      <c r="J63" s="7" t="s">
        <v>84</v>
      </c>
    </row>
    <row r="64" spans="2:10">
      <c r="B64" s="17"/>
      <c r="C64" s="9"/>
      <c r="D64" s="9"/>
      <c r="G64" s="9"/>
      <c r="H64" s="9"/>
      <c r="I64" s="9"/>
      <c r="J64" s="9"/>
    </row>
    <row r="65" spans="2:10">
      <c r="B65" s="11" t="s">
        <v>1405</v>
      </c>
      <c r="C65" s="7" t="s">
        <v>1405</v>
      </c>
      <c r="D65" s="7" t="s">
        <v>79</v>
      </c>
      <c r="G65" s="9"/>
      <c r="H65" s="9"/>
      <c r="I65" s="9"/>
      <c r="J65" s="9"/>
    </row>
    <row r="66" ht="108" spans="2:10">
      <c r="B66" s="17" t="s">
        <v>1635</v>
      </c>
      <c r="C66" s="7" t="s">
        <v>734</v>
      </c>
      <c r="D66" s="7" t="s">
        <v>84</v>
      </c>
      <c r="G66" s="9"/>
      <c r="H66" s="9"/>
      <c r="I66" s="9"/>
      <c r="J66" s="9"/>
    </row>
    <row r="67" ht="108" spans="2:10">
      <c r="B67" s="17" t="s">
        <v>1636</v>
      </c>
      <c r="C67" s="7" t="s">
        <v>937</v>
      </c>
      <c r="D67" s="7" t="s">
        <v>79</v>
      </c>
      <c r="G67" s="9"/>
      <c r="H67" s="9"/>
      <c r="I67" s="9"/>
      <c r="J67" s="9"/>
    </row>
    <row r="68" spans="2:10">
      <c r="B68" s="11" t="s">
        <v>406</v>
      </c>
      <c r="C68" s="7" t="s">
        <v>406</v>
      </c>
      <c r="D68" s="7" t="s">
        <v>1492</v>
      </c>
      <c r="G68" s="9"/>
      <c r="H68" s="9"/>
      <c r="I68" s="9"/>
      <c r="J68" s="9"/>
    </row>
    <row r="69" ht="108" spans="2:10">
      <c r="B69" s="17" t="s">
        <v>1637</v>
      </c>
      <c r="C69" s="7" t="s">
        <v>1163</v>
      </c>
      <c r="D69" s="7" t="s">
        <v>1492</v>
      </c>
      <c r="G69" s="9"/>
      <c r="H69" s="9"/>
      <c r="I69" s="9"/>
      <c r="J69" s="9"/>
    </row>
    <row r="70" ht="108" spans="2:10">
      <c r="B70" s="17" t="s">
        <v>1638</v>
      </c>
      <c r="C70" s="7" t="s">
        <v>1009</v>
      </c>
      <c r="D70" s="7" t="s">
        <v>1492</v>
      </c>
      <c r="G70" s="9"/>
      <c r="H70" s="9"/>
      <c r="I70" s="9"/>
      <c r="J70" s="9"/>
    </row>
    <row r="71" ht="108" spans="2:10">
      <c r="B71" s="17" t="s">
        <v>1639</v>
      </c>
      <c r="C71" s="7" t="s">
        <v>1209</v>
      </c>
      <c r="D71" s="7" t="s">
        <v>84</v>
      </c>
      <c r="G71" s="9"/>
      <c r="H71" s="9"/>
      <c r="I71" s="9"/>
      <c r="J71" s="9"/>
    </row>
    <row r="72" spans="2:10">
      <c r="B72" s="11" t="s">
        <v>200</v>
      </c>
      <c r="C72" s="7" t="s">
        <v>200</v>
      </c>
      <c r="D72" s="7" t="s">
        <v>1492</v>
      </c>
      <c r="G72" s="9"/>
      <c r="H72" s="9"/>
      <c r="I72" s="9"/>
      <c r="J72" s="9"/>
    </row>
    <row r="73" spans="2:10">
      <c r="B73" s="11"/>
      <c r="C73" s="9"/>
      <c r="D73" s="9"/>
      <c r="G73" s="9"/>
      <c r="H73" s="9"/>
      <c r="I73" s="9"/>
      <c r="J73" s="9"/>
    </row>
    <row r="74" ht="108" spans="2:10">
      <c r="B74" s="17" t="s">
        <v>1640</v>
      </c>
      <c r="C74" s="7" t="s">
        <v>114</v>
      </c>
      <c r="D74" s="7" t="s">
        <v>84</v>
      </c>
      <c r="G74" s="9"/>
      <c r="H74" s="9"/>
      <c r="I74" s="9"/>
      <c r="J74" s="9"/>
    </row>
    <row r="75" spans="2:10">
      <c r="B75" s="11" t="s">
        <v>870</v>
      </c>
      <c r="C75" s="7" t="s">
        <v>870</v>
      </c>
      <c r="D75" s="7" t="s">
        <v>1492</v>
      </c>
      <c r="G75" s="9"/>
      <c r="H75" s="9"/>
      <c r="I75" s="9"/>
      <c r="J75" s="9"/>
    </row>
    <row r="76" spans="2:10">
      <c r="B76" s="11" t="s">
        <v>1415</v>
      </c>
      <c r="C76" s="7" t="s">
        <v>1415</v>
      </c>
      <c r="D76" s="7" t="s">
        <v>1492</v>
      </c>
      <c r="G76" s="9"/>
      <c r="H76" s="9"/>
      <c r="I76" s="9"/>
      <c r="J76" s="9"/>
    </row>
    <row r="77" spans="2:10">
      <c r="B77" s="17"/>
      <c r="C77" s="9"/>
      <c r="D77" s="9"/>
      <c r="G77" s="9"/>
      <c r="H77" s="9"/>
      <c r="I77" s="9"/>
      <c r="J77" s="9"/>
    </row>
    <row r="78" spans="2:10">
      <c r="B78" s="11" t="s">
        <v>1394</v>
      </c>
      <c r="C78" s="7" t="s">
        <v>1394</v>
      </c>
      <c r="D78" s="7" t="s">
        <v>1492</v>
      </c>
      <c r="G78" s="9"/>
      <c r="H78" s="7" t="s">
        <v>1641</v>
      </c>
      <c r="I78" s="9"/>
      <c r="J78" s="9"/>
    </row>
    <row r="79" spans="2:10">
      <c r="B79" s="11" t="s">
        <v>1352</v>
      </c>
      <c r="C79" s="7" t="s">
        <v>1352</v>
      </c>
      <c r="D79" s="7" t="s">
        <v>1492</v>
      </c>
      <c r="G79" s="9"/>
      <c r="H79" s="7" t="s">
        <v>1642</v>
      </c>
      <c r="I79" s="9"/>
      <c r="J79" s="9"/>
    </row>
    <row r="80" ht="108" spans="2:10">
      <c r="B80" s="17" t="s">
        <v>1643</v>
      </c>
      <c r="C80" s="7" t="s">
        <v>1000</v>
      </c>
      <c r="D80" s="7" t="s">
        <v>1492</v>
      </c>
    </row>
    <row r="81" spans="2:4">
      <c r="B81" s="11" t="s">
        <v>1294</v>
      </c>
      <c r="C81" s="7" t="s">
        <v>1294</v>
      </c>
      <c r="D81" s="7" t="s">
        <v>79</v>
      </c>
    </row>
    <row r="82" spans="2:4">
      <c r="B82" s="17"/>
      <c r="C82" s="9"/>
      <c r="D82" s="9"/>
    </row>
    <row r="83" spans="2:4">
      <c r="B83" s="11" t="s">
        <v>1644</v>
      </c>
      <c r="C83" s="7" t="s">
        <v>1644</v>
      </c>
      <c r="D83" s="7" t="s">
        <v>79</v>
      </c>
    </row>
    <row r="84" spans="2:4">
      <c r="B84" s="17"/>
      <c r="C84" s="9"/>
      <c r="D84" s="9"/>
    </row>
    <row r="85" spans="2:4">
      <c r="B85" s="11"/>
      <c r="C85" s="9"/>
      <c r="D85" s="9"/>
    </row>
    <row r="86" ht="108" spans="2:4">
      <c r="B86" s="17" t="s">
        <v>1645</v>
      </c>
      <c r="C86" s="7" t="s">
        <v>549</v>
      </c>
      <c r="D86" s="7" t="s">
        <v>1492</v>
      </c>
    </row>
    <row r="87" spans="2:4">
      <c r="B87" s="11" t="s">
        <v>1231</v>
      </c>
      <c r="C87" s="7" t="s">
        <v>1231</v>
      </c>
      <c r="D87" s="7" t="s">
        <v>1492</v>
      </c>
    </row>
    <row r="88" spans="2:4">
      <c r="B88" s="11" t="s">
        <v>46</v>
      </c>
      <c r="C88" s="7" t="s">
        <v>46</v>
      </c>
      <c r="D88" s="7" t="s">
        <v>1492</v>
      </c>
    </row>
    <row r="89" ht="108" spans="2:4">
      <c r="B89" s="17" t="s">
        <v>1646</v>
      </c>
      <c r="C89" s="7" t="s">
        <v>1443</v>
      </c>
      <c r="D89" s="7" t="s">
        <v>79</v>
      </c>
    </row>
    <row r="90" ht="108" spans="2:4">
      <c r="B90" s="17" t="s">
        <v>1647</v>
      </c>
      <c r="C90" s="7" t="s">
        <v>1648</v>
      </c>
      <c r="D90" s="7" t="s">
        <v>79</v>
      </c>
    </row>
    <row r="91" spans="2:4">
      <c r="B91" s="11" t="s">
        <v>924</v>
      </c>
      <c r="C91" s="7" t="s">
        <v>924</v>
      </c>
      <c r="D91" s="7" t="s">
        <v>84</v>
      </c>
    </row>
    <row r="92" spans="2:4">
      <c r="B92" s="11"/>
      <c r="C92" s="9"/>
      <c r="D92" s="9"/>
    </row>
    <row r="93" spans="2:4">
      <c r="B93" s="11" t="s">
        <v>110</v>
      </c>
      <c r="C93" s="7" t="s">
        <v>110</v>
      </c>
      <c r="D93" s="7" t="s">
        <v>79</v>
      </c>
    </row>
    <row r="94" spans="2:4">
      <c r="B94" s="11"/>
      <c r="C94" s="9"/>
      <c r="D94" s="9"/>
    </row>
    <row r="95" ht="108" spans="2:4">
      <c r="B95" s="17" t="s">
        <v>1649</v>
      </c>
      <c r="C95" s="7" t="s">
        <v>1067</v>
      </c>
      <c r="D95" s="7" t="s">
        <v>1492</v>
      </c>
    </row>
    <row r="96" spans="2:4">
      <c r="B96" s="11" t="s">
        <v>31</v>
      </c>
      <c r="C96" s="7" t="s">
        <v>31</v>
      </c>
      <c r="D96" s="7" t="s">
        <v>79</v>
      </c>
    </row>
    <row r="97" spans="2:4">
      <c r="B97" s="11" t="s">
        <v>1427</v>
      </c>
      <c r="C97" s="7" t="s">
        <v>1427</v>
      </c>
      <c r="D97" s="9"/>
    </row>
    <row r="98" spans="2:4">
      <c r="B98" s="11"/>
      <c r="C98" s="9"/>
      <c r="D98" s="9"/>
    </row>
    <row r="99" spans="2:4">
      <c r="B99" s="11" t="s">
        <v>20</v>
      </c>
      <c r="C99" s="7" t="s">
        <v>20</v>
      </c>
      <c r="D99" s="7" t="s">
        <v>1492</v>
      </c>
    </row>
    <row r="100" spans="2:4">
      <c r="B100" s="11" t="s">
        <v>1129</v>
      </c>
      <c r="C100" s="7" t="s">
        <v>1129</v>
      </c>
      <c r="D100" s="7" t="s">
        <v>1492</v>
      </c>
    </row>
    <row r="101" spans="2:4">
      <c r="B101" s="11" t="s">
        <v>17</v>
      </c>
      <c r="C101" s="7" t="s">
        <v>17</v>
      </c>
      <c r="D101" s="7" t="s">
        <v>1492</v>
      </c>
    </row>
    <row r="102" spans="2:4">
      <c r="B102" s="11" t="s">
        <v>1090</v>
      </c>
      <c r="C102" s="7" t="s">
        <v>1090</v>
      </c>
      <c r="D102" s="7" t="s">
        <v>1492</v>
      </c>
    </row>
    <row r="103" spans="2:4">
      <c r="B103" s="11" t="s">
        <v>18</v>
      </c>
      <c r="C103" s="7" t="s">
        <v>18</v>
      </c>
      <c r="D103" s="7" t="s">
        <v>1492</v>
      </c>
    </row>
    <row r="104" spans="2:4">
      <c r="B104" s="11" t="s">
        <v>615</v>
      </c>
      <c r="C104" s="7" t="s">
        <v>615</v>
      </c>
      <c r="D104" s="7" t="s">
        <v>1492</v>
      </c>
    </row>
    <row r="105" spans="2:4">
      <c r="B105" s="11" t="s">
        <v>32</v>
      </c>
      <c r="C105" s="7" t="s">
        <v>32</v>
      </c>
      <c r="D105" s="7" t="s">
        <v>79</v>
      </c>
    </row>
    <row r="106" spans="2:4">
      <c r="B106" s="11" t="s">
        <v>782</v>
      </c>
      <c r="C106" s="7" t="s">
        <v>782</v>
      </c>
      <c r="D106" s="7" t="s">
        <v>1492</v>
      </c>
    </row>
    <row r="107" spans="2:4">
      <c r="B107" s="11" t="s">
        <v>730</v>
      </c>
      <c r="C107" s="7" t="s">
        <v>730</v>
      </c>
      <c r="D107" s="7" t="s">
        <v>1492</v>
      </c>
    </row>
    <row r="108" spans="2:4">
      <c r="B108" s="11" t="s">
        <v>754</v>
      </c>
      <c r="C108" s="7" t="s">
        <v>754</v>
      </c>
      <c r="D108" s="7" t="s">
        <v>79</v>
      </c>
    </row>
    <row r="109" ht="40.5" spans="2:4">
      <c r="B109" s="22" t="s">
        <v>1650</v>
      </c>
      <c r="C109" s="6" t="s">
        <v>15</v>
      </c>
      <c r="D109" s="7" t="s">
        <v>1492</v>
      </c>
    </row>
    <row r="110" ht="27" spans="2:4">
      <c r="B110" s="22" t="s">
        <v>1651</v>
      </c>
      <c r="C110" s="6" t="s">
        <v>615</v>
      </c>
      <c r="D110" s="7" t="s">
        <v>79</v>
      </c>
    </row>
    <row r="111" ht="27" spans="2:4">
      <c r="B111" s="22" t="s">
        <v>1652</v>
      </c>
      <c r="C111" s="6" t="s">
        <v>1086</v>
      </c>
      <c r="D111" s="7" t="s">
        <v>79</v>
      </c>
    </row>
    <row r="112" ht="27" spans="2:4">
      <c r="B112" s="22" t="s">
        <v>1653</v>
      </c>
      <c r="C112" s="6" t="s">
        <v>1394</v>
      </c>
      <c r="D112" s="7" t="s">
        <v>79</v>
      </c>
    </row>
    <row r="113" ht="40.5" spans="2:4">
      <c r="B113" s="22" t="s">
        <v>1654</v>
      </c>
      <c r="C113" s="6" t="s">
        <v>388</v>
      </c>
      <c r="D113" s="7" t="s">
        <v>79</v>
      </c>
    </row>
    <row r="114" ht="40.5" spans="2:4">
      <c r="B114" s="22" t="s">
        <v>1655</v>
      </c>
      <c r="C114" s="6" t="s">
        <v>17</v>
      </c>
      <c r="D114" s="7" t="s">
        <v>1492</v>
      </c>
    </row>
    <row r="115" ht="27" spans="2:4">
      <c r="B115" s="22" t="s">
        <v>1656</v>
      </c>
      <c r="C115" s="6" t="s">
        <v>1401</v>
      </c>
      <c r="D115" s="7" t="s">
        <v>79</v>
      </c>
    </row>
    <row r="116" ht="40.5" spans="2:4">
      <c r="B116" s="22" t="s">
        <v>1657</v>
      </c>
      <c r="C116" s="6" t="s">
        <v>1090</v>
      </c>
      <c r="D116" s="7" t="s">
        <v>79</v>
      </c>
    </row>
    <row r="117" ht="54" spans="2:4">
      <c r="B117" s="8" t="s">
        <v>1658</v>
      </c>
      <c r="C117" s="8" t="s">
        <v>754</v>
      </c>
      <c r="D117" s="7" t="s">
        <v>79</v>
      </c>
    </row>
    <row r="118" ht="54" spans="2:4">
      <c r="B118" s="8" t="s">
        <v>1659</v>
      </c>
      <c r="C118" s="8" t="s">
        <v>1427</v>
      </c>
      <c r="D118" s="9"/>
    </row>
    <row r="119" ht="67.5" spans="2:4">
      <c r="B119" s="8" t="s">
        <v>1660</v>
      </c>
      <c r="C119" s="8" t="s">
        <v>33</v>
      </c>
      <c r="D119" s="7" t="s">
        <v>79</v>
      </c>
    </row>
    <row r="120" ht="67.5" spans="2:4">
      <c r="B120" s="8" t="s">
        <v>1661</v>
      </c>
      <c r="C120" s="8" t="s">
        <v>34</v>
      </c>
      <c r="D120" s="7" t="s">
        <v>79</v>
      </c>
    </row>
    <row r="121" ht="67.5" spans="2:4">
      <c r="B121" s="8" t="s">
        <v>1662</v>
      </c>
      <c r="C121" s="8" t="s">
        <v>35</v>
      </c>
      <c r="D121" s="7" t="s">
        <v>79</v>
      </c>
    </row>
    <row r="122" ht="67.5" spans="2:4">
      <c r="B122" s="8" t="s">
        <v>1663</v>
      </c>
      <c r="C122" s="8" t="s">
        <v>36</v>
      </c>
      <c r="D122" s="7" t="s">
        <v>79</v>
      </c>
    </row>
    <row r="123" ht="24" spans="2:4">
      <c r="B123" s="6" t="s">
        <v>1664</v>
      </c>
      <c r="C123" s="6" t="s">
        <v>27</v>
      </c>
      <c r="D123" s="7" t="s">
        <v>79</v>
      </c>
    </row>
    <row r="124" ht="24" spans="2:4">
      <c r="B124" s="6" t="s">
        <v>1665</v>
      </c>
      <c r="C124" s="6" t="s">
        <v>28</v>
      </c>
      <c r="D124" s="7" t="s">
        <v>79</v>
      </c>
    </row>
    <row r="125" ht="36" spans="2:4">
      <c r="B125" s="6" t="s">
        <v>1666</v>
      </c>
      <c r="C125" s="6" t="s">
        <v>29</v>
      </c>
      <c r="D125" s="7" t="s">
        <v>79</v>
      </c>
    </row>
    <row r="126" ht="36" spans="2:4">
      <c r="B126" s="6" t="s">
        <v>1667</v>
      </c>
      <c r="C126" s="6" t="s">
        <v>30</v>
      </c>
      <c r="D126" s="7" t="s">
        <v>79</v>
      </c>
    </row>
    <row r="127" ht="24" spans="2:4">
      <c r="B127" s="6" t="s">
        <v>1668</v>
      </c>
      <c r="C127" s="6" t="s">
        <v>46</v>
      </c>
      <c r="D127" s="7" t="s">
        <v>79</v>
      </c>
    </row>
    <row r="128" ht="24" spans="2:4">
      <c r="B128" s="6" t="s">
        <v>1669</v>
      </c>
      <c r="C128" s="6" t="s">
        <v>44</v>
      </c>
      <c r="D128" s="7" t="s">
        <v>79</v>
      </c>
    </row>
    <row r="129" ht="24" spans="2:4">
      <c r="B129" s="6" t="s">
        <v>1670</v>
      </c>
      <c r="C129" s="6" t="s">
        <v>45</v>
      </c>
      <c r="D129" s="7" t="s">
        <v>79</v>
      </c>
    </row>
    <row r="130" ht="24" spans="2:4">
      <c r="B130" s="6" t="s">
        <v>1671</v>
      </c>
      <c r="C130" s="10" t="s">
        <v>1013</v>
      </c>
      <c r="D130" s="7" t="s">
        <v>79</v>
      </c>
    </row>
    <row r="131" ht="24" spans="2:4">
      <c r="B131" s="6" t="s">
        <v>1672</v>
      </c>
      <c r="C131" s="10" t="s">
        <v>1125</v>
      </c>
      <c r="D131" s="7" t="s">
        <v>79</v>
      </c>
    </row>
    <row r="132" ht="24" spans="2:4">
      <c r="B132" s="6" t="s">
        <v>1673</v>
      </c>
      <c r="C132" s="11" t="s">
        <v>1405</v>
      </c>
      <c r="D132" s="7" t="s">
        <v>1492</v>
      </c>
    </row>
    <row r="133" ht="24" spans="2:4">
      <c r="B133" s="6" t="s">
        <v>1674</v>
      </c>
      <c r="C133" s="12" t="s">
        <v>654</v>
      </c>
      <c r="D133" s="7" t="s">
        <v>1492</v>
      </c>
    </row>
    <row r="134" ht="24" spans="2:4">
      <c r="B134" s="6" t="s">
        <v>1675</v>
      </c>
      <c r="C134" s="12" t="s">
        <v>1283</v>
      </c>
      <c r="D134" s="7" t="s">
        <v>79</v>
      </c>
    </row>
    <row r="135" ht="36" spans="2:4">
      <c r="B135" s="6" t="s">
        <v>1676</v>
      </c>
      <c r="C135" s="11" t="s">
        <v>819</v>
      </c>
      <c r="D135" s="7" t="s">
        <v>79</v>
      </c>
    </row>
    <row r="136" ht="24" spans="2:4">
      <c r="B136" s="6" t="s">
        <v>1677</v>
      </c>
      <c r="C136" s="11" t="s">
        <v>1009</v>
      </c>
      <c r="D136" s="7" t="s">
        <v>1492</v>
      </c>
    </row>
    <row r="137" ht="24" spans="2:4">
      <c r="B137" s="6" t="s">
        <v>1678</v>
      </c>
      <c r="C137" s="11" t="s">
        <v>808</v>
      </c>
      <c r="D137" s="7" t="s">
        <v>1492</v>
      </c>
    </row>
    <row r="138" ht="24" spans="2:4">
      <c r="B138" s="6" t="s">
        <v>1679</v>
      </c>
      <c r="C138" s="11" t="s">
        <v>406</v>
      </c>
      <c r="D138" s="7" t="s">
        <v>1492</v>
      </c>
    </row>
    <row r="139" ht="24" spans="2:4">
      <c r="B139" s="6" t="s">
        <v>1680</v>
      </c>
      <c r="C139" s="11" t="s">
        <v>985</v>
      </c>
      <c r="D139" s="7" t="s">
        <v>1492</v>
      </c>
    </row>
    <row r="140" ht="24" spans="2:4">
      <c r="B140" s="6" t="s">
        <v>1681</v>
      </c>
      <c r="C140" s="11" t="s">
        <v>1316</v>
      </c>
      <c r="D140" s="7" t="s">
        <v>1492</v>
      </c>
    </row>
    <row r="141" ht="24" spans="2:4">
      <c r="B141" s="6" t="s">
        <v>1682</v>
      </c>
      <c r="C141" s="11" t="s">
        <v>870</v>
      </c>
      <c r="D141" s="7" t="s">
        <v>1492</v>
      </c>
    </row>
    <row r="142" ht="24" spans="2:4">
      <c r="B142" s="6" t="s">
        <v>1683</v>
      </c>
      <c r="C142" s="11" t="s">
        <v>782</v>
      </c>
      <c r="D142" s="7" t="s">
        <v>1492</v>
      </c>
    </row>
  </sheetData>
  <mergeCells count="1">
    <mergeCell ref="G9:I9"/>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7:P245"/>
  <sheetViews>
    <sheetView workbookViewId="0">
      <selection activeCell="P9" sqref="P9"/>
    </sheetView>
  </sheetViews>
  <sheetFormatPr defaultColWidth="9" defaultRowHeight="13.5"/>
  <sheetData>
    <row r="7" spans="6:16">
      <c r="F7" t="s">
        <v>1684</v>
      </c>
      <c r="K7" t="s">
        <v>1685</v>
      </c>
      <c r="P7" t="s">
        <v>1686</v>
      </c>
    </row>
    <row r="9" spans="6:16">
      <c r="F9" t="s">
        <v>201</v>
      </c>
      <c r="G9" t="s">
        <v>84</v>
      </c>
      <c r="K9" t="s">
        <v>1479</v>
      </c>
      <c r="L9" t="s">
        <v>84</v>
      </c>
    </row>
    <row r="10" spans="6:16">
      <c r="F10" t="s">
        <v>201</v>
      </c>
      <c r="G10" t="s">
        <v>1477</v>
      </c>
      <c r="K10" t="s">
        <v>421</v>
      </c>
      <c r="L10" t="s">
        <v>84</v>
      </c>
    </row>
    <row r="11" spans="6:16">
      <c r="F11" t="s">
        <v>165</v>
      </c>
      <c r="G11" t="s">
        <v>84</v>
      </c>
      <c r="K11" t="s">
        <v>1481</v>
      </c>
      <c r="L11" t="s">
        <v>79</v>
      </c>
    </row>
    <row r="12" spans="6:16">
      <c r="F12" t="s">
        <v>1687</v>
      </c>
      <c r="G12" t="s">
        <v>84</v>
      </c>
      <c r="K12" t="s">
        <v>73</v>
      </c>
      <c r="L12" t="s">
        <v>79</v>
      </c>
    </row>
    <row r="13" spans="6:16">
      <c r="F13" t="s">
        <v>165</v>
      </c>
      <c r="G13" t="s">
        <v>1477</v>
      </c>
      <c r="K13" t="s">
        <v>1483</v>
      </c>
      <c r="L13" t="s">
        <v>79</v>
      </c>
    </row>
    <row r="14" spans="6:16">
      <c r="F14" t="s">
        <v>116</v>
      </c>
      <c r="G14" t="s">
        <v>84</v>
      </c>
      <c r="K14" t="s">
        <v>1484</v>
      </c>
      <c r="L14" t="s">
        <v>79</v>
      </c>
    </row>
    <row r="15" spans="6:16">
      <c r="F15" t="s">
        <v>116</v>
      </c>
      <c r="G15" t="s">
        <v>1477</v>
      </c>
      <c r="K15" t="s">
        <v>1486</v>
      </c>
      <c r="L15" t="s">
        <v>1492</v>
      </c>
    </row>
    <row r="16" spans="6:16">
      <c r="F16" t="s">
        <v>127</v>
      </c>
      <c r="G16" t="s">
        <v>84</v>
      </c>
      <c r="K16" t="s">
        <v>1487</v>
      </c>
      <c r="L16" t="s">
        <v>1492</v>
      </c>
    </row>
    <row r="17" spans="6:12">
      <c r="F17" t="s">
        <v>127</v>
      </c>
      <c r="G17" t="s">
        <v>1477</v>
      </c>
      <c r="K17" t="s">
        <v>1490</v>
      </c>
      <c r="L17" t="s">
        <v>1492</v>
      </c>
    </row>
    <row r="18" spans="6:12">
      <c r="F18" t="s">
        <v>218</v>
      </c>
      <c r="G18" t="s">
        <v>84</v>
      </c>
      <c r="K18" t="s">
        <v>1491</v>
      </c>
      <c r="L18" t="s">
        <v>1492</v>
      </c>
    </row>
    <row r="19" spans="6:12">
      <c r="F19" t="s">
        <v>1688</v>
      </c>
      <c r="G19" t="s">
        <v>84</v>
      </c>
      <c r="K19" t="s">
        <v>1495</v>
      </c>
      <c r="L19" t="s">
        <v>79</v>
      </c>
    </row>
    <row r="20" spans="6:12">
      <c r="F20" t="s">
        <v>218</v>
      </c>
      <c r="G20" t="s">
        <v>1477</v>
      </c>
      <c r="K20" t="s">
        <v>1496</v>
      </c>
      <c r="L20" t="s">
        <v>79</v>
      </c>
    </row>
    <row r="21" spans="6:12">
      <c r="F21" t="s">
        <v>108</v>
      </c>
      <c r="G21" t="s">
        <v>84</v>
      </c>
      <c r="K21" t="s">
        <v>1498</v>
      </c>
      <c r="L21" t="s">
        <v>84</v>
      </c>
    </row>
    <row r="22" spans="6:12">
      <c r="F22" t="s">
        <v>108</v>
      </c>
      <c r="G22" t="s">
        <v>1477</v>
      </c>
      <c r="K22" t="s">
        <v>1499</v>
      </c>
      <c r="L22" t="s">
        <v>84</v>
      </c>
    </row>
    <row r="23" spans="6:12">
      <c r="F23" t="s">
        <v>128</v>
      </c>
      <c r="G23" t="s">
        <v>84</v>
      </c>
      <c r="K23" t="s">
        <v>1501</v>
      </c>
      <c r="L23" t="s">
        <v>79</v>
      </c>
    </row>
    <row r="24" spans="6:12">
      <c r="F24" t="s">
        <v>1688</v>
      </c>
      <c r="G24" t="s">
        <v>84</v>
      </c>
      <c r="K24" t="s">
        <v>1502</v>
      </c>
      <c r="L24" t="s">
        <v>79</v>
      </c>
    </row>
    <row r="25" spans="6:12">
      <c r="F25" t="s">
        <v>128</v>
      </c>
      <c r="G25" t="s">
        <v>1477</v>
      </c>
      <c r="K25" t="s">
        <v>1505</v>
      </c>
      <c r="L25" t="s">
        <v>84</v>
      </c>
    </row>
    <row r="26" spans="6:12">
      <c r="F26" t="s">
        <v>1013</v>
      </c>
      <c r="G26" t="s">
        <v>84</v>
      </c>
      <c r="K26" t="s">
        <v>1506</v>
      </c>
      <c r="L26" t="s">
        <v>84</v>
      </c>
    </row>
    <row r="27" spans="6:12">
      <c r="F27" t="s">
        <v>1013</v>
      </c>
      <c r="G27" t="s">
        <v>1477</v>
      </c>
      <c r="K27" t="s">
        <v>1508</v>
      </c>
      <c r="L27" t="s">
        <v>84</v>
      </c>
    </row>
    <row r="28" spans="6:12">
      <c r="F28" t="s">
        <v>1279</v>
      </c>
      <c r="G28" t="s">
        <v>84</v>
      </c>
      <c r="K28" t="s">
        <v>1509</v>
      </c>
      <c r="L28" t="s">
        <v>84</v>
      </c>
    </row>
    <row r="29" spans="6:12">
      <c r="F29" t="s">
        <v>1689</v>
      </c>
      <c r="G29" t="s">
        <v>84</v>
      </c>
      <c r="K29" t="s">
        <v>1511</v>
      </c>
      <c r="L29" t="s">
        <v>84</v>
      </c>
    </row>
    <row r="30" spans="6:12">
      <c r="F30" t="s">
        <v>1279</v>
      </c>
      <c r="G30" t="s">
        <v>1477</v>
      </c>
      <c r="K30" t="s">
        <v>120</v>
      </c>
      <c r="L30" t="s">
        <v>84</v>
      </c>
    </row>
    <row r="31" spans="6:12">
      <c r="F31" t="s">
        <v>1320</v>
      </c>
      <c r="G31" t="s">
        <v>84</v>
      </c>
      <c r="K31" t="s">
        <v>1512</v>
      </c>
      <c r="L31" t="s">
        <v>84</v>
      </c>
    </row>
    <row r="32" spans="6:12">
      <c r="F32" t="s">
        <v>1320</v>
      </c>
      <c r="G32" t="s">
        <v>84</v>
      </c>
      <c r="K32" t="s">
        <v>75</v>
      </c>
      <c r="L32" t="s">
        <v>84</v>
      </c>
    </row>
    <row r="33" spans="6:12">
      <c r="F33" t="s">
        <v>1283</v>
      </c>
      <c r="G33" t="s">
        <v>84</v>
      </c>
      <c r="K33" t="s">
        <v>1514</v>
      </c>
      <c r="L33" t="s">
        <v>79</v>
      </c>
    </row>
    <row r="34" spans="6:12">
      <c r="F34" t="s">
        <v>1283</v>
      </c>
      <c r="G34" t="s">
        <v>84</v>
      </c>
      <c r="K34" t="s">
        <v>1515</v>
      </c>
      <c r="L34" t="s">
        <v>79</v>
      </c>
    </row>
    <row r="35" spans="6:12">
      <c r="F35" t="s">
        <v>106</v>
      </c>
      <c r="G35" t="s">
        <v>84</v>
      </c>
      <c r="K35" t="s">
        <v>1518</v>
      </c>
      <c r="L35" t="s">
        <v>79</v>
      </c>
    </row>
    <row r="36" spans="6:12">
      <c r="F36" t="s">
        <v>106</v>
      </c>
      <c r="G36" t="s">
        <v>84</v>
      </c>
      <c r="K36" t="s">
        <v>1519</v>
      </c>
      <c r="L36" t="s">
        <v>79</v>
      </c>
    </row>
    <row r="37" spans="6:12">
      <c r="F37" t="s">
        <v>121</v>
      </c>
      <c r="G37" t="s">
        <v>79</v>
      </c>
      <c r="K37" t="s">
        <v>1521</v>
      </c>
      <c r="L37" t="s">
        <v>79</v>
      </c>
    </row>
    <row r="38" spans="6:12">
      <c r="F38" t="s">
        <v>121</v>
      </c>
      <c r="G38" t="s">
        <v>79</v>
      </c>
      <c r="K38" t="s">
        <v>1522</v>
      </c>
      <c r="L38" t="s">
        <v>79</v>
      </c>
    </row>
    <row r="39" spans="6:12">
      <c r="F39" t="s">
        <v>229</v>
      </c>
      <c r="G39" t="s">
        <v>79</v>
      </c>
      <c r="K39" t="s">
        <v>1525</v>
      </c>
      <c r="L39" t="s">
        <v>79</v>
      </c>
    </row>
    <row r="40" spans="6:12">
      <c r="F40" t="s">
        <v>1690</v>
      </c>
      <c r="G40" t="s">
        <v>79</v>
      </c>
      <c r="K40" t="s">
        <v>1526</v>
      </c>
      <c r="L40" t="s">
        <v>79</v>
      </c>
    </row>
    <row r="41" spans="6:12">
      <c r="F41" t="s">
        <v>229</v>
      </c>
      <c r="G41" t="s">
        <v>79</v>
      </c>
      <c r="K41" t="s">
        <v>1528</v>
      </c>
      <c r="L41" t="s">
        <v>84</v>
      </c>
    </row>
    <row r="42" spans="6:12">
      <c r="F42" t="s">
        <v>1205</v>
      </c>
      <c r="G42" t="s">
        <v>79</v>
      </c>
      <c r="K42" t="s">
        <v>1529</v>
      </c>
      <c r="L42" t="s">
        <v>84</v>
      </c>
    </row>
    <row r="43" spans="6:12">
      <c r="F43" t="s">
        <v>1205</v>
      </c>
      <c r="G43" t="s">
        <v>79</v>
      </c>
      <c r="K43" t="s">
        <v>1532</v>
      </c>
      <c r="L43" t="s">
        <v>79</v>
      </c>
    </row>
    <row r="44" spans="6:12">
      <c r="F44" t="s">
        <v>113</v>
      </c>
      <c r="G44" t="s">
        <v>84</v>
      </c>
      <c r="K44" t="s">
        <v>117</v>
      </c>
      <c r="L44" t="s">
        <v>79</v>
      </c>
    </row>
    <row r="45" spans="6:12">
      <c r="F45" t="s">
        <v>1691</v>
      </c>
      <c r="G45" t="s">
        <v>84</v>
      </c>
      <c r="K45" t="s">
        <v>1535</v>
      </c>
      <c r="L45" t="s">
        <v>79</v>
      </c>
    </row>
    <row r="46" spans="6:12">
      <c r="F46" t="s">
        <v>113</v>
      </c>
      <c r="G46" t="s">
        <v>1477</v>
      </c>
      <c r="K46" t="s">
        <v>1536</v>
      </c>
      <c r="L46" t="s">
        <v>79</v>
      </c>
    </row>
    <row r="47" spans="6:12">
      <c r="F47" t="s">
        <v>912</v>
      </c>
      <c r="G47" t="s">
        <v>79</v>
      </c>
      <c r="K47" t="s">
        <v>1537</v>
      </c>
      <c r="L47" t="s">
        <v>79</v>
      </c>
    </row>
    <row r="48" spans="6:12">
      <c r="F48" t="s">
        <v>912</v>
      </c>
      <c r="G48" t="s">
        <v>79</v>
      </c>
      <c r="K48" t="s">
        <v>78</v>
      </c>
      <c r="L48" t="s">
        <v>79</v>
      </c>
    </row>
    <row r="49" spans="6:12">
      <c r="F49" t="s">
        <v>568</v>
      </c>
      <c r="G49" t="s">
        <v>79</v>
      </c>
      <c r="K49" t="s">
        <v>1539</v>
      </c>
      <c r="L49" t="s">
        <v>79</v>
      </c>
    </row>
    <row r="50" spans="6:12">
      <c r="F50" t="s">
        <v>1690</v>
      </c>
      <c r="G50" t="s">
        <v>79</v>
      </c>
      <c r="K50" t="s">
        <v>1540</v>
      </c>
      <c r="L50" t="s">
        <v>79</v>
      </c>
    </row>
    <row r="51" spans="6:12">
      <c r="F51" t="s">
        <v>568</v>
      </c>
      <c r="G51" t="s">
        <v>79</v>
      </c>
      <c r="K51" t="s">
        <v>1543</v>
      </c>
      <c r="L51" t="s">
        <v>84</v>
      </c>
    </row>
    <row r="52" spans="6:12">
      <c r="F52" t="s">
        <v>776</v>
      </c>
      <c r="G52" t="s">
        <v>79</v>
      </c>
      <c r="K52" t="s">
        <v>1544</v>
      </c>
      <c r="L52" t="s">
        <v>84</v>
      </c>
    </row>
    <row r="53" spans="6:12">
      <c r="F53" t="s">
        <v>1688</v>
      </c>
      <c r="G53" t="s">
        <v>79</v>
      </c>
      <c r="K53" t="s">
        <v>1547</v>
      </c>
      <c r="L53" t="s">
        <v>84</v>
      </c>
    </row>
    <row r="54" spans="6:12">
      <c r="F54" t="s">
        <v>776</v>
      </c>
      <c r="G54" t="s">
        <v>79</v>
      </c>
      <c r="K54" t="s">
        <v>1548</v>
      </c>
      <c r="L54" t="s">
        <v>84</v>
      </c>
    </row>
    <row r="55" spans="6:12">
      <c r="F55" t="s">
        <v>104</v>
      </c>
      <c r="G55" t="s">
        <v>79</v>
      </c>
      <c r="K55" t="s">
        <v>1550</v>
      </c>
      <c r="L55" t="s">
        <v>84</v>
      </c>
    </row>
    <row r="56" spans="6:12">
      <c r="F56" t="s">
        <v>104</v>
      </c>
      <c r="G56" t="s">
        <v>79</v>
      </c>
      <c r="K56" t="s">
        <v>1551</v>
      </c>
      <c r="L56" t="s">
        <v>84</v>
      </c>
    </row>
    <row r="57" spans="6:12">
      <c r="F57" t="s">
        <v>841</v>
      </c>
      <c r="G57" t="s">
        <v>79</v>
      </c>
      <c r="K57" t="s">
        <v>1554</v>
      </c>
      <c r="L57" t="s">
        <v>79</v>
      </c>
    </row>
    <row r="58" spans="6:12">
      <c r="F58" t="s">
        <v>841</v>
      </c>
      <c r="G58" t="s">
        <v>79</v>
      </c>
      <c r="K58" t="s">
        <v>1555</v>
      </c>
      <c r="L58" t="s">
        <v>79</v>
      </c>
    </row>
    <row r="59" spans="6:12">
      <c r="F59" t="s">
        <v>123</v>
      </c>
      <c r="G59" t="s">
        <v>84</v>
      </c>
      <c r="K59" t="s">
        <v>1557</v>
      </c>
      <c r="L59" t="s">
        <v>79</v>
      </c>
    </row>
    <row r="60" spans="6:12">
      <c r="F60" t="s">
        <v>1692</v>
      </c>
      <c r="G60" t="s">
        <v>84</v>
      </c>
      <c r="K60" t="s">
        <v>72</v>
      </c>
      <c r="L60" t="s">
        <v>79</v>
      </c>
    </row>
    <row r="61" spans="6:12">
      <c r="F61" t="s">
        <v>123</v>
      </c>
      <c r="G61" t="s">
        <v>84</v>
      </c>
      <c r="K61" t="s">
        <v>1559</v>
      </c>
      <c r="L61" t="s">
        <v>1492</v>
      </c>
    </row>
    <row r="62" spans="6:12">
      <c r="F62" t="s">
        <v>1047</v>
      </c>
      <c r="G62" t="s">
        <v>84</v>
      </c>
      <c r="K62" t="s">
        <v>1560</v>
      </c>
      <c r="L62" t="s">
        <v>1492</v>
      </c>
    </row>
    <row r="63" spans="6:12">
      <c r="F63" t="s">
        <v>1688</v>
      </c>
      <c r="G63" t="s">
        <v>84</v>
      </c>
      <c r="K63" t="s">
        <v>1562</v>
      </c>
      <c r="L63" t="s">
        <v>1492</v>
      </c>
    </row>
    <row r="64" spans="6:12">
      <c r="F64" t="s">
        <v>1047</v>
      </c>
      <c r="G64" t="s">
        <v>84</v>
      </c>
      <c r="K64" t="s">
        <v>1563</v>
      </c>
      <c r="L64" t="s">
        <v>1492</v>
      </c>
    </row>
    <row r="65" spans="6:12">
      <c r="F65" t="s">
        <v>819</v>
      </c>
      <c r="G65" t="s">
        <v>79</v>
      </c>
      <c r="K65" t="s">
        <v>1566</v>
      </c>
      <c r="L65" t="s">
        <v>79</v>
      </c>
    </row>
    <row r="66" spans="6:12">
      <c r="F66" t="s">
        <v>819</v>
      </c>
      <c r="G66" t="s">
        <v>79</v>
      </c>
      <c r="K66" t="s">
        <v>1567</v>
      </c>
      <c r="L66" t="s">
        <v>79</v>
      </c>
    </row>
    <row r="67" spans="6:12">
      <c r="F67" t="s">
        <v>1464</v>
      </c>
      <c r="G67" t="s">
        <v>84</v>
      </c>
      <c r="K67" t="s">
        <v>1569</v>
      </c>
      <c r="L67" t="s">
        <v>79</v>
      </c>
    </row>
    <row r="68" spans="6:12">
      <c r="F68" t="s">
        <v>1688</v>
      </c>
      <c r="G68" t="s">
        <v>84</v>
      </c>
      <c r="K68" t="s">
        <v>1570</v>
      </c>
      <c r="L68" t="s">
        <v>79</v>
      </c>
    </row>
    <row r="69" spans="6:12">
      <c r="F69" t="s">
        <v>1464</v>
      </c>
      <c r="G69" t="s">
        <v>84</v>
      </c>
      <c r="K69" t="s">
        <v>1573</v>
      </c>
      <c r="L69" t="s">
        <v>84</v>
      </c>
    </row>
    <row r="70" spans="6:12">
      <c r="F70" t="s">
        <v>837</v>
      </c>
      <c r="G70" t="s">
        <v>84</v>
      </c>
      <c r="K70" t="s">
        <v>1574</v>
      </c>
      <c r="L70" t="s">
        <v>84</v>
      </c>
    </row>
    <row r="71" spans="6:12">
      <c r="F71" t="s">
        <v>1693</v>
      </c>
      <c r="G71" t="s">
        <v>84</v>
      </c>
      <c r="K71" t="s">
        <v>1575</v>
      </c>
      <c r="L71" t="s">
        <v>79</v>
      </c>
    </row>
    <row r="72" spans="6:12">
      <c r="F72" t="s">
        <v>837</v>
      </c>
      <c r="G72" t="s">
        <v>84</v>
      </c>
      <c r="K72" t="s">
        <v>71</v>
      </c>
      <c r="L72" t="s">
        <v>79</v>
      </c>
    </row>
    <row r="73" spans="6:12">
      <c r="F73" t="s">
        <v>654</v>
      </c>
      <c r="G73" t="s">
        <v>79</v>
      </c>
      <c r="K73" t="s">
        <v>1577</v>
      </c>
      <c r="L73" t="s">
        <v>84</v>
      </c>
    </row>
    <row r="74" spans="6:12">
      <c r="F74" t="s">
        <v>654</v>
      </c>
      <c r="G74" t="s">
        <v>79</v>
      </c>
      <c r="K74" t="s">
        <v>1578</v>
      </c>
      <c r="L74" t="s">
        <v>84</v>
      </c>
    </row>
    <row r="75" spans="6:12">
      <c r="F75" t="s">
        <v>1423</v>
      </c>
      <c r="G75" t="s">
        <v>79</v>
      </c>
      <c r="K75" t="s">
        <v>1580</v>
      </c>
      <c r="L75" t="s">
        <v>79</v>
      </c>
    </row>
    <row r="76" spans="6:12">
      <c r="F76" t="s">
        <v>1423</v>
      </c>
      <c r="G76" t="s">
        <v>79</v>
      </c>
      <c r="K76" t="s">
        <v>1581</v>
      </c>
      <c r="L76" t="s">
        <v>79</v>
      </c>
    </row>
    <row r="77" spans="6:12">
      <c r="F77" t="s">
        <v>649</v>
      </c>
      <c r="G77" t="s">
        <v>84</v>
      </c>
      <c r="K77" t="s">
        <v>1583</v>
      </c>
      <c r="L77" t="s">
        <v>79</v>
      </c>
    </row>
    <row r="78" spans="6:12">
      <c r="F78" t="s">
        <v>1688</v>
      </c>
      <c r="G78" t="s">
        <v>84</v>
      </c>
      <c r="K78" t="s">
        <v>1584</v>
      </c>
      <c r="L78" t="s">
        <v>79</v>
      </c>
    </row>
    <row r="79" spans="6:12">
      <c r="F79" t="s">
        <v>649</v>
      </c>
      <c r="G79" t="s">
        <v>84</v>
      </c>
      <c r="K79" t="s">
        <v>1586</v>
      </c>
      <c r="L79" t="s">
        <v>84</v>
      </c>
    </row>
    <row r="80" spans="6:12">
      <c r="F80" t="s">
        <v>792</v>
      </c>
      <c r="G80" t="s">
        <v>1492</v>
      </c>
      <c r="K80" t="s">
        <v>1587</v>
      </c>
      <c r="L80" t="s">
        <v>84</v>
      </c>
    </row>
    <row r="81" spans="6:12">
      <c r="F81" t="s">
        <v>792</v>
      </c>
      <c r="G81" t="s">
        <v>1492</v>
      </c>
      <c r="K81" t="s">
        <v>1589</v>
      </c>
      <c r="L81" t="s">
        <v>1694</v>
      </c>
    </row>
    <row r="82" spans="6:12">
      <c r="F82" t="s">
        <v>600</v>
      </c>
      <c r="G82" t="s">
        <v>1492</v>
      </c>
      <c r="K82" t="s">
        <v>1590</v>
      </c>
      <c r="L82" t="s">
        <v>1694</v>
      </c>
    </row>
    <row r="83" spans="6:12">
      <c r="F83" t="s">
        <v>1695</v>
      </c>
      <c r="G83" t="s">
        <v>1492</v>
      </c>
      <c r="K83" t="s">
        <v>1593</v>
      </c>
      <c r="L83" t="s">
        <v>84</v>
      </c>
    </row>
    <row r="84" spans="6:12">
      <c r="F84" t="s">
        <v>600</v>
      </c>
      <c r="G84" t="s">
        <v>1492</v>
      </c>
      <c r="K84" t="s">
        <v>1594</v>
      </c>
      <c r="L84" t="s">
        <v>84</v>
      </c>
    </row>
    <row r="85" spans="6:12">
      <c r="F85" t="s">
        <v>334</v>
      </c>
      <c r="G85" t="s">
        <v>1492</v>
      </c>
      <c r="K85" t="s">
        <v>1596</v>
      </c>
      <c r="L85" t="s">
        <v>84</v>
      </c>
    </row>
    <row r="86" spans="6:12">
      <c r="F86" t="s">
        <v>334</v>
      </c>
      <c r="G86" t="s">
        <v>1492</v>
      </c>
      <c r="K86" t="s">
        <v>76</v>
      </c>
      <c r="L86" t="s">
        <v>84</v>
      </c>
    </row>
    <row r="87" spans="6:12">
      <c r="F87" t="s">
        <v>174</v>
      </c>
      <c r="G87" t="s">
        <v>79</v>
      </c>
      <c r="K87" t="s">
        <v>1598</v>
      </c>
      <c r="L87" t="s">
        <v>1694</v>
      </c>
    </row>
    <row r="88" spans="6:12">
      <c r="F88" t="s">
        <v>174</v>
      </c>
      <c r="G88" t="s">
        <v>79</v>
      </c>
      <c r="K88" t="s">
        <v>1599</v>
      </c>
      <c r="L88" t="s">
        <v>1694</v>
      </c>
    </row>
    <row r="89" spans="6:12">
      <c r="F89" t="s">
        <v>808</v>
      </c>
      <c r="G89" t="s">
        <v>1492</v>
      </c>
      <c r="K89" t="s">
        <v>1601</v>
      </c>
      <c r="L89" t="s">
        <v>79</v>
      </c>
    </row>
    <row r="90" spans="6:12">
      <c r="F90" t="s">
        <v>808</v>
      </c>
      <c r="G90" t="s">
        <v>1492</v>
      </c>
      <c r="K90" t="s">
        <v>1602</v>
      </c>
      <c r="L90" t="s">
        <v>79</v>
      </c>
    </row>
    <row r="91" spans="6:12">
      <c r="F91" t="s">
        <v>1125</v>
      </c>
      <c r="G91" t="s">
        <v>79</v>
      </c>
      <c r="K91" t="s">
        <v>1604</v>
      </c>
      <c r="L91" t="s">
        <v>84</v>
      </c>
    </row>
    <row r="92" spans="6:12">
      <c r="F92" t="s">
        <v>1125</v>
      </c>
      <c r="G92" t="s">
        <v>79</v>
      </c>
      <c r="K92" t="s">
        <v>1605</v>
      </c>
      <c r="L92" t="s">
        <v>84</v>
      </c>
    </row>
    <row r="93" spans="6:12">
      <c r="F93" t="s">
        <v>941</v>
      </c>
      <c r="G93" t="s">
        <v>1492</v>
      </c>
      <c r="K93" t="s">
        <v>1607</v>
      </c>
      <c r="L93" t="s">
        <v>79</v>
      </c>
    </row>
    <row r="94" spans="6:12">
      <c r="F94" t="s">
        <v>941</v>
      </c>
      <c r="G94" t="s">
        <v>1492</v>
      </c>
      <c r="K94" t="s">
        <v>1608</v>
      </c>
      <c r="L94" t="s">
        <v>79</v>
      </c>
    </row>
    <row r="95" spans="6:12">
      <c r="F95" t="s">
        <v>1250</v>
      </c>
      <c r="G95" t="s">
        <v>1492</v>
      </c>
      <c r="K95" t="s">
        <v>1611</v>
      </c>
      <c r="L95" t="s">
        <v>1694</v>
      </c>
    </row>
    <row r="96" spans="6:12">
      <c r="F96" t="s">
        <v>1250</v>
      </c>
      <c r="G96" t="s">
        <v>1492</v>
      </c>
      <c r="K96" t="s">
        <v>1612</v>
      </c>
      <c r="L96" t="s">
        <v>1694</v>
      </c>
    </row>
    <row r="97" spans="6:12">
      <c r="F97" t="s">
        <v>467</v>
      </c>
      <c r="G97" t="s">
        <v>79</v>
      </c>
      <c r="K97" t="s">
        <v>1615</v>
      </c>
      <c r="L97" t="s">
        <v>84</v>
      </c>
    </row>
    <row r="98" spans="6:12">
      <c r="F98" t="s">
        <v>1696</v>
      </c>
      <c r="G98" t="s">
        <v>79</v>
      </c>
      <c r="K98" t="s">
        <v>1616</v>
      </c>
      <c r="L98" t="s">
        <v>84</v>
      </c>
    </row>
    <row r="99" spans="6:12">
      <c r="F99" t="s">
        <v>467</v>
      </c>
      <c r="G99" t="s">
        <v>79</v>
      </c>
      <c r="K99" t="s">
        <v>1618</v>
      </c>
      <c r="L99" t="s">
        <v>84</v>
      </c>
    </row>
    <row r="100" spans="6:12">
      <c r="F100" t="s">
        <v>1243</v>
      </c>
      <c r="G100" t="s">
        <v>1492</v>
      </c>
      <c r="K100" t="s">
        <v>1619</v>
      </c>
      <c r="L100" t="s">
        <v>84</v>
      </c>
    </row>
    <row r="101" spans="6:12">
      <c r="F101" t="s">
        <v>1243</v>
      </c>
      <c r="G101" t="s">
        <v>1492</v>
      </c>
      <c r="K101" t="s">
        <v>1621</v>
      </c>
      <c r="L101" t="s">
        <v>79</v>
      </c>
    </row>
    <row r="102" spans="6:12">
      <c r="F102" t="s">
        <v>908</v>
      </c>
      <c r="G102" t="s">
        <v>79</v>
      </c>
      <c r="K102" t="s">
        <v>1348</v>
      </c>
      <c r="L102" t="s">
        <v>79</v>
      </c>
    </row>
    <row r="103" spans="6:12">
      <c r="F103" t="s">
        <v>908</v>
      </c>
      <c r="G103" t="s">
        <v>79</v>
      </c>
      <c r="K103" t="s">
        <v>1623</v>
      </c>
      <c r="L103" t="s">
        <v>79</v>
      </c>
    </row>
    <row r="104" spans="6:12">
      <c r="F104" t="s">
        <v>1316</v>
      </c>
      <c r="G104" t="s">
        <v>1492</v>
      </c>
      <c r="K104" t="s">
        <v>1624</v>
      </c>
      <c r="L104" t="s">
        <v>79</v>
      </c>
    </row>
    <row r="105" spans="6:12">
      <c r="F105" t="s">
        <v>1316</v>
      </c>
      <c r="G105" t="s">
        <v>1492</v>
      </c>
      <c r="K105" t="s">
        <v>1627</v>
      </c>
      <c r="L105" t="s">
        <v>79</v>
      </c>
    </row>
    <row r="106" spans="6:12">
      <c r="F106" t="s">
        <v>200</v>
      </c>
      <c r="G106" t="s">
        <v>1492</v>
      </c>
      <c r="K106" t="s">
        <v>1628</v>
      </c>
      <c r="L106" t="s">
        <v>79</v>
      </c>
    </row>
    <row r="107" spans="6:12">
      <c r="F107" t="s">
        <v>1697</v>
      </c>
      <c r="G107" t="s">
        <v>1492</v>
      </c>
      <c r="K107" t="s">
        <v>1631</v>
      </c>
      <c r="L107" t="s">
        <v>79</v>
      </c>
    </row>
    <row r="108" spans="6:12">
      <c r="F108" t="s">
        <v>200</v>
      </c>
      <c r="G108" t="s">
        <v>1492</v>
      </c>
      <c r="K108" t="s">
        <v>1632</v>
      </c>
      <c r="L108" t="s">
        <v>79</v>
      </c>
    </row>
    <row r="109" spans="6:12">
      <c r="F109" t="s">
        <v>1115</v>
      </c>
      <c r="G109" t="s">
        <v>79</v>
      </c>
      <c r="K109" t="s">
        <v>1634</v>
      </c>
      <c r="L109" t="s">
        <v>79</v>
      </c>
    </row>
    <row r="110" spans="6:12">
      <c r="F110" t="s">
        <v>1689</v>
      </c>
      <c r="G110" t="s">
        <v>79</v>
      </c>
      <c r="K110" t="s">
        <v>1365</v>
      </c>
      <c r="L110" t="s">
        <v>79</v>
      </c>
    </row>
    <row r="111" spans="6:12">
      <c r="F111" t="s">
        <v>1115</v>
      </c>
      <c r="G111" t="s">
        <v>79</v>
      </c>
    </row>
    <row r="112" spans="6:12">
      <c r="F112" t="s">
        <v>708</v>
      </c>
      <c r="G112" t="s">
        <v>1492</v>
      </c>
    </row>
    <row r="113" spans="6:7">
      <c r="F113" t="s">
        <v>708</v>
      </c>
      <c r="G113" t="s">
        <v>1492</v>
      </c>
    </row>
    <row r="114" spans="6:7">
      <c r="F114" t="s">
        <v>356</v>
      </c>
      <c r="G114" t="s">
        <v>1492</v>
      </c>
    </row>
    <row r="115" spans="6:7">
      <c r="F115" t="s">
        <v>356</v>
      </c>
      <c r="G115" t="s">
        <v>1492</v>
      </c>
    </row>
    <row r="116" spans="6:7">
      <c r="F116" t="s">
        <v>1239</v>
      </c>
      <c r="G116" t="s">
        <v>1492</v>
      </c>
    </row>
    <row r="117" spans="6:7">
      <c r="F117" t="s">
        <v>1239</v>
      </c>
      <c r="G117" t="s">
        <v>1492</v>
      </c>
    </row>
    <row r="118" spans="6:7">
      <c r="F118" t="s">
        <v>1371</v>
      </c>
      <c r="G118" t="s">
        <v>1492</v>
      </c>
    </row>
    <row r="119" spans="6:7">
      <c r="F119" t="s">
        <v>1698</v>
      </c>
      <c r="G119" t="s">
        <v>1492</v>
      </c>
    </row>
    <row r="120" spans="6:7">
      <c r="F120" t="s">
        <v>1371</v>
      </c>
      <c r="G120" t="s">
        <v>1492</v>
      </c>
    </row>
    <row r="121" spans="6:7">
      <c r="F121" t="s">
        <v>985</v>
      </c>
      <c r="G121" t="s">
        <v>1492</v>
      </c>
    </row>
    <row r="122" spans="6:7">
      <c r="F122" t="s">
        <v>1699</v>
      </c>
      <c r="G122" t="s">
        <v>1492</v>
      </c>
    </row>
    <row r="123" spans="6:7">
      <c r="F123" t="s">
        <v>985</v>
      </c>
      <c r="G123" t="s">
        <v>1492</v>
      </c>
    </row>
    <row r="124" spans="6:7">
      <c r="F124" t="s">
        <v>103</v>
      </c>
      <c r="G124" t="s">
        <v>84</v>
      </c>
    </row>
    <row r="125" spans="6:7">
      <c r="F125" t="s">
        <v>103</v>
      </c>
      <c r="G125" t="s">
        <v>84</v>
      </c>
    </row>
    <row r="126" spans="6:7">
      <c r="F126" t="s">
        <v>1411</v>
      </c>
      <c r="G126" t="s">
        <v>79</v>
      </c>
    </row>
    <row r="127" spans="6:7">
      <c r="F127" t="s">
        <v>1411</v>
      </c>
      <c r="G127" t="s">
        <v>79</v>
      </c>
    </row>
    <row r="128" spans="6:7">
      <c r="F128" t="s">
        <v>1405</v>
      </c>
      <c r="G128" t="s">
        <v>79</v>
      </c>
    </row>
    <row r="129" spans="6:7">
      <c r="F129" t="s">
        <v>1405</v>
      </c>
      <c r="G129" t="s">
        <v>79</v>
      </c>
    </row>
    <row r="130" spans="6:7">
      <c r="F130" t="s">
        <v>734</v>
      </c>
      <c r="G130" t="s">
        <v>84</v>
      </c>
    </row>
    <row r="131" spans="6:7">
      <c r="F131" t="s">
        <v>1688</v>
      </c>
      <c r="G131" t="s">
        <v>84</v>
      </c>
    </row>
    <row r="132" spans="6:7">
      <c r="F132" t="s">
        <v>734</v>
      </c>
      <c r="G132" t="s">
        <v>84</v>
      </c>
    </row>
    <row r="133" spans="6:7">
      <c r="F133" t="s">
        <v>937</v>
      </c>
      <c r="G133" t="s">
        <v>79</v>
      </c>
    </row>
    <row r="134" spans="6:7">
      <c r="F134" t="s">
        <v>1700</v>
      </c>
      <c r="G134" t="s">
        <v>79</v>
      </c>
    </row>
    <row r="135" spans="6:7">
      <c r="F135" t="s">
        <v>937</v>
      </c>
      <c r="G135" t="s">
        <v>79</v>
      </c>
    </row>
    <row r="136" spans="6:7">
      <c r="F136" t="s">
        <v>406</v>
      </c>
      <c r="G136" t="s">
        <v>1492</v>
      </c>
    </row>
    <row r="137" spans="6:7">
      <c r="F137" t="s">
        <v>406</v>
      </c>
      <c r="G137" t="s">
        <v>1492</v>
      </c>
    </row>
    <row r="138" spans="6:7">
      <c r="F138" t="s">
        <v>1163</v>
      </c>
      <c r="G138" t="s">
        <v>1492</v>
      </c>
    </row>
    <row r="139" spans="6:7">
      <c r="F139" t="s">
        <v>1691</v>
      </c>
      <c r="G139" t="s">
        <v>1492</v>
      </c>
    </row>
    <row r="140" spans="6:7">
      <c r="F140" t="s">
        <v>1163</v>
      </c>
      <c r="G140" t="s">
        <v>1492</v>
      </c>
    </row>
    <row r="141" spans="6:7">
      <c r="F141" t="s">
        <v>1009</v>
      </c>
      <c r="G141" t="s">
        <v>1492</v>
      </c>
    </row>
    <row r="142" spans="6:7">
      <c r="F142" t="s">
        <v>1701</v>
      </c>
      <c r="G142" t="s">
        <v>1492</v>
      </c>
    </row>
    <row r="143" spans="6:7">
      <c r="F143" t="s">
        <v>1009</v>
      </c>
      <c r="G143" t="s">
        <v>1492</v>
      </c>
    </row>
    <row r="144" spans="6:7">
      <c r="F144" t="s">
        <v>1209</v>
      </c>
      <c r="G144" t="s">
        <v>84</v>
      </c>
    </row>
    <row r="145" spans="6:7">
      <c r="F145" t="s">
        <v>1693</v>
      </c>
      <c r="G145" t="s">
        <v>84</v>
      </c>
    </row>
    <row r="146" spans="6:7">
      <c r="F146" t="s">
        <v>1209</v>
      </c>
      <c r="G146" t="s">
        <v>84</v>
      </c>
    </row>
    <row r="147" spans="6:7">
      <c r="F147" t="s">
        <v>200</v>
      </c>
      <c r="G147" t="s">
        <v>1492</v>
      </c>
    </row>
    <row r="148" spans="6:7">
      <c r="F148" t="s">
        <v>200</v>
      </c>
      <c r="G148" t="s">
        <v>1492</v>
      </c>
    </row>
    <row r="149" spans="6:7">
      <c r="F149" t="s">
        <v>114</v>
      </c>
      <c r="G149" t="s">
        <v>84</v>
      </c>
    </row>
    <row r="150" spans="6:7">
      <c r="F150" t="s">
        <v>1692</v>
      </c>
      <c r="G150" t="s">
        <v>84</v>
      </c>
    </row>
    <row r="151" spans="6:7">
      <c r="F151" t="s">
        <v>114</v>
      </c>
      <c r="G151" t="s">
        <v>84</v>
      </c>
    </row>
    <row r="152" spans="6:7">
      <c r="F152" t="s">
        <v>870</v>
      </c>
      <c r="G152" t="s">
        <v>1492</v>
      </c>
    </row>
    <row r="153" spans="6:7">
      <c r="F153" t="s">
        <v>870</v>
      </c>
      <c r="G153" t="s">
        <v>1492</v>
      </c>
    </row>
    <row r="154" spans="6:7">
      <c r="F154" t="s">
        <v>1415</v>
      </c>
      <c r="G154" t="s">
        <v>1492</v>
      </c>
    </row>
    <row r="155" spans="6:7">
      <c r="F155" t="s">
        <v>1415</v>
      </c>
      <c r="G155" t="s">
        <v>1492</v>
      </c>
    </row>
    <row r="156" spans="6:7">
      <c r="F156" t="s">
        <v>1394</v>
      </c>
      <c r="G156" t="s">
        <v>1492</v>
      </c>
    </row>
    <row r="157" spans="6:7">
      <c r="F157" t="s">
        <v>1394</v>
      </c>
      <c r="G157" t="s">
        <v>1492</v>
      </c>
    </row>
    <row r="158" spans="6:7">
      <c r="F158" t="s">
        <v>1352</v>
      </c>
      <c r="G158" t="s">
        <v>1492</v>
      </c>
    </row>
    <row r="159" spans="6:7">
      <c r="F159" t="s">
        <v>1352</v>
      </c>
      <c r="G159" t="s">
        <v>1492</v>
      </c>
    </row>
    <row r="160" spans="6:7">
      <c r="F160" t="s">
        <v>1000</v>
      </c>
      <c r="G160" t="s">
        <v>1492</v>
      </c>
    </row>
    <row r="161" spans="6:7">
      <c r="F161" t="s">
        <v>1702</v>
      </c>
      <c r="G161" t="s">
        <v>1492</v>
      </c>
    </row>
    <row r="162" spans="6:7">
      <c r="F162" t="s">
        <v>1000</v>
      </c>
      <c r="G162" t="s">
        <v>1492</v>
      </c>
    </row>
    <row r="163" spans="6:7">
      <c r="F163" t="s">
        <v>1294</v>
      </c>
      <c r="G163" t="s">
        <v>79</v>
      </c>
    </row>
    <row r="164" spans="6:7">
      <c r="F164" t="s">
        <v>1294</v>
      </c>
      <c r="G164" t="s">
        <v>79</v>
      </c>
    </row>
    <row r="165" spans="6:7">
      <c r="F165" t="s">
        <v>1644</v>
      </c>
      <c r="G165" t="s">
        <v>79</v>
      </c>
    </row>
    <row r="166" spans="6:7">
      <c r="F166" t="s">
        <v>1644</v>
      </c>
      <c r="G166" t="s">
        <v>79</v>
      </c>
    </row>
    <row r="167" spans="6:7">
      <c r="F167" t="s">
        <v>549</v>
      </c>
      <c r="G167" t="s">
        <v>1492</v>
      </c>
    </row>
    <row r="168" spans="6:7">
      <c r="F168" t="s">
        <v>1703</v>
      </c>
      <c r="G168" t="s">
        <v>1492</v>
      </c>
    </row>
    <row r="169" spans="6:7">
      <c r="F169" t="s">
        <v>549</v>
      </c>
      <c r="G169" t="s">
        <v>1492</v>
      </c>
    </row>
    <row r="170" spans="6:7">
      <c r="F170" t="s">
        <v>1231</v>
      </c>
      <c r="G170" t="s">
        <v>1492</v>
      </c>
    </row>
    <row r="171" spans="6:7">
      <c r="F171" t="s">
        <v>1231</v>
      </c>
      <c r="G171" t="s">
        <v>1492</v>
      </c>
    </row>
    <row r="172" spans="6:7">
      <c r="F172" t="s">
        <v>46</v>
      </c>
      <c r="G172" t="s">
        <v>1492</v>
      </c>
    </row>
    <row r="173" spans="6:7">
      <c r="F173" t="s">
        <v>46</v>
      </c>
      <c r="G173" t="s">
        <v>1492</v>
      </c>
    </row>
    <row r="174" spans="6:7">
      <c r="F174" t="s">
        <v>1443</v>
      </c>
      <c r="G174" t="s">
        <v>79</v>
      </c>
    </row>
    <row r="175" spans="6:7">
      <c r="F175" t="s">
        <v>1704</v>
      </c>
      <c r="G175" t="s">
        <v>79</v>
      </c>
    </row>
    <row r="176" spans="6:7">
      <c r="F176" t="s">
        <v>1443</v>
      </c>
      <c r="G176" t="s">
        <v>79</v>
      </c>
    </row>
    <row r="177" spans="6:7">
      <c r="F177" t="s">
        <v>1648</v>
      </c>
      <c r="G177" t="s">
        <v>79</v>
      </c>
    </row>
    <row r="178" spans="6:7">
      <c r="F178" t="s">
        <v>1696</v>
      </c>
      <c r="G178" t="s">
        <v>79</v>
      </c>
    </row>
    <row r="179" spans="6:7">
      <c r="F179" t="s">
        <v>1648</v>
      </c>
      <c r="G179" t="s">
        <v>79</v>
      </c>
    </row>
    <row r="180" spans="6:7">
      <c r="F180" t="s">
        <v>924</v>
      </c>
      <c r="G180" t="s">
        <v>84</v>
      </c>
    </row>
    <row r="181" spans="6:7">
      <c r="F181" t="s">
        <v>924</v>
      </c>
      <c r="G181" t="s">
        <v>84</v>
      </c>
    </row>
    <row r="182" spans="6:7">
      <c r="F182" t="s">
        <v>110</v>
      </c>
      <c r="G182" t="s">
        <v>79</v>
      </c>
    </row>
    <row r="183" spans="6:7">
      <c r="F183" t="s">
        <v>110</v>
      </c>
      <c r="G183" t="s">
        <v>79</v>
      </c>
    </row>
    <row r="184" spans="6:7">
      <c r="F184" t="s">
        <v>1067</v>
      </c>
      <c r="G184" t="s">
        <v>1492</v>
      </c>
    </row>
    <row r="185" spans="6:7">
      <c r="F185" t="s">
        <v>1691</v>
      </c>
      <c r="G185" t="s">
        <v>1492</v>
      </c>
    </row>
    <row r="186" spans="6:7">
      <c r="F186" t="s">
        <v>1067</v>
      </c>
      <c r="G186" t="s">
        <v>1492</v>
      </c>
    </row>
    <row r="187" spans="6:7">
      <c r="F187" t="s">
        <v>31</v>
      </c>
      <c r="G187" t="s">
        <v>79</v>
      </c>
    </row>
    <row r="188" spans="6:7">
      <c r="F188" t="s">
        <v>31</v>
      </c>
      <c r="G188" t="s">
        <v>79</v>
      </c>
    </row>
    <row r="189" spans="6:7">
      <c r="F189" t="s">
        <v>1427</v>
      </c>
      <c r="G189" t="s">
        <v>1492</v>
      </c>
    </row>
    <row r="190" spans="6:7">
      <c r="F190" t="s">
        <v>1427</v>
      </c>
      <c r="G190" t="s">
        <v>1492</v>
      </c>
    </row>
    <row r="191" spans="6:7">
      <c r="F191" t="s">
        <v>20</v>
      </c>
      <c r="G191" t="s">
        <v>1492</v>
      </c>
    </row>
    <row r="192" spans="6:7">
      <c r="F192" t="s">
        <v>20</v>
      </c>
      <c r="G192" t="s">
        <v>1492</v>
      </c>
    </row>
    <row r="193" spans="6:7">
      <c r="F193" t="s">
        <v>1129</v>
      </c>
      <c r="G193" t="s">
        <v>1492</v>
      </c>
    </row>
    <row r="194" spans="6:7">
      <c r="F194" t="s">
        <v>1129</v>
      </c>
      <c r="G194" t="s">
        <v>1492</v>
      </c>
    </row>
    <row r="195" spans="6:7">
      <c r="F195" t="s">
        <v>17</v>
      </c>
      <c r="G195" t="s">
        <v>1492</v>
      </c>
    </row>
    <row r="196" spans="6:7">
      <c r="F196" t="s">
        <v>17</v>
      </c>
      <c r="G196" t="s">
        <v>1492</v>
      </c>
    </row>
    <row r="197" spans="6:7">
      <c r="F197" t="s">
        <v>1090</v>
      </c>
      <c r="G197" t="s">
        <v>1492</v>
      </c>
    </row>
    <row r="198" spans="6:7">
      <c r="F198" t="s">
        <v>1090</v>
      </c>
      <c r="G198" t="s">
        <v>1492</v>
      </c>
    </row>
    <row r="199" spans="6:7">
      <c r="F199" t="s">
        <v>18</v>
      </c>
      <c r="G199" t="s">
        <v>1492</v>
      </c>
    </row>
    <row r="200" spans="6:7">
      <c r="F200" t="s">
        <v>18</v>
      </c>
      <c r="G200" t="s">
        <v>1492</v>
      </c>
    </row>
    <row r="201" spans="6:7">
      <c r="F201" t="s">
        <v>615</v>
      </c>
      <c r="G201" t="s">
        <v>1492</v>
      </c>
    </row>
    <row r="202" spans="6:7">
      <c r="F202" t="s">
        <v>615</v>
      </c>
      <c r="G202" t="s">
        <v>1492</v>
      </c>
    </row>
    <row r="203" spans="6:7">
      <c r="F203" t="s">
        <v>32</v>
      </c>
      <c r="G203" t="s">
        <v>79</v>
      </c>
    </row>
    <row r="204" spans="6:7">
      <c r="F204" t="s">
        <v>32</v>
      </c>
      <c r="G204" t="s">
        <v>79</v>
      </c>
    </row>
    <row r="205" spans="6:7">
      <c r="F205" t="s">
        <v>782</v>
      </c>
      <c r="G205" t="s">
        <v>1492</v>
      </c>
    </row>
    <row r="206" spans="6:7">
      <c r="F206" t="s">
        <v>782</v>
      </c>
      <c r="G206" t="s">
        <v>1492</v>
      </c>
    </row>
    <row r="207" spans="6:7">
      <c r="F207" t="s">
        <v>730</v>
      </c>
      <c r="G207" t="s">
        <v>1492</v>
      </c>
    </row>
    <row r="208" spans="6:7">
      <c r="F208" t="s">
        <v>730</v>
      </c>
      <c r="G208" t="s">
        <v>1492</v>
      </c>
    </row>
    <row r="209" spans="6:7">
      <c r="F209" t="s">
        <v>754</v>
      </c>
      <c r="G209" t="s">
        <v>79</v>
      </c>
    </row>
    <row r="210" spans="6:7">
      <c r="F210" t="s">
        <v>754</v>
      </c>
      <c r="G210" t="s">
        <v>79</v>
      </c>
    </row>
    <row r="212" ht="24" spans="6:7">
      <c r="F212" s="6" t="s">
        <v>15</v>
      </c>
      <c r="G212" s="7" t="s">
        <v>1492</v>
      </c>
    </row>
    <row r="213" ht="24" spans="6:7">
      <c r="F213" s="6" t="s">
        <v>615</v>
      </c>
      <c r="G213" s="7" t="s">
        <v>79</v>
      </c>
    </row>
    <row r="214" ht="24" spans="6:7">
      <c r="F214" s="6" t="s">
        <v>1086</v>
      </c>
      <c r="G214" s="7" t="s">
        <v>79</v>
      </c>
    </row>
    <row r="215" ht="24" spans="6:7">
      <c r="F215" s="6" t="s">
        <v>1394</v>
      </c>
      <c r="G215" s="7" t="s">
        <v>79</v>
      </c>
    </row>
    <row r="216" ht="24" spans="6:7">
      <c r="F216" s="6" t="s">
        <v>388</v>
      </c>
      <c r="G216" s="7" t="s">
        <v>79</v>
      </c>
    </row>
    <row r="217" ht="24" spans="6:7">
      <c r="F217" s="6" t="s">
        <v>17</v>
      </c>
      <c r="G217" s="7" t="s">
        <v>1492</v>
      </c>
    </row>
    <row r="218" ht="24" spans="6:7">
      <c r="F218" s="6" t="s">
        <v>1401</v>
      </c>
      <c r="G218" s="7" t="s">
        <v>79</v>
      </c>
    </row>
    <row r="219" ht="24" spans="6:7">
      <c r="F219" s="6" t="s">
        <v>1090</v>
      </c>
      <c r="G219" s="7" t="s">
        <v>79</v>
      </c>
    </row>
    <row r="220" ht="27" spans="6:7">
      <c r="F220" s="8" t="s">
        <v>754</v>
      </c>
      <c r="G220" s="7" t="s">
        <v>79</v>
      </c>
    </row>
    <row r="221" ht="27" spans="6:7">
      <c r="F221" s="8" t="s">
        <v>1427</v>
      </c>
      <c r="G221" s="9"/>
    </row>
    <row r="222" ht="27" spans="6:7">
      <c r="F222" s="8" t="s">
        <v>33</v>
      </c>
      <c r="G222" s="7" t="s">
        <v>79</v>
      </c>
    </row>
    <row r="223" ht="27" spans="6:7">
      <c r="F223" s="8" t="s">
        <v>34</v>
      </c>
      <c r="G223" s="7" t="s">
        <v>79</v>
      </c>
    </row>
    <row r="224" ht="27" spans="6:7">
      <c r="F224" s="8" t="s">
        <v>35</v>
      </c>
      <c r="G224" s="7" t="s">
        <v>79</v>
      </c>
    </row>
    <row r="225" ht="27" spans="6:7">
      <c r="F225" s="8" t="s">
        <v>36</v>
      </c>
      <c r="G225" s="7" t="s">
        <v>79</v>
      </c>
    </row>
    <row r="226" ht="24" spans="6:7">
      <c r="F226" s="6" t="s">
        <v>27</v>
      </c>
      <c r="G226" s="7" t="s">
        <v>79</v>
      </c>
    </row>
    <row r="227" ht="24" spans="6:7">
      <c r="F227" s="6" t="s">
        <v>28</v>
      </c>
      <c r="G227" s="7" t="s">
        <v>79</v>
      </c>
    </row>
    <row r="228" ht="24" spans="6:7">
      <c r="F228" s="6" t="s">
        <v>29</v>
      </c>
      <c r="G228" s="7" t="s">
        <v>79</v>
      </c>
    </row>
    <row r="229" ht="24" spans="6:7">
      <c r="F229" s="6" t="s">
        <v>30</v>
      </c>
      <c r="G229" s="7" t="s">
        <v>79</v>
      </c>
    </row>
    <row r="230" ht="24" spans="6:7">
      <c r="F230" s="6" t="s">
        <v>46</v>
      </c>
      <c r="G230" s="7" t="s">
        <v>79</v>
      </c>
    </row>
    <row r="231" ht="24" spans="6:7">
      <c r="F231" s="6" t="s">
        <v>44</v>
      </c>
      <c r="G231" s="7" t="s">
        <v>79</v>
      </c>
    </row>
    <row r="232" ht="24" spans="6:7">
      <c r="F232" s="6" t="s">
        <v>45</v>
      </c>
      <c r="G232" s="7" t="s">
        <v>79</v>
      </c>
    </row>
    <row r="233" spans="6:7">
      <c r="F233" s="10" t="s">
        <v>1013</v>
      </c>
      <c r="G233" s="7" t="s">
        <v>79</v>
      </c>
    </row>
    <row r="234" spans="6:7">
      <c r="F234" s="10" t="s">
        <v>1125</v>
      </c>
      <c r="G234" s="7" t="s">
        <v>79</v>
      </c>
    </row>
    <row r="235" spans="6:7">
      <c r="F235" s="11" t="s">
        <v>1405</v>
      </c>
      <c r="G235" s="7" t="s">
        <v>1492</v>
      </c>
    </row>
    <row r="236" spans="6:7">
      <c r="F236" s="12" t="s">
        <v>654</v>
      </c>
      <c r="G236" s="7" t="s">
        <v>1492</v>
      </c>
    </row>
    <row r="237" spans="6:7">
      <c r="F237" s="12" t="s">
        <v>1283</v>
      </c>
      <c r="G237" s="7" t="s">
        <v>79</v>
      </c>
    </row>
    <row r="238" spans="6:7">
      <c r="F238" s="11" t="s">
        <v>819</v>
      </c>
      <c r="G238" s="7" t="s">
        <v>79</v>
      </c>
    </row>
    <row r="239" spans="6:7">
      <c r="F239" s="11" t="s">
        <v>1009</v>
      </c>
      <c r="G239" s="7" t="s">
        <v>1492</v>
      </c>
    </row>
    <row r="240" spans="6:7">
      <c r="F240" s="11" t="s">
        <v>808</v>
      </c>
      <c r="G240" s="7" t="s">
        <v>1492</v>
      </c>
    </row>
    <row r="241" spans="6:7">
      <c r="F241" s="11" t="s">
        <v>406</v>
      </c>
      <c r="G241" s="7" t="s">
        <v>1492</v>
      </c>
    </row>
    <row r="242" spans="6:7">
      <c r="F242" s="11" t="s">
        <v>985</v>
      </c>
      <c r="G242" s="7" t="s">
        <v>1492</v>
      </c>
    </row>
    <row r="243" spans="6:7">
      <c r="F243" s="11" t="s">
        <v>1316</v>
      </c>
      <c r="G243" s="7" t="s">
        <v>1492</v>
      </c>
    </row>
    <row r="244" spans="6:7">
      <c r="F244" s="11" t="s">
        <v>870</v>
      </c>
      <c r="G244" s="7" t="s">
        <v>1492</v>
      </c>
    </row>
    <row r="245" spans="6:7">
      <c r="F245" s="11" t="s">
        <v>782</v>
      </c>
      <c r="G245" s="7" t="s">
        <v>1492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T199"/>
  <sheetViews>
    <sheetView topLeftCell="A175" workbookViewId="0">
      <selection activeCell="C3" sqref="C3"/>
    </sheetView>
  </sheetViews>
  <sheetFormatPr defaultColWidth="9" defaultRowHeight="13.5"/>
  <sheetData>
    <row r="1" spans="1:98">
      <c r="A1" t="s">
        <v>235</v>
      </c>
      <c r="B1" t="s">
        <v>236</v>
      </c>
      <c r="C1" t="s">
        <v>237</v>
      </c>
      <c r="D1" t="s">
        <v>238</v>
      </c>
      <c r="E1" t="s">
        <v>239</v>
      </c>
      <c r="F1" t="s">
        <v>240</v>
      </c>
      <c r="G1" t="s">
        <v>241</v>
      </c>
      <c r="H1" t="s">
        <v>242</v>
      </c>
      <c r="I1" t="s">
        <v>243</v>
      </c>
      <c r="J1" t="s">
        <v>244</v>
      </c>
      <c r="K1" t="s">
        <v>245</v>
      </c>
      <c r="L1" t="s">
        <v>246</v>
      </c>
      <c r="M1" t="s">
        <v>247</v>
      </c>
      <c r="N1" t="s">
        <v>248</v>
      </c>
      <c r="O1" t="s">
        <v>249</v>
      </c>
      <c r="P1" t="s">
        <v>250</v>
      </c>
      <c r="Q1" t="s">
        <v>251</v>
      </c>
      <c r="R1" t="s">
        <v>252</v>
      </c>
      <c r="S1" t="s">
        <v>253</v>
      </c>
      <c r="T1" t="s">
        <v>254</v>
      </c>
      <c r="U1" t="s">
        <v>255</v>
      </c>
      <c r="V1" t="s">
        <v>256</v>
      </c>
      <c r="W1" t="s">
        <v>257</v>
      </c>
      <c r="X1" t="s">
        <v>258</v>
      </c>
      <c r="Y1" t="s">
        <v>259</v>
      </c>
      <c r="Z1" t="s">
        <v>260</v>
      </c>
      <c r="AA1" t="s">
        <v>261</v>
      </c>
      <c r="AB1" t="s">
        <v>262</v>
      </c>
      <c r="AC1" t="s">
        <v>263</v>
      </c>
      <c r="AD1" t="s">
        <v>264</v>
      </c>
      <c r="AE1" t="s">
        <v>265</v>
      </c>
      <c r="AF1" t="s">
        <v>266</v>
      </c>
      <c r="AG1" t="s">
        <v>267</v>
      </c>
      <c r="AH1" t="s">
        <v>268</v>
      </c>
      <c r="AI1" t="s">
        <v>269</v>
      </c>
      <c r="AJ1" t="s">
        <v>270</v>
      </c>
      <c r="AK1" t="s">
        <v>271</v>
      </c>
      <c r="AL1" t="s">
        <v>272</v>
      </c>
      <c r="AM1" t="s">
        <v>273</v>
      </c>
      <c r="AN1" t="s">
        <v>274</v>
      </c>
      <c r="AO1" t="s">
        <v>275</v>
      </c>
      <c r="AP1" t="s">
        <v>276</v>
      </c>
      <c r="AQ1" t="s">
        <v>277</v>
      </c>
      <c r="AR1" t="s">
        <v>278</v>
      </c>
      <c r="AS1" t="s">
        <v>279</v>
      </c>
      <c r="AT1" t="s">
        <v>280</v>
      </c>
      <c r="AU1" t="s">
        <v>281</v>
      </c>
      <c r="AV1" t="s">
        <v>282</v>
      </c>
      <c r="AW1" t="s">
        <v>283</v>
      </c>
      <c r="AX1" t="s">
        <v>284</v>
      </c>
      <c r="AY1" t="s">
        <v>285</v>
      </c>
      <c r="AZ1" t="s">
        <v>286</v>
      </c>
      <c r="BA1" t="s">
        <v>287</v>
      </c>
      <c r="BB1" t="s">
        <v>288</v>
      </c>
      <c r="BC1" t="s">
        <v>289</v>
      </c>
      <c r="BD1" t="s">
        <v>290</v>
      </c>
      <c r="BE1" t="s">
        <v>291</v>
      </c>
      <c r="BF1" t="s">
        <v>292</v>
      </c>
      <c r="BG1" t="s">
        <v>293</v>
      </c>
      <c r="BH1" t="s">
        <v>294</v>
      </c>
      <c r="BI1" t="s">
        <v>295</v>
      </c>
      <c r="BJ1" t="s">
        <v>296</v>
      </c>
      <c r="BK1" t="s">
        <v>297</v>
      </c>
      <c r="BL1" t="s">
        <v>298</v>
      </c>
      <c r="BM1" t="s">
        <v>299</v>
      </c>
      <c r="BN1" t="s">
        <v>300</v>
      </c>
      <c r="BO1" t="s">
        <v>301</v>
      </c>
      <c r="BP1" t="s">
        <v>302</v>
      </c>
      <c r="BQ1" t="s">
        <v>303</v>
      </c>
      <c r="BR1" t="s">
        <v>304</v>
      </c>
      <c r="BS1" t="s">
        <v>305</v>
      </c>
      <c r="BT1" t="s">
        <v>306</v>
      </c>
      <c r="BU1" t="s">
        <v>307</v>
      </c>
      <c r="BV1" t="s">
        <v>308</v>
      </c>
      <c r="BW1" t="s">
        <v>309</v>
      </c>
      <c r="BX1" t="s">
        <v>310</v>
      </c>
      <c r="BY1" t="s">
        <v>311</v>
      </c>
      <c r="BZ1" t="s">
        <v>312</v>
      </c>
      <c r="CA1" t="s">
        <v>313</v>
      </c>
      <c r="CB1" t="s">
        <v>314</v>
      </c>
      <c r="CC1" t="s">
        <v>315</v>
      </c>
      <c r="CD1" t="s">
        <v>316</v>
      </c>
      <c r="CE1" t="s">
        <v>317</v>
      </c>
      <c r="CF1" t="s">
        <v>318</v>
      </c>
      <c r="CG1" t="s">
        <v>319</v>
      </c>
      <c r="CH1" t="s">
        <v>320</v>
      </c>
      <c r="CI1" t="s">
        <v>321</v>
      </c>
      <c r="CJ1" t="s">
        <v>322</v>
      </c>
      <c r="CK1" t="s">
        <v>323</v>
      </c>
      <c r="CL1" t="s">
        <v>324</v>
      </c>
      <c r="CM1" t="s">
        <v>325</v>
      </c>
      <c r="CN1" t="s">
        <v>326</v>
      </c>
      <c r="CO1" t="s">
        <v>327</v>
      </c>
      <c r="CP1" t="s">
        <v>328</v>
      </c>
      <c r="CQ1" t="s">
        <v>329</v>
      </c>
      <c r="CR1" t="s">
        <v>330</v>
      </c>
      <c r="CS1" t="s">
        <v>331</v>
      </c>
      <c r="CT1" t="s">
        <v>332</v>
      </c>
    </row>
    <row r="2" spans="1:98">
      <c r="A2" s="5">
        <v>46189</v>
      </c>
      <c r="B2" t="s">
        <v>113</v>
      </c>
      <c r="C2" t="s">
        <v>113</v>
      </c>
      <c r="D2" t="s">
        <v>1705</v>
      </c>
      <c r="E2" t="s">
        <v>579</v>
      </c>
      <c r="G2">
        <v>0</v>
      </c>
      <c r="H2">
        <v>-1</v>
      </c>
      <c r="O2" t="s">
        <v>338</v>
      </c>
      <c r="U2">
        <v>0</v>
      </c>
      <c r="V2">
        <v>0</v>
      </c>
      <c r="W2">
        <v>0</v>
      </c>
      <c r="X2">
        <v>0</v>
      </c>
      <c r="Y2" t="s">
        <v>359</v>
      </c>
      <c r="AB2">
        <v>0</v>
      </c>
      <c r="AC2">
        <v>0</v>
      </c>
      <c r="AE2">
        <v>-1</v>
      </c>
      <c r="AH2" t="s">
        <v>341</v>
      </c>
      <c r="AJ2" t="s">
        <v>342</v>
      </c>
      <c r="AK2" t="s">
        <v>343</v>
      </c>
      <c r="AL2">
        <v>32209</v>
      </c>
      <c r="AN2">
        <v>0</v>
      </c>
      <c r="AQ2">
        <v>39.99</v>
      </c>
      <c r="AY2">
        <v>0</v>
      </c>
      <c r="BB2">
        <v>0</v>
      </c>
      <c r="BG2">
        <v>0</v>
      </c>
      <c r="BH2">
        <v>0</v>
      </c>
      <c r="CJ2">
        <v>0</v>
      </c>
      <c r="CK2">
        <v>0</v>
      </c>
      <c r="CL2">
        <v>0</v>
      </c>
      <c r="CM2">
        <v>0</v>
      </c>
      <c r="CN2">
        <v>0</v>
      </c>
      <c r="CP2" t="s">
        <v>347</v>
      </c>
      <c r="CQ2" t="s">
        <v>348</v>
      </c>
    </row>
    <row r="3" spans="1:98">
      <c r="A3" s="5">
        <v>46189</v>
      </c>
      <c r="B3" t="s">
        <v>1479</v>
      </c>
      <c r="C3" t="s">
        <v>421</v>
      </c>
      <c r="D3" t="s">
        <v>1478</v>
      </c>
      <c r="E3" t="s">
        <v>423</v>
      </c>
      <c r="F3" t="s">
        <v>337</v>
      </c>
      <c r="G3">
        <v>25</v>
      </c>
      <c r="H3">
        <v>0</v>
      </c>
      <c r="I3">
        <v>26</v>
      </c>
      <c r="J3">
        <v>0</v>
      </c>
      <c r="K3">
        <v>0</v>
      </c>
      <c r="L3">
        <v>0</v>
      </c>
      <c r="M3">
        <v>0</v>
      </c>
      <c r="N3">
        <v>0</v>
      </c>
      <c r="O3" t="s">
        <v>338</v>
      </c>
      <c r="P3">
        <v>2</v>
      </c>
      <c r="Q3">
        <v>10</v>
      </c>
      <c r="R3">
        <v>18</v>
      </c>
      <c r="S3">
        <v>29</v>
      </c>
      <c r="U3">
        <v>97.99</v>
      </c>
      <c r="V3">
        <v>79.99</v>
      </c>
      <c r="W3">
        <v>79.99</v>
      </c>
      <c r="X3">
        <v>0</v>
      </c>
      <c r="Y3" t="s">
        <v>359</v>
      </c>
      <c r="AA3">
        <v>0</v>
      </c>
      <c r="AB3">
        <v>0</v>
      </c>
      <c r="AC3">
        <v>0</v>
      </c>
      <c r="AD3">
        <v>0</v>
      </c>
      <c r="AE3">
        <v>1.87</v>
      </c>
      <c r="AF3">
        <v>1.324074</v>
      </c>
      <c r="AG3" t="s">
        <v>340</v>
      </c>
      <c r="AH3" t="s">
        <v>424</v>
      </c>
      <c r="AI3">
        <v>33.10185</v>
      </c>
      <c r="AJ3" t="s">
        <v>342</v>
      </c>
      <c r="AK3" t="s">
        <v>353</v>
      </c>
      <c r="AL3">
        <v>192027</v>
      </c>
      <c r="AM3">
        <v>102</v>
      </c>
      <c r="AN3">
        <v>0</v>
      </c>
      <c r="AO3">
        <v>22</v>
      </c>
      <c r="AP3">
        <v>25</v>
      </c>
      <c r="AQ3">
        <v>79.99</v>
      </c>
      <c r="AR3">
        <v>159.98</v>
      </c>
      <c r="AS3">
        <v>799.9</v>
      </c>
      <c r="AT3">
        <v>1439.82</v>
      </c>
      <c r="AU3">
        <v>2319.71</v>
      </c>
      <c r="AV3">
        <v>20</v>
      </c>
      <c r="AW3">
        <v>6</v>
      </c>
      <c r="AX3">
        <v>0</v>
      </c>
      <c r="AY3">
        <v>0</v>
      </c>
      <c r="AZ3">
        <v>0</v>
      </c>
      <c r="BA3">
        <v>19.79</v>
      </c>
      <c r="BB3">
        <v>32</v>
      </c>
      <c r="BC3">
        <v>26</v>
      </c>
      <c r="BD3">
        <v>6</v>
      </c>
      <c r="BE3">
        <v>0</v>
      </c>
      <c r="BG3">
        <v>0</v>
      </c>
      <c r="BH3">
        <v>0</v>
      </c>
      <c r="BY3">
        <v>57</v>
      </c>
      <c r="BZ3">
        <v>15</v>
      </c>
      <c r="CA3" t="s">
        <v>360</v>
      </c>
      <c r="CD3" s="5">
        <v>46188</v>
      </c>
      <c r="CE3" t="s">
        <v>345</v>
      </c>
      <c r="CF3" t="s">
        <v>346</v>
      </c>
      <c r="CG3">
        <v>57</v>
      </c>
      <c r="CH3">
        <v>52.1</v>
      </c>
      <c r="CI3" s="5">
        <v>46186</v>
      </c>
      <c r="CJ3">
        <v>57</v>
      </c>
      <c r="CK3">
        <v>0</v>
      </c>
      <c r="CL3">
        <v>0</v>
      </c>
      <c r="CM3">
        <v>0</v>
      </c>
      <c r="CN3">
        <v>0</v>
      </c>
      <c r="CO3">
        <v>162</v>
      </c>
      <c r="CP3" t="s">
        <v>347</v>
      </c>
      <c r="CQ3" t="s">
        <v>348</v>
      </c>
    </row>
    <row r="4" spans="1:98">
      <c r="A4" s="5">
        <v>46189</v>
      </c>
      <c r="B4" t="s">
        <v>1481</v>
      </c>
      <c r="C4" t="s">
        <v>73</v>
      </c>
      <c r="D4" t="s">
        <v>82</v>
      </c>
      <c r="E4" t="s">
        <v>1706</v>
      </c>
      <c r="F4" t="s">
        <v>337</v>
      </c>
      <c r="G4">
        <v>43</v>
      </c>
      <c r="H4">
        <v>0</v>
      </c>
      <c r="I4">
        <v>43</v>
      </c>
      <c r="J4">
        <v>0</v>
      </c>
      <c r="K4">
        <v>0</v>
      </c>
      <c r="L4">
        <v>0</v>
      </c>
      <c r="M4">
        <v>0</v>
      </c>
      <c r="N4">
        <v>0</v>
      </c>
      <c r="O4" t="s">
        <v>338</v>
      </c>
      <c r="P4">
        <v>0</v>
      </c>
      <c r="Q4">
        <v>2</v>
      </c>
      <c r="R4">
        <v>14</v>
      </c>
      <c r="S4">
        <v>31</v>
      </c>
      <c r="T4" t="s">
        <v>351</v>
      </c>
      <c r="U4">
        <v>33.99</v>
      </c>
      <c r="V4">
        <v>19.99</v>
      </c>
      <c r="W4">
        <v>19.99</v>
      </c>
      <c r="X4">
        <v>0</v>
      </c>
      <c r="Y4" t="s">
        <v>359</v>
      </c>
      <c r="AA4">
        <v>0</v>
      </c>
      <c r="AB4">
        <v>0</v>
      </c>
      <c r="AC4">
        <v>0</v>
      </c>
      <c r="AD4">
        <v>0</v>
      </c>
      <c r="AE4">
        <v>0.79</v>
      </c>
      <c r="AF4">
        <v>0.140917</v>
      </c>
      <c r="AG4" t="s">
        <v>340</v>
      </c>
      <c r="AH4" t="s">
        <v>341</v>
      </c>
      <c r="AI4">
        <v>6.059431</v>
      </c>
      <c r="AJ4" t="s">
        <v>342</v>
      </c>
      <c r="AK4" t="s">
        <v>353</v>
      </c>
      <c r="AL4">
        <v>511375</v>
      </c>
      <c r="AM4">
        <v>185</v>
      </c>
      <c r="AN4">
        <v>0</v>
      </c>
      <c r="AO4">
        <v>86</v>
      </c>
      <c r="AP4">
        <v>18</v>
      </c>
      <c r="AQ4">
        <v>19.99</v>
      </c>
      <c r="AR4">
        <v>0</v>
      </c>
      <c r="AS4">
        <v>39.98</v>
      </c>
      <c r="AT4">
        <v>279.86</v>
      </c>
      <c r="AU4">
        <v>616.69</v>
      </c>
      <c r="AV4">
        <v>3</v>
      </c>
      <c r="AW4">
        <v>3</v>
      </c>
      <c r="AX4">
        <v>37</v>
      </c>
      <c r="AY4">
        <v>0</v>
      </c>
      <c r="AZ4">
        <v>0</v>
      </c>
      <c r="BA4">
        <v>5.63</v>
      </c>
      <c r="BB4">
        <v>0</v>
      </c>
      <c r="BC4">
        <v>0</v>
      </c>
      <c r="BD4">
        <v>0</v>
      </c>
      <c r="BE4">
        <v>0</v>
      </c>
      <c r="BG4">
        <v>0</v>
      </c>
      <c r="BH4">
        <v>0</v>
      </c>
      <c r="BY4">
        <v>430</v>
      </c>
      <c r="BZ4">
        <v>14</v>
      </c>
      <c r="CA4" t="s">
        <v>360</v>
      </c>
      <c r="CD4" s="5">
        <v>46188</v>
      </c>
      <c r="CE4" t="s">
        <v>345</v>
      </c>
      <c r="CF4" t="s">
        <v>346</v>
      </c>
      <c r="CG4">
        <v>430</v>
      </c>
      <c r="CH4">
        <v>107.4</v>
      </c>
      <c r="CI4" s="5">
        <v>46186</v>
      </c>
      <c r="CJ4">
        <v>58</v>
      </c>
      <c r="CK4">
        <v>15</v>
      </c>
      <c r="CL4">
        <v>0</v>
      </c>
      <c r="CM4">
        <v>0</v>
      </c>
      <c r="CN4">
        <v>0</v>
      </c>
      <c r="CO4">
        <v>185</v>
      </c>
      <c r="CP4" t="s">
        <v>347</v>
      </c>
      <c r="CQ4" t="s">
        <v>348</v>
      </c>
    </row>
    <row r="5" spans="1:98">
      <c r="A5" s="5">
        <v>46189</v>
      </c>
      <c r="B5" t="s">
        <v>1483</v>
      </c>
      <c r="C5" t="s">
        <v>1484</v>
      </c>
      <c r="D5" t="s">
        <v>1482</v>
      </c>
      <c r="E5" t="s">
        <v>1707</v>
      </c>
      <c r="F5" t="s">
        <v>337</v>
      </c>
      <c r="G5">
        <v>24</v>
      </c>
      <c r="H5">
        <v>0</v>
      </c>
      <c r="I5">
        <v>0</v>
      </c>
      <c r="J5">
        <v>25</v>
      </c>
      <c r="K5">
        <v>0</v>
      </c>
      <c r="L5">
        <v>0</v>
      </c>
      <c r="M5">
        <v>0</v>
      </c>
      <c r="N5">
        <v>0</v>
      </c>
      <c r="O5" t="s">
        <v>338</v>
      </c>
      <c r="P5">
        <v>0</v>
      </c>
      <c r="Q5">
        <v>0</v>
      </c>
      <c r="R5">
        <v>5</v>
      </c>
      <c r="S5">
        <v>8</v>
      </c>
      <c r="T5" t="s">
        <v>351</v>
      </c>
      <c r="U5">
        <v>39.99</v>
      </c>
      <c r="V5">
        <v>19.99</v>
      </c>
      <c r="W5">
        <v>19.99</v>
      </c>
      <c r="X5">
        <v>0</v>
      </c>
      <c r="Y5" t="s">
        <v>359</v>
      </c>
      <c r="AA5">
        <v>0</v>
      </c>
      <c r="AB5">
        <v>0</v>
      </c>
      <c r="AC5">
        <v>0</v>
      </c>
      <c r="AD5">
        <v>432.19</v>
      </c>
      <c r="AE5">
        <v>0.32</v>
      </c>
      <c r="AF5">
        <v>0.114396</v>
      </c>
      <c r="AG5" t="s">
        <v>340</v>
      </c>
      <c r="AH5" t="s">
        <v>341</v>
      </c>
      <c r="AI5">
        <v>2.745504</v>
      </c>
      <c r="AJ5" t="s">
        <v>342</v>
      </c>
      <c r="AK5" t="s">
        <v>353</v>
      </c>
      <c r="AL5">
        <v>3278407</v>
      </c>
      <c r="AM5">
        <v>195</v>
      </c>
      <c r="AN5">
        <v>26</v>
      </c>
      <c r="AP5">
        <v>55</v>
      </c>
      <c r="AQ5">
        <v>19.99</v>
      </c>
      <c r="AR5">
        <v>0</v>
      </c>
      <c r="AS5">
        <v>0</v>
      </c>
      <c r="AT5">
        <v>99.95</v>
      </c>
      <c r="AU5">
        <v>159.53</v>
      </c>
      <c r="AV5">
        <v>0</v>
      </c>
      <c r="AW5">
        <v>0</v>
      </c>
      <c r="AX5">
        <v>0</v>
      </c>
      <c r="AY5">
        <v>0</v>
      </c>
      <c r="AZ5">
        <v>0</v>
      </c>
      <c r="BA5">
        <v>2.78</v>
      </c>
      <c r="BB5">
        <v>10</v>
      </c>
      <c r="BC5">
        <v>0</v>
      </c>
      <c r="BD5">
        <v>10</v>
      </c>
      <c r="BE5">
        <v>0</v>
      </c>
      <c r="BG5">
        <v>0</v>
      </c>
      <c r="BH5">
        <v>0</v>
      </c>
      <c r="BY5">
        <v>750</v>
      </c>
      <c r="BZ5">
        <v>5</v>
      </c>
      <c r="CA5" t="s">
        <v>354</v>
      </c>
      <c r="CD5" s="5">
        <v>46188</v>
      </c>
      <c r="CE5" t="s">
        <v>345</v>
      </c>
      <c r="CF5" t="s">
        <v>346</v>
      </c>
      <c r="CG5">
        <v>750</v>
      </c>
      <c r="CH5">
        <v>253.2</v>
      </c>
      <c r="CI5" s="5">
        <v>46186</v>
      </c>
      <c r="CJ5">
        <v>34</v>
      </c>
      <c r="CK5">
        <v>0</v>
      </c>
      <c r="CL5">
        <v>0</v>
      </c>
      <c r="CM5">
        <v>0</v>
      </c>
      <c r="CN5">
        <v>0</v>
      </c>
      <c r="CO5">
        <v>195</v>
      </c>
      <c r="CP5" t="s">
        <v>347</v>
      </c>
      <c r="CQ5" t="s">
        <v>348</v>
      </c>
    </row>
    <row r="6" spans="1:98">
      <c r="A6" s="5">
        <v>46189</v>
      </c>
      <c r="B6" t="s">
        <v>1708</v>
      </c>
      <c r="C6" t="s">
        <v>1709</v>
      </c>
      <c r="D6" t="s">
        <v>1710</v>
      </c>
      <c r="E6" t="s">
        <v>1711</v>
      </c>
      <c r="G6">
        <v>0</v>
      </c>
      <c r="H6">
        <v>-1</v>
      </c>
      <c r="O6" t="s">
        <v>338</v>
      </c>
      <c r="U6">
        <v>0</v>
      </c>
      <c r="V6">
        <v>0</v>
      </c>
      <c r="W6">
        <v>0</v>
      </c>
      <c r="X6">
        <v>0</v>
      </c>
      <c r="Y6" t="s">
        <v>359</v>
      </c>
      <c r="AB6">
        <v>0</v>
      </c>
      <c r="AC6">
        <v>0</v>
      </c>
      <c r="AE6">
        <v>-1</v>
      </c>
      <c r="AJ6" t="s">
        <v>342</v>
      </c>
      <c r="AK6" t="s">
        <v>353</v>
      </c>
      <c r="AM6">
        <v>0</v>
      </c>
      <c r="AN6">
        <v>0</v>
      </c>
      <c r="AQ6">
        <v>26.24</v>
      </c>
      <c r="AY6">
        <v>0</v>
      </c>
      <c r="BB6">
        <v>0</v>
      </c>
      <c r="BG6">
        <v>0</v>
      </c>
      <c r="BH6">
        <v>0</v>
      </c>
      <c r="CJ6">
        <v>0</v>
      </c>
      <c r="CK6">
        <v>0</v>
      </c>
      <c r="CL6">
        <v>0</v>
      </c>
      <c r="CM6">
        <v>0</v>
      </c>
      <c r="CN6">
        <v>0</v>
      </c>
      <c r="CO6">
        <v>0</v>
      </c>
      <c r="CP6" t="s">
        <v>347</v>
      </c>
      <c r="CQ6" t="s">
        <v>348</v>
      </c>
    </row>
    <row r="7" spans="1:98">
      <c r="A7" s="5">
        <v>46189</v>
      </c>
      <c r="B7" t="s">
        <v>1712</v>
      </c>
      <c r="C7" t="s">
        <v>1283</v>
      </c>
      <c r="D7" t="s">
        <v>1713</v>
      </c>
      <c r="E7" t="s">
        <v>1285</v>
      </c>
      <c r="G7">
        <v>0</v>
      </c>
      <c r="H7">
        <v>-1</v>
      </c>
      <c r="O7" t="s">
        <v>338</v>
      </c>
      <c r="U7">
        <v>0</v>
      </c>
      <c r="V7">
        <v>0</v>
      </c>
      <c r="W7">
        <v>0</v>
      </c>
      <c r="X7">
        <v>0</v>
      </c>
      <c r="Y7" t="s">
        <v>359</v>
      </c>
      <c r="AB7">
        <v>0</v>
      </c>
      <c r="AC7">
        <v>0</v>
      </c>
      <c r="AE7">
        <v>-1</v>
      </c>
      <c r="AJ7" t="s">
        <v>342</v>
      </c>
      <c r="AK7" t="s">
        <v>353</v>
      </c>
      <c r="AL7">
        <v>2409</v>
      </c>
      <c r="AN7">
        <v>0</v>
      </c>
      <c r="AQ7">
        <v>18.99</v>
      </c>
      <c r="AY7">
        <v>0</v>
      </c>
      <c r="BB7">
        <v>0</v>
      </c>
      <c r="BG7">
        <v>0</v>
      </c>
      <c r="BH7">
        <v>0</v>
      </c>
      <c r="CJ7">
        <v>0</v>
      </c>
      <c r="CK7">
        <v>0</v>
      </c>
      <c r="CL7">
        <v>0</v>
      </c>
      <c r="CM7">
        <v>0</v>
      </c>
      <c r="CN7">
        <v>0</v>
      </c>
      <c r="CP7" t="s">
        <v>347</v>
      </c>
      <c r="CQ7" t="s">
        <v>348</v>
      </c>
    </row>
    <row r="8" spans="1:98">
      <c r="A8" s="5">
        <v>46189</v>
      </c>
      <c r="B8" t="s">
        <v>1714</v>
      </c>
      <c r="C8" t="s">
        <v>1715</v>
      </c>
      <c r="D8" t="s">
        <v>1716</v>
      </c>
      <c r="E8" t="s">
        <v>1717</v>
      </c>
      <c r="G8">
        <v>0</v>
      </c>
      <c r="H8">
        <v>-1</v>
      </c>
      <c r="O8" t="s">
        <v>338</v>
      </c>
      <c r="U8">
        <v>0</v>
      </c>
      <c r="V8">
        <v>0</v>
      </c>
      <c r="W8">
        <v>0</v>
      </c>
      <c r="X8">
        <v>0</v>
      </c>
      <c r="Y8" t="s">
        <v>359</v>
      </c>
      <c r="AB8">
        <v>0</v>
      </c>
      <c r="AC8">
        <v>0</v>
      </c>
      <c r="AE8">
        <v>-1</v>
      </c>
      <c r="AH8" t="s">
        <v>341</v>
      </c>
      <c r="AJ8" t="s">
        <v>342</v>
      </c>
      <c r="AK8" t="s">
        <v>353</v>
      </c>
      <c r="AM8">
        <v>0</v>
      </c>
      <c r="AN8">
        <v>0</v>
      </c>
      <c r="AQ8">
        <v>23.99</v>
      </c>
      <c r="AY8">
        <v>0</v>
      </c>
      <c r="BB8">
        <v>0</v>
      </c>
      <c r="BG8">
        <v>0</v>
      </c>
      <c r="BH8">
        <v>0</v>
      </c>
      <c r="CJ8">
        <v>0</v>
      </c>
      <c r="CK8">
        <v>0</v>
      </c>
      <c r="CL8">
        <v>0</v>
      </c>
      <c r="CM8">
        <v>0</v>
      </c>
      <c r="CN8">
        <v>0</v>
      </c>
      <c r="CO8">
        <v>0</v>
      </c>
      <c r="CP8" t="s">
        <v>347</v>
      </c>
      <c r="CQ8" t="s">
        <v>348</v>
      </c>
    </row>
    <row r="9" spans="1:98">
      <c r="A9" s="5">
        <v>46189</v>
      </c>
      <c r="B9" t="s">
        <v>1718</v>
      </c>
      <c r="C9" t="s">
        <v>1719</v>
      </c>
      <c r="D9" t="s">
        <v>1720</v>
      </c>
      <c r="E9" t="s">
        <v>1721</v>
      </c>
      <c r="G9">
        <v>0</v>
      </c>
      <c r="H9">
        <v>-1</v>
      </c>
      <c r="O9" t="s">
        <v>338</v>
      </c>
      <c r="U9">
        <v>0</v>
      </c>
      <c r="V9">
        <v>0</v>
      </c>
      <c r="W9">
        <v>0</v>
      </c>
      <c r="X9">
        <v>0</v>
      </c>
      <c r="Y9" t="s">
        <v>359</v>
      </c>
      <c r="AB9">
        <v>0</v>
      </c>
      <c r="AC9">
        <v>0</v>
      </c>
      <c r="AE9">
        <v>-1</v>
      </c>
      <c r="AH9" t="s">
        <v>424</v>
      </c>
      <c r="AJ9" t="s">
        <v>342</v>
      </c>
      <c r="AK9" t="s">
        <v>353</v>
      </c>
      <c r="AM9">
        <v>0</v>
      </c>
      <c r="AN9">
        <v>0</v>
      </c>
      <c r="AQ9">
        <v>74.09</v>
      </c>
      <c r="AY9">
        <v>0</v>
      </c>
      <c r="BB9">
        <v>0</v>
      </c>
      <c r="BG9">
        <v>0</v>
      </c>
      <c r="BH9">
        <v>0</v>
      </c>
      <c r="CJ9">
        <v>0</v>
      </c>
      <c r="CK9">
        <v>0</v>
      </c>
      <c r="CL9">
        <v>0</v>
      </c>
      <c r="CM9">
        <v>0</v>
      </c>
      <c r="CN9">
        <v>0</v>
      </c>
      <c r="CO9">
        <v>0</v>
      </c>
      <c r="CP9" t="s">
        <v>347</v>
      </c>
      <c r="CQ9" t="s">
        <v>348</v>
      </c>
    </row>
    <row r="10" spans="1:98">
      <c r="A10" s="5">
        <v>46189</v>
      </c>
      <c r="B10" t="s">
        <v>1722</v>
      </c>
      <c r="C10" t="s">
        <v>1094</v>
      </c>
      <c r="D10" t="s">
        <v>1723</v>
      </c>
      <c r="E10" t="s">
        <v>1096</v>
      </c>
      <c r="G10">
        <v>0</v>
      </c>
      <c r="H10">
        <v>-1</v>
      </c>
      <c r="O10" t="s">
        <v>338</v>
      </c>
      <c r="P10">
        <v>0</v>
      </c>
      <c r="Q10">
        <v>0</v>
      </c>
      <c r="R10">
        <v>0</v>
      </c>
      <c r="S10">
        <v>0</v>
      </c>
      <c r="U10">
        <v>0</v>
      </c>
      <c r="V10">
        <v>0</v>
      </c>
      <c r="W10">
        <v>0</v>
      </c>
      <c r="X10">
        <v>0</v>
      </c>
      <c r="Y10" t="s">
        <v>359</v>
      </c>
      <c r="AB10">
        <v>0</v>
      </c>
      <c r="AC10">
        <v>0</v>
      </c>
      <c r="AE10">
        <v>-1</v>
      </c>
      <c r="AH10" t="s">
        <v>341</v>
      </c>
      <c r="AJ10" t="s">
        <v>342</v>
      </c>
      <c r="AK10" t="s">
        <v>353</v>
      </c>
      <c r="AM10">
        <v>0</v>
      </c>
      <c r="AN10">
        <v>0</v>
      </c>
      <c r="AQ10">
        <v>38.99</v>
      </c>
      <c r="AR10">
        <v>0</v>
      </c>
      <c r="AS10">
        <v>0</v>
      </c>
      <c r="AT10">
        <v>0</v>
      </c>
      <c r="AU10">
        <v>0</v>
      </c>
      <c r="AY10">
        <v>0</v>
      </c>
      <c r="BB10">
        <v>0</v>
      </c>
      <c r="BC10">
        <v>0</v>
      </c>
      <c r="BD10">
        <v>0</v>
      </c>
      <c r="BE10">
        <v>0</v>
      </c>
      <c r="BG10">
        <v>0</v>
      </c>
      <c r="BH10">
        <v>0</v>
      </c>
      <c r="BZ10">
        <v>1</v>
      </c>
      <c r="CA10" t="s">
        <v>429</v>
      </c>
      <c r="CJ10">
        <v>0</v>
      </c>
      <c r="CK10">
        <v>0</v>
      </c>
      <c r="CL10">
        <v>0</v>
      </c>
      <c r="CM10">
        <v>0</v>
      </c>
      <c r="CN10">
        <v>0</v>
      </c>
      <c r="CO10">
        <v>0</v>
      </c>
      <c r="CP10" t="s">
        <v>347</v>
      </c>
      <c r="CQ10" t="s">
        <v>348</v>
      </c>
    </row>
    <row r="11" spans="1:98">
      <c r="A11" s="5">
        <v>46189</v>
      </c>
      <c r="B11" t="s">
        <v>1724</v>
      </c>
      <c r="C11" t="s">
        <v>1725</v>
      </c>
      <c r="D11" t="s">
        <v>1726</v>
      </c>
      <c r="E11" t="s">
        <v>1727</v>
      </c>
      <c r="G11">
        <v>0</v>
      </c>
      <c r="H11">
        <v>-1</v>
      </c>
      <c r="O11" t="s">
        <v>338</v>
      </c>
      <c r="U11">
        <v>0</v>
      </c>
      <c r="V11">
        <v>0</v>
      </c>
      <c r="W11">
        <v>0</v>
      </c>
      <c r="X11">
        <v>0</v>
      </c>
      <c r="Y11" t="s">
        <v>359</v>
      </c>
      <c r="AB11">
        <v>0</v>
      </c>
      <c r="AC11">
        <v>0</v>
      </c>
      <c r="AE11">
        <v>-1</v>
      </c>
      <c r="AH11" t="s">
        <v>341</v>
      </c>
      <c r="AJ11" t="s">
        <v>342</v>
      </c>
      <c r="AK11" t="s">
        <v>353</v>
      </c>
      <c r="AN11">
        <v>0</v>
      </c>
      <c r="AY11">
        <v>0</v>
      </c>
      <c r="BB11">
        <v>0</v>
      </c>
      <c r="BG11">
        <v>0</v>
      </c>
      <c r="BH11">
        <v>0</v>
      </c>
      <c r="CJ11">
        <v>0</v>
      </c>
      <c r="CK11">
        <v>0</v>
      </c>
      <c r="CL11">
        <v>0</v>
      </c>
      <c r="CM11">
        <v>0</v>
      </c>
      <c r="CN11">
        <v>0</v>
      </c>
      <c r="CP11" t="s">
        <v>347</v>
      </c>
      <c r="CQ11" t="s">
        <v>348</v>
      </c>
    </row>
    <row r="12" spans="1:98">
      <c r="A12" s="5">
        <v>46189</v>
      </c>
      <c r="B12" t="s">
        <v>1728</v>
      </c>
      <c r="C12" t="s">
        <v>1729</v>
      </c>
      <c r="D12" t="s">
        <v>1730</v>
      </c>
      <c r="E12" t="s">
        <v>1731</v>
      </c>
      <c r="G12">
        <v>0</v>
      </c>
      <c r="H12">
        <v>-1</v>
      </c>
      <c r="O12" t="s">
        <v>338</v>
      </c>
      <c r="U12">
        <v>0</v>
      </c>
      <c r="V12">
        <v>0</v>
      </c>
      <c r="W12">
        <v>0</v>
      </c>
      <c r="X12">
        <v>0</v>
      </c>
      <c r="Y12" t="s">
        <v>359</v>
      </c>
      <c r="AB12">
        <v>0</v>
      </c>
      <c r="AC12">
        <v>0</v>
      </c>
      <c r="AE12">
        <v>-1</v>
      </c>
      <c r="AH12" t="s">
        <v>377</v>
      </c>
      <c r="AJ12" t="s">
        <v>342</v>
      </c>
      <c r="AK12" t="s">
        <v>353</v>
      </c>
      <c r="AN12">
        <v>0</v>
      </c>
      <c r="AY12">
        <v>0</v>
      </c>
      <c r="BB12">
        <v>0</v>
      </c>
      <c r="BG12">
        <v>0</v>
      </c>
      <c r="BH12">
        <v>0</v>
      </c>
      <c r="CJ12">
        <v>0</v>
      </c>
      <c r="CK12">
        <v>0</v>
      </c>
      <c r="CL12">
        <v>0</v>
      </c>
      <c r="CM12">
        <v>0</v>
      </c>
      <c r="CN12">
        <v>0</v>
      </c>
      <c r="CP12" t="s">
        <v>347</v>
      </c>
      <c r="CQ12" t="s">
        <v>348</v>
      </c>
    </row>
    <row r="13" spans="1:98">
      <c r="A13" s="5">
        <v>46189</v>
      </c>
      <c r="B13" t="s">
        <v>1486</v>
      </c>
      <c r="C13" t="s">
        <v>1487</v>
      </c>
      <c r="D13" t="s">
        <v>1485</v>
      </c>
      <c r="E13" t="s">
        <v>1732</v>
      </c>
      <c r="F13" t="s">
        <v>337</v>
      </c>
      <c r="G13">
        <v>28</v>
      </c>
      <c r="H13">
        <v>0</v>
      </c>
      <c r="I13">
        <v>0</v>
      </c>
      <c r="J13">
        <v>0</v>
      </c>
      <c r="K13">
        <v>28</v>
      </c>
      <c r="L13">
        <v>0</v>
      </c>
      <c r="M13">
        <v>0</v>
      </c>
      <c r="N13">
        <v>0</v>
      </c>
      <c r="O13" t="s">
        <v>338</v>
      </c>
      <c r="P13">
        <v>0</v>
      </c>
      <c r="Q13">
        <v>0</v>
      </c>
      <c r="R13">
        <v>0</v>
      </c>
      <c r="S13">
        <v>1</v>
      </c>
      <c r="T13" t="s">
        <v>351</v>
      </c>
      <c r="U13">
        <v>49.99</v>
      </c>
      <c r="V13">
        <v>28.99</v>
      </c>
      <c r="W13">
        <v>28.99</v>
      </c>
      <c r="X13">
        <v>0</v>
      </c>
      <c r="Y13" t="s">
        <v>613</v>
      </c>
      <c r="AB13">
        <v>0</v>
      </c>
      <c r="AC13">
        <v>0</v>
      </c>
      <c r="AE13">
        <v>0.04</v>
      </c>
      <c r="AF13">
        <v>0.224074</v>
      </c>
      <c r="AG13" t="s">
        <v>340</v>
      </c>
      <c r="AH13" t="s">
        <v>1733</v>
      </c>
      <c r="AI13">
        <v>6.274072</v>
      </c>
      <c r="AJ13" t="s">
        <v>342</v>
      </c>
      <c r="AK13" t="s">
        <v>1734</v>
      </c>
      <c r="AL13">
        <v>760704</v>
      </c>
      <c r="AM13">
        <v>366</v>
      </c>
      <c r="AN13">
        <v>0</v>
      </c>
      <c r="AP13">
        <v>364</v>
      </c>
      <c r="AQ13">
        <v>28.99</v>
      </c>
      <c r="AR13">
        <v>0</v>
      </c>
      <c r="AS13">
        <v>0</v>
      </c>
      <c r="AT13">
        <v>0</v>
      </c>
      <c r="AU13">
        <v>28.99</v>
      </c>
      <c r="AV13">
        <v>0</v>
      </c>
      <c r="AW13">
        <v>0</v>
      </c>
      <c r="AX13">
        <v>0</v>
      </c>
      <c r="AY13">
        <v>28</v>
      </c>
      <c r="AZ13">
        <v>0</v>
      </c>
      <c r="BB13">
        <v>0</v>
      </c>
      <c r="BC13">
        <v>0</v>
      </c>
      <c r="BD13">
        <v>0</v>
      </c>
      <c r="BE13">
        <v>0</v>
      </c>
      <c r="BG13">
        <v>0</v>
      </c>
      <c r="BH13">
        <v>0</v>
      </c>
      <c r="BZ13">
        <v>2</v>
      </c>
      <c r="CA13" t="s">
        <v>360</v>
      </c>
      <c r="CH13">
        <v>2563</v>
      </c>
      <c r="CI13" s="5">
        <v>46186</v>
      </c>
      <c r="CJ13">
        <v>28</v>
      </c>
      <c r="CK13">
        <v>0</v>
      </c>
      <c r="CL13">
        <v>0</v>
      </c>
      <c r="CM13">
        <v>0</v>
      </c>
      <c r="CN13">
        <v>0</v>
      </c>
      <c r="CO13">
        <v>366</v>
      </c>
      <c r="CP13" t="s">
        <v>347</v>
      </c>
      <c r="CQ13" t="s">
        <v>348</v>
      </c>
    </row>
    <row r="14" spans="1:98">
      <c r="A14" s="5">
        <v>46189</v>
      </c>
      <c r="B14" t="s">
        <v>1735</v>
      </c>
      <c r="C14" t="s">
        <v>365</v>
      </c>
      <c r="D14" t="s">
        <v>1736</v>
      </c>
      <c r="E14" t="s">
        <v>367</v>
      </c>
      <c r="G14">
        <v>0</v>
      </c>
      <c r="H14">
        <v>-1</v>
      </c>
      <c r="O14" t="s">
        <v>338</v>
      </c>
      <c r="U14">
        <v>0</v>
      </c>
      <c r="V14">
        <v>0</v>
      </c>
      <c r="W14">
        <v>0</v>
      </c>
      <c r="X14">
        <v>0</v>
      </c>
      <c r="Y14" t="s">
        <v>359</v>
      </c>
      <c r="AB14">
        <v>0</v>
      </c>
      <c r="AC14">
        <v>0</v>
      </c>
      <c r="AE14">
        <v>-1</v>
      </c>
      <c r="AH14" t="s">
        <v>341</v>
      </c>
      <c r="AJ14" t="s">
        <v>342</v>
      </c>
      <c r="AK14" t="s">
        <v>353</v>
      </c>
      <c r="AM14">
        <v>0</v>
      </c>
      <c r="AN14">
        <v>0</v>
      </c>
      <c r="AQ14">
        <v>26.99</v>
      </c>
      <c r="AY14">
        <v>0</v>
      </c>
      <c r="BB14">
        <v>0</v>
      </c>
      <c r="BC14">
        <v>0</v>
      </c>
      <c r="BD14">
        <v>0</v>
      </c>
      <c r="BE14">
        <v>0</v>
      </c>
      <c r="BG14">
        <v>0</v>
      </c>
      <c r="BH14">
        <v>0</v>
      </c>
      <c r="CJ14">
        <v>0</v>
      </c>
      <c r="CK14">
        <v>0</v>
      </c>
      <c r="CL14">
        <v>0</v>
      </c>
      <c r="CM14">
        <v>0</v>
      </c>
      <c r="CN14">
        <v>0</v>
      </c>
      <c r="CO14">
        <v>0</v>
      </c>
      <c r="CP14" t="s">
        <v>347</v>
      </c>
      <c r="CQ14" t="s">
        <v>348</v>
      </c>
    </row>
    <row r="15" spans="1:98">
      <c r="A15" s="5">
        <v>46189</v>
      </c>
      <c r="B15" t="s">
        <v>1737</v>
      </c>
      <c r="C15" t="s">
        <v>1443</v>
      </c>
      <c r="D15" t="s">
        <v>1738</v>
      </c>
      <c r="E15" t="s">
        <v>1445</v>
      </c>
      <c r="G15">
        <v>0</v>
      </c>
      <c r="H15">
        <v>-1</v>
      </c>
      <c r="O15" t="s">
        <v>338</v>
      </c>
      <c r="P15">
        <v>0</v>
      </c>
      <c r="Q15">
        <v>0</v>
      </c>
      <c r="R15">
        <v>0</v>
      </c>
      <c r="S15">
        <v>0</v>
      </c>
      <c r="U15">
        <v>0</v>
      </c>
      <c r="V15">
        <v>0</v>
      </c>
      <c r="W15">
        <v>0</v>
      </c>
      <c r="X15">
        <v>0</v>
      </c>
      <c r="Y15" t="s">
        <v>359</v>
      </c>
      <c r="AB15">
        <v>0</v>
      </c>
      <c r="AC15">
        <v>0</v>
      </c>
      <c r="AE15">
        <v>-1</v>
      </c>
      <c r="AH15" t="s">
        <v>341</v>
      </c>
      <c r="AJ15" t="s">
        <v>342</v>
      </c>
      <c r="AK15" t="s">
        <v>343</v>
      </c>
      <c r="AL15">
        <v>1351087</v>
      </c>
      <c r="AM15">
        <v>0</v>
      </c>
      <c r="AN15">
        <v>0</v>
      </c>
      <c r="AQ15">
        <v>38.99</v>
      </c>
      <c r="AR15">
        <v>0</v>
      </c>
      <c r="AS15">
        <v>0</v>
      </c>
      <c r="AT15">
        <v>0</v>
      </c>
      <c r="AU15">
        <v>0</v>
      </c>
      <c r="AY15">
        <v>0</v>
      </c>
      <c r="BB15">
        <v>0</v>
      </c>
      <c r="BC15">
        <v>0</v>
      </c>
      <c r="BD15">
        <v>0</v>
      </c>
      <c r="BE15">
        <v>0</v>
      </c>
      <c r="BG15">
        <v>0</v>
      </c>
      <c r="BH15">
        <v>0</v>
      </c>
      <c r="BZ15">
        <v>1</v>
      </c>
      <c r="CA15" t="s">
        <v>429</v>
      </c>
      <c r="CJ15">
        <v>0</v>
      </c>
      <c r="CK15">
        <v>0</v>
      </c>
      <c r="CL15">
        <v>0</v>
      </c>
      <c r="CM15">
        <v>0</v>
      </c>
      <c r="CN15">
        <v>0</v>
      </c>
      <c r="CO15">
        <v>0</v>
      </c>
      <c r="CP15" t="s">
        <v>347</v>
      </c>
      <c r="CQ15" t="s">
        <v>348</v>
      </c>
    </row>
    <row r="16" spans="1:98">
      <c r="A16" s="5">
        <v>46189</v>
      </c>
      <c r="B16" t="s">
        <v>1490</v>
      </c>
      <c r="C16" t="s">
        <v>1491</v>
      </c>
      <c r="D16" t="s">
        <v>1489</v>
      </c>
      <c r="E16" t="s">
        <v>1739</v>
      </c>
      <c r="F16" t="s">
        <v>337</v>
      </c>
      <c r="G16">
        <v>12</v>
      </c>
      <c r="H16">
        <v>0</v>
      </c>
      <c r="I16">
        <v>14</v>
      </c>
      <c r="J16">
        <v>0</v>
      </c>
      <c r="K16">
        <v>0</v>
      </c>
      <c r="L16">
        <v>0</v>
      </c>
      <c r="M16">
        <v>0</v>
      </c>
      <c r="N16">
        <v>0</v>
      </c>
      <c r="O16" t="s">
        <v>338</v>
      </c>
      <c r="P16">
        <v>0</v>
      </c>
      <c r="Q16">
        <v>8</v>
      </c>
      <c r="R16">
        <v>21</v>
      </c>
      <c r="S16">
        <v>28</v>
      </c>
      <c r="T16" t="s">
        <v>351</v>
      </c>
      <c r="U16">
        <v>49.99</v>
      </c>
      <c r="V16">
        <v>29.99</v>
      </c>
      <c r="W16">
        <v>29.99</v>
      </c>
      <c r="X16">
        <v>0</v>
      </c>
      <c r="Y16" t="s">
        <v>464</v>
      </c>
      <c r="AA16">
        <v>0</v>
      </c>
      <c r="AB16">
        <v>0</v>
      </c>
      <c r="AC16">
        <v>0</v>
      </c>
      <c r="AD16">
        <v>0</v>
      </c>
      <c r="AE16">
        <v>1.62</v>
      </c>
      <c r="AF16">
        <v>0.225</v>
      </c>
      <c r="AG16" t="s">
        <v>340</v>
      </c>
      <c r="AH16" t="s">
        <v>341</v>
      </c>
      <c r="AI16">
        <v>2.7</v>
      </c>
      <c r="AJ16" t="s">
        <v>342</v>
      </c>
      <c r="AK16" t="s">
        <v>353</v>
      </c>
      <c r="AL16">
        <v>444729</v>
      </c>
      <c r="AM16">
        <v>54</v>
      </c>
      <c r="AN16">
        <v>0</v>
      </c>
      <c r="AO16">
        <v>6</v>
      </c>
      <c r="AP16">
        <v>5</v>
      </c>
      <c r="AQ16">
        <v>28.49</v>
      </c>
      <c r="AR16">
        <v>0</v>
      </c>
      <c r="AS16">
        <v>226.5</v>
      </c>
      <c r="AT16">
        <v>601.37</v>
      </c>
      <c r="AU16">
        <v>811.3</v>
      </c>
      <c r="AV16">
        <v>14</v>
      </c>
      <c r="AW16">
        <v>0</v>
      </c>
      <c r="AX16">
        <v>0</v>
      </c>
      <c r="AY16">
        <v>0</v>
      </c>
      <c r="AZ16">
        <v>0</v>
      </c>
      <c r="BA16">
        <v>1.99</v>
      </c>
      <c r="BB16">
        <v>0</v>
      </c>
      <c r="BC16">
        <v>0</v>
      </c>
      <c r="BD16">
        <v>0</v>
      </c>
      <c r="BE16">
        <v>0</v>
      </c>
      <c r="BG16">
        <v>0</v>
      </c>
      <c r="BH16">
        <v>1</v>
      </c>
      <c r="BY16">
        <v>50.4</v>
      </c>
      <c r="BZ16">
        <v>13</v>
      </c>
      <c r="CA16" t="s">
        <v>360</v>
      </c>
      <c r="CB16">
        <v>7</v>
      </c>
      <c r="CC16" s="5">
        <v>46195</v>
      </c>
      <c r="CD16" s="5">
        <v>46188</v>
      </c>
      <c r="CE16" t="s">
        <v>345</v>
      </c>
      <c r="CF16" t="s">
        <v>346</v>
      </c>
      <c r="CG16">
        <v>44.5</v>
      </c>
      <c r="CH16">
        <v>50.4</v>
      </c>
      <c r="CI16" s="5">
        <v>46186</v>
      </c>
      <c r="CJ16">
        <v>15</v>
      </c>
      <c r="CK16">
        <v>3</v>
      </c>
      <c r="CL16">
        <v>0</v>
      </c>
      <c r="CM16">
        <v>0</v>
      </c>
      <c r="CN16">
        <v>0</v>
      </c>
      <c r="CO16">
        <v>54</v>
      </c>
      <c r="CP16" t="s">
        <v>347</v>
      </c>
      <c r="CQ16" t="s">
        <v>348</v>
      </c>
    </row>
    <row r="17" spans="1:95">
      <c r="A17" s="5">
        <v>46189</v>
      </c>
      <c r="B17" t="s">
        <v>1740</v>
      </c>
      <c r="C17" t="s">
        <v>1741</v>
      </c>
      <c r="D17" t="s">
        <v>1742</v>
      </c>
      <c r="E17" t="s">
        <v>1743</v>
      </c>
      <c r="G17">
        <v>0</v>
      </c>
      <c r="H17">
        <v>-1</v>
      </c>
      <c r="O17" t="s">
        <v>338</v>
      </c>
      <c r="U17">
        <v>0</v>
      </c>
      <c r="V17">
        <v>0</v>
      </c>
      <c r="W17">
        <v>0</v>
      </c>
      <c r="X17">
        <v>0</v>
      </c>
      <c r="Y17" t="s">
        <v>359</v>
      </c>
      <c r="AB17">
        <v>0</v>
      </c>
      <c r="AC17">
        <v>0</v>
      </c>
      <c r="AE17">
        <v>-1</v>
      </c>
      <c r="AH17" t="s">
        <v>341</v>
      </c>
      <c r="AJ17" t="s">
        <v>342</v>
      </c>
      <c r="AK17" t="s">
        <v>353</v>
      </c>
      <c r="AL17">
        <v>190233</v>
      </c>
      <c r="AM17">
        <v>0</v>
      </c>
      <c r="AN17">
        <v>0</v>
      </c>
      <c r="AQ17">
        <v>29.99</v>
      </c>
      <c r="AY17">
        <v>0</v>
      </c>
      <c r="BB17">
        <v>0</v>
      </c>
      <c r="BC17">
        <v>0</v>
      </c>
      <c r="BD17">
        <v>0</v>
      </c>
      <c r="BE17">
        <v>0</v>
      </c>
      <c r="BG17">
        <v>0</v>
      </c>
      <c r="BH17">
        <v>0</v>
      </c>
      <c r="CB17">
        <v>5</v>
      </c>
      <c r="CC17" s="5">
        <v>46186</v>
      </c>
      <c r="CJ17">
        <v>0</v>
      </c>
      <c r="CK17">
        <v>0</v>
      </c>
      <c r="CL17">
        <v>0</v>
      </c>
      <c r="CM17">
        <v>0</v>
      </c>
      <c r="CN17">
        <v>0</v>
      </c>
      <c r="CO17">
        <v>0</v>
      </c>
      <c r="CP17" t="s">
        <v>347</v>
      </c>
      <c r="CQ17" t="s">
        <v>348</v>
      </c>
    </row>
    <row r="18" spans="1:95">
      <c r="A18" s="5">
        <v>46189</v>
      </c>
      <c r="B18" t="s">
        <v>1495</v>
      </c>
      <c r="C18" t="s">
        <v>1496</v>
      </c>
      <c r="D18" t="s">
        <v>1494</v>
      </c>
      <c r="E18" t="s">
        <v>1744</v>
      </c>
      <c r="F18" t="s">
        <v>337</v>
      </c>
      <c r="G18">
        <v>12</v>
      </c>
      <c r="H18">
        <v>0</v>
      </c>
      <c r="I18">
        <v>0</v>
      </c>
      <c r="J18">
        <v>12</v>
      </c>
      <c r="K18">
        <v>0</v>
      </c>
      <c r="L18">
        <v>0</v>
      </c>
      <c r="M18">
        <v>0</v>
      </c>
      <c r="N18">
        <v>0</v>
      </c>
      <c r="O18" t="s">
        <v>338</v>
      </c>
      <c r="T18" t="s">
        <v>351</v>
      </c>
      <c r="U18">
        <v>49.99</v>
      </c>
      <c r="V18">
        <v>0</v>
      </c>
      <c r="W18">
        <v>38.99</v>
      </c>
      <c r="X18">
        <v>0</v>
      </c>
      <c r="Y18" t="s">
        <v>391</v>
      </c>
      <c r="AA18">
        <v>0</v>
      </c>
      <c r="AB18">
        <v>0</v>
      </c>
      <c r="AC18">
        <v>0</v>
      </c>
      <c r="AD18">
        <v>995</v>
      </c>
      <c r="AE18">
        <v>0</v>
      </c>
      <c r="AF18">
        <v>0.361675</v>
      </c>
      <c r="AG18" t="s">
        <v>340</v>
      </c>
      <c r="AH18" t="s">
        <v>341</v>
      </c>
      <c r="AI18">
        <v>4.3401</v>
      </c>
      <c r="AJ18" t="s">
        <v>342</v>
      </c>
      <c r="AK18" t="s">
        <v>343</v>
      </c>
      <c r="AL18">
        <v>215750</v>
      </c>
      <c r="AN18">
        <v>12</v>
      </c>
      <c r="AQ18">
        <v>38.99</v>
      </c>
      <c r="AV18">
        <v>0</v>
      </c>
      <c r="AW18">
        <v>0</v>
      </c>
      <c r="AX18">
        <v>0</v>
      </c>
      <c r="AY18">
        <v>0</v>
      </c>
      <c r="AZ18">
        <v>0</v>
      </c>
      <c r="BA18">
        <v>3.1</v>
      </c>
      <c r="BB18">
        <v>0</v>
      </c>
      <c r="BC18">
        <v>0</v>
      </c>
      <c r="BD18">
        <v>0</v>
      </c>
      <c r="BE18">
        <v>0</v>
      </c>
      <c r="BG18">
        <v>0</v>
      </c>
      <c r="BH18">
        <v>0</v>
      </c>
      <c r="CA18" t="s">
        <v>354</v>
      </c>
      <c r="CI18" s="5">
        <v>46186</v>
      </c>
      <c r="CJ18">
        <v>12</v>
      </c>
      <c r="CK18">
        <v>0</v>
      </c>
      <c r="CL18">
        <v>0</v>
      </c>
      <c r="CM18">
        <v>0</v>
      </c>
      <c r="CN18">
        <v>0</v>
      </c>
      <c r="CP18" t="s">
        <v>347</v>
      </c>
      <c r="CQ18" t="s">
        <v>348</v>
      </c>
    </row>
    <row r="19" spans="1:95">
      <c r="A19" s="5">
        <v>46189</v>
      </c>
      <c r="B19" t="s">
        <v>1498</v>
      </c>
      <c r="C19" t="s">
        <v>1499</v>
      </c>
      <c r="D19" t="s">
        <v>1497</v>
      </c>
      <c r="E19" t="s">
        <v>1745</v>
      </c>
      <c r="F19" t="s">
        <v>337</v>
      </c>
      <c r="G19">
        <v>49</v>
      </c>
      <c r="H19">
        <v>0</v>
      </c>
      <c r="I19">
        <v>7</v>
      </c>
      <c r="J19">
        <v>44</v>
      </c>
      <c r="K19">
        <v>0</v>
      </c>
      <c r="L19">
        <v>0</v>
      </c>
      <c r="M19">
        <v>0</v>
      </c>
      <c r="N19">
        <v>0</v>
      </c>
      <c r="O19" t="s">
        <v>338</v>
      </c>
      <c r="P19">
        <v>1</v>
      </c>
      <c r="Q19">
        <v>12</v>
      </c>
      <c r="R19">
        <v>26</v>
      </c>
      <c r="S19">
        <v>40</v>
      </c>
      <c r="U19">
        <v>39.89</v>
      </c>
      <c r="V19">
        <v>0</v>
      </c>
      <c r="W19">
        <v>39.89</v>
      </c>
      <c r="X19">
        <v>0</v>
      </c>
      <c r="Y19" t="s">
        <v>359</v>
      </c>
      <c r="AA19">
        <v>0</v>
      </c>
      <c r="AB19">
        <v>0</v>
      </c>
      <c r="AC19">
        <v>0</v>
      </c>
      <c r="AD19">
        <v>0.22</v>
      </c>
      <c r="AE19">
        <v>0.59</v>
      </c>
      <c r="AF19">
        <v>0.390973</v>
      </c>
      <c r="AG19" t="s">
        <v>340</v>
      </c>
      <c r="AH19" t="s">
        <v>341</v>
      </c>
      <c r="AI19">
        <v>19.157677</v>
      </c>
      <c r="AJ19" t="s">
        <v>342</v>
      </c>
      <c r="AK19" t="s">
        <v>353</v>
      </c>
      <c r="AL19">
        <v>760704</v>
      </c>
      <c r="AM19">
        <v>88</v>
      </c>
      <c r="AN19">
        <v>0</v>
      </c>
      <c r="AO19">
        <v>21</v>
      </c>
      <c r="AP19">
        <v>21</v>
      </c>
      <c r="AQ19">
        <v>32.99</v>
      </c>
      <c r="AR19">
        <v>34.99</v>
      </c>
      <c r="AS19">
        <v>419.88</v>
      </c>
      <c r="AT19">
        <v>909.74</v>
      </c>
      <c r="AU19">
        <v>1305.5</v>
      </c>
      <c r="AV19">
        <v>2</v>
      </c>
      <c r="AW19">
        <v>3</v>
      </c>
      <c r="AX19">
        <v>2</v>
      </c>
      <c r="AY19">
        <v>0</v>
      </c>
      <c r="AZ19">
        <v>0</v>
      </c>
      <c r="BA19">
        <v>18.27</v>
      </c>
      <c r="BB19">
        <v>16</v>
      </c>
      <c r="BC19">
        <v>16</v>
      </c>
      <c r="BD19">
        <v>0</v>
      </c>
      <c r="BE19">
        <v>0</v>
      </c>
      <c r="BG19">
        <v>1</v>
      </c>
      <c r="BH19">
        <v>0</v>
      </c>
      <c r="BY19">
        <v>153.5</v>
      </c>
      <c r="BZ19">
        <v>71</v>
      </c>
      <c r="CA19" t="s">
        <v>344</v>
      </c>
      <c r="CB19">
        <v>126</v>
      </c>
      <c r="CC19" s="5">
        <v>46187</v>
      </c>
      <c r="CD19" s="5">
        <v>46188</v>
      </c>
      <c r="CE19" t="s">
        <v>345</v>
      </c>
      <c r="CF19" t="s">
        <v>346</v>
      </c>
      <c r="CG19">
        <v>153.5</v>
      </c>
      <c r="CH19">
        <v>147.2</v>
      </c>
      <c r="CI19" s="5">
        <v>46186</v>
      </c>
      <c r="CJ19">
        <v>66</v>
      </c>
      <c r="CK19">
        <v>1</v>
      </c>
      <c r="CL19">
        <v>0</v>
      </c>
      <c r="CM19">
        <v>1</v>
      </c>
      <c r="CN19">
        <v>0</v>
      </c>
      <c r="CO19">
        <v>127</v>
      </c>
      <c r="CP19" t="s">
        <v>347</v>
      </c>
      <c r="CQ19" t="s">
        <v>348</v>
      </c>
    </row>
    <row r="20" spans="1:95">
      <c r="A20" s="5">
        <v>46189</v>
      </c>
      <c r="B20" t="s">
        <v>1746</v>
      </c>
      <c r="C20" t="s">
        <v>1747</v>
      </c>
      <c r="D20" t="s">
        <v>1748</v>
      </c>
      <c r="E20" t="s">
        <v>1749</v>
      </c>
      <c r="G20">
        <v>0</v>
      </c>
      <c r="H20">
        <v>-1</v>
      </c>
      <c r="O20" t="s">
        <v>338</v>
      </c>
      <c r="U20">
        <v>0</v>
      </c>
      <c r="V20">
        <v>0</v>
      </c>
      <c r="W20">
        <v>0</v>
      </c>
      <c r="X20">
        <v>0</v>
      </c>
      <c r="Y20" t="s">
        <v>359</v>
      </c>
      <c r="AB20">
        <v>0</v>
      </c>
      <c r="AC20">
        <v>0</v>
      </c>
      <c r="AE20">
        <v>-1</v>
      </c>
      <c r="AH20" t="s">
        <v>341</v>
      </c>
      <c r="AJ20" t="s">
        <v>342</v>
      </c>
      <c r="AK20" t="s">
        <v>353</v>
      </c>
      <c r="AN20">
        <v>0</v>
      </c>
      <c r="AY20">
        <v>0</v>
      </c>
      <c r="BB20">
        <v>0</v>
      </c>
      <c r="BG20">
        <v>0</v>
      </c>
      <c r="BH20">
        <v>0</v>
      </c>
      <c r="CJ20">
        <v>0</v>
      </c>
      <c r="CK20">
        <v>0</v>
      </c>
      <c r="CL20">
        <v>0</v>
      </c>
      <c r="CM20">
        <v>0</v>
      </c>
      <c r="CN20">
        <v>0</v>
      </c>
      <c r="CP20" t="s">
        <v>347</v>
      </c>
      <c r="CQ20" t="s">
        <v>348</v>
      </c>
    </row>
    <row r="21" spans="1:95">
      <c r="A21" s="5">
        <v>46189</v>
      </c>
      <c r="B21" t="s">
        <v>1750</v>
      </c>
      <c r="C21" t="s">
        <v>1751</v>
      </c>
      <c r="D21" t="s">
        <v>1752</v>
      </c>
      <c r="E21" t="s">
        <v>1753</v>
      </c>
      <c r="G21">
        <v>0</v>
      </c>
      <c r="H21">
        <v>-1</v>
      </c>
      <c r="O21" t="s">
        <v>338</v>
      </c>
      <c r="P21">
        <v>0</v>
      </c>
      <c r="Q21">
        <v>5</v>
      </c>
      <c r="R21">
        <v>5</v>
      </c>
      <c r="S21">
        <v>7</v>
      </c>
      <c r="U21">
        <v>0</v>
      </c>
      <c r="V21">
        <v>0</v>
      </c>
      <c r="W21">
        <v>0</v>
      </c>
      <c r="X21">
        <v>0</v>
      </c>
      <c r="Y21" t="s">
        <v>464</v>
      </c>
      <c r="AB21">
        <v>0</v>
      </c>
      <c r="AC21">
        <v>0</v>
      </c>
      <c r="AE21">
        <v>-1</v>
      </c>
      <c r="AH21" t="s">
        <v>424</v>
      </c>
      <c r="AJ21" t="s">
        <v>342</v>
      </c>
      <c r="AK21" t="s">
        <v>353</v>
      </c>
      <c r="AM21">
        <v>0</v>
      </c>
      <c r="AN21">
        <v>0</v>
      </c>
      <c r="AO21">
        <v>0</v>
      </c>
      <c r="AP21">
        <v>0</v>
      </c>
      <c r="AQ21">
        <v>119.99</v>
      </c>
      <c r="AR21">
        <v>0</v>
      </c>
      <c r="AS21">
        <v>339.45</v>
      </c>
      <c r="AT21">
        <v>339.45</v>
      </c>
      <c r="AU21">
        <v>479.43</v>
      </c>
      <c r="AY21">
        <v>0</v>
      </c>
      <c r="BB21">
        <v>0</v>
      </c>
      <c r="BC21">
        <v>0</v>
      </c>
      <c r="BD21">
        <v>0</v>
      </c>
      <c r="BE21">
        <v>0</v>
      </c>
      <c r="BG21">
        <v>0</v>
      </c>
      <c r="BH21">
        <v>0</v>
      </c>
      <c r="BY21">
        <v>9.4</v>
      </c>
      <c r="BZ21">
        <v>7</v>
      </c>
      <c r="CA21" t="s">
        <v>429</v>
      </c>
      <c r="CB21">
        <v>14</v>
      </c>
      <c r="CC21" s="5">
        <v>46188</v>
      </c>
      <c r="CD21" s="5">
        <v>46188</v>
      </c>
      <c r="CE21" t="s">
        <v>345</v>
      </c>
      <c r="CF21" t="s">
        <v>346</v>
      </c>
      <c r="CG21">
        <v>1</v>
      </c>
      <c r="CH21">
        <v>9.4</v>
      </c>
      <c r="CJ21">
        <v>0</v>
      </c>
      <c r="CK21">
        <v>0</v>
      </c>
      <c r="CL21">
        <v>0</v>
      </c>
      <c r="CM21">
        <v>0</v>
      </c>
      <c r="CN21">
        <v>0</v>
      </c>
      <c r="CO21">
        <v>0</v>
      </c>
      <c r="CP21" t="s">
        <v>347</v>
      </c>
      <c r="CQ21" t="s">
        <v>348</v>
      </c>
    </row>
    <row r="22" spans="1:95">
      <c r="A22" s="5">
        <v>46189</v>
      </c>
      <c r="B22" t="s">
        <v>1754</v>
      </c>
      <c r="C22" t="s">
        <v>1755</v>
      </c>
      <c r="D22" t="s">
        <v>1756</v>
      </c>
      <c r="E22" t="s">
        <v>1757</v>
      </c>
      <c r="G22">
        <v>0</v>
      </c>
      <c r="H22">
        <v>-1</v>
      </c>
      <c r="O22" t="s">
        <v>338</v>
      </c>
      <c r="U22">
        <v>0</v>
      </c>
      <c r="V22">
        <v>0</v>
      </c>
      <c r="W22">
        <v>0</v>
      </c>
      <c r="X22">
        <v>0</v>
      </c>
      <c r="Y22" t="s">
        <v>359</v>
      </c>
      <c r="AB22">
        <v>0</v>
      </c>
      <c r="AC22">
        <v>0</v>
      </c>
      <c r="AE22">
        <v>-1</v>
      </c>
      <c r="AH22" t="s">
        <v>424</v>
      </c>
      <c r="AJ22" t="s">
        <v>342</v>
      </c>
      <c r="AK22" t="s">
        <v>353</v>
      </c>
      <c r="AM22">
        <v>0</v>
      </c>
      <c r="AN22">
        <v>0</v>
      </c>
      <c r="AQ22">
        <v>108.99</v>
      </c>
      <c r="AY22">
        <v>0</v>
      </c>
      <c r="BB22">
        <v>0</v>
      </c>
      <c r="BG22">
        <v>0</v>
      </c>
      <c r="BH22">
        <v>0</v>
      </c>
      <c r="CJ22">
        <v>0</v>
      </c>
      <c r="CK22">
        <v>0</v>
      </c>
      <c r="CL22">
        <v>0</v>
      </c>
      <c r="CM22">
        <v>0</v>
      </c>
      <c r="CN22">
        <v>0</v>
      </c>
      <c r="CO22">
        <v>0</v>
      </c>
      <c r="CP22" t="s">
        <v>347</v>
      </c>
      <c r="CQ22" t="s">
        <v>348</v>
      </c>
    </row>
    <row r="23" spans="1:95">
      <c r="A23" s="5">
        <v>46189</v>
      </c>
      <c r="B23" t="s">
        <v>1758</v>
      </c>
      <c r="C23" t="s">
        <v>649</v>
      </c>
      <c r="D23" t="s">
        <v>1759</v>
      </c>
      <c r="E23" t="s">
        <v>651</v>
      </c>
      <c r="G23">
        <v>0</v>
      </c>
      <c r="H23">
        <v>-1</v>
      </c>
      <c r="O23" t="s">
        <v>338</v>
      </c>
      <c r="P23">
        <v>0</v>
      </c>
      <c r="Q23">
        <v>0</v>
      </c>
      <c r="R23">
        <v>0</v>
      </c>
      <c r="S23">
        <v>0</v>
      </c>
      <c r="U23">
        <v>0</v>
      </c>
      <c r="V23">
        <v>0</v>
      </c>
      <c r="W23">
        <v>0</v>
      </c>
      <c r="X23">
        <v>0</v>
      </c>
      <c r="Y23" t="s">
        <v>359</v>
      </c>
      <c r="AB23">
        <v>0</v>
      </c>
      <c r="AC23">
        <v>0</v>
      </c>
      <c r="AE23">
        <v>-1</v>
      </c>
      <c r="AH23" t="s">
        <v>424</v>
      </c>
      <c r="AJ23" t="s">
        <v>342</v>
      </c>
      <c r="AK23" t="s">
        <v>652</v>
      </c>
      <c r="AL23">
        <v>26497</v>
      </c>
      <c r="AN23">
        <v>0</v>
      </c>
      <c r="AQ23">
        <v>51.99</v>
      </c>
      <c r="AR23">
        <v>0</v>
      </c>
      <c r="AS23">
        <v>0</v>
      </c>
      <c r="AT23">
        <v>0</v>
      </c>
      <c r="AU23">
        <v>0</v>
      </c>
      <c r="AY23">
        <v>0</v>
      </c>
      <c r="BB23">
        <v>0</v>
      </c>
      <c r="BC23">
        <v>0</v>
      </c>
      <c r="BD23">
        <v>0</v>
      </c>
      <c r="BE23">
        <v>0</v>
      </c>
      <c r="BG23">
        <v>0</v>
      </c>
      <c r="BH23">
        <v>0</v>
      </c>
      <c r="CJ23">
        <v>0</v>
      </c>
      <c r="CK23">
        <v>0</v>
      </c>
      <c r="CL23">
        <v>0</v>
      </c>
      <c r="CM23">
        <v>0</v>
      </c>
      <c r="CN23">
        <v>0</v>
      </c>
      <c r="CP23" t="s">
        <v>347</v>
      </c>
      <c r="CQ23" t="s">
        <v>348</v>
      </c>
    </row>
    <row r="24" spans="1:95">
      <c r="A24" s="5">
        <v>46189</v>
      </c>
      <c r="B24" t="s">
        <v>1760</v>
      </c>
      <c r="C24" t="s">
        <v>1761</v>
      </c>
      <c r="D24" t="s">
        <v>1762</v>
      </c>
      <c r="E24" t="s">
        <v>1763</v>
      </c>
      <c r="G24">
        <v>0</v>
      </c>
      <c r="H24">
        <v>-1</v>
      </c>
      <c r="O24" t="s">
        <v>338</v>
      </c>
      <c r="P24">
        <v>1</v>
      </c>
      <c r="Q24">
        <v>12</v>
      </c>
      <c r="R24">
        <v>12</v>
      </c>
      <c r="S24">
        <v>19</v>
      </c>
      <c r="U24">
        <v>0</v>
      </c>
      <c r="V24">
        <v>0</v>
      </c>
      <c r="W24">
        <v>0</v>
      </c>
      <c r="X24">
        <v>0</v>
      </c>
      <c r="Y24" t="s">
        <v>464</v>
      </c>
      <c r="AB24">
        <v>0</v>
      </c>
      <c r="AC24">
        <v>0</v>
      </c>
      <c r="AE24">
        <v>-1</v>
      </c>
      <c r="AH24" t="s">
        <v>341</v>
      </c>
      <c r="AJ24" t="s">
        <v>342</v>
      </c>
      <c r="AK24" t="s">
        <v>353</v>
      </c>
      <c r="AL24">
        <v>117152</v>
      </c>
      <c r="AM24">
        <v>0</v>
      </c>
      <c r="AN24">
        <v>0</v>
      </c>
      <c r="AO24">
        <v>0</v>
      </c>
      <c r="AP24">
        <v>0</v>
      </c>
      <c r="AQ24">
        <v>29.99</v>
      </c>
      <c r="AR24">
        <v>29.99</v>
      </c>
      <c r="AS24">
        <v>359.88</v>
      </c>
      <c r="AT24">
        <v>359.88</v>
      </c>
      <c r="AU24">
        <v>569.81</v>
      </c>
      <c r="AY24">
        <v>0</v>
      </c>
      <c r="BB24">
        <v>0</v>
      </c>
      <c r="BC24">
        <v>0</v>
      </c>
      <c r="BD24">
        <v>0</v>
      </c>
      <c r="BE24">
        <v>0</v>
      </c>
      <c r="BG24">
        <v>0</v>
      </c>
      <c r="BH24">
        <v>0</v>
      </c>
      <c r="BY24">
        <v>13.9</v>
      </c>
      <c r="BZ24">
        <v>17</v>
      </c>
      <c r="CA24" t="s">
        <v>429</v>
      </c>
      <c r="CD24" s="5">
        <v>46188</v>
      </c>
      <c r="CE24" t="s">
        <v>345</v>
      </c>
      <c r="CF24" t="s">
        <v>346</v>
      </c>
      <c r="CG24">
        <v>12.7</v>
      </c>
      <c r="CH24">
        <v>13.9</v>
      </c>
      <c r="CJ24">
        <v>0</v>
      </c>
      <c r="CK24">
        <v>0</v>
      </c>
      <c r="CL24">
        <v>0</v>
      </c>
      <c r="CM24">
        <v>0</v>
      </c>
      <c r="CN24">
        <v>0</v>
      </c>
      <c r="CO24">
        <v>0</v>
      </c>
      <c r="CP24" t="s">
        <v>347</v>
      </c>
      <c r="CQ24" t="s">
        <v>348</v>
      </c>
    </row>
    <row r="25" spans="1:95">
      <c r="A25" s="5">
        <v>46189</v>
      </c>
      <c r="B25" t="s">
        <v>1764</v>
      </c>
      <c r="C25" t="s">
        <v>1536</v>
      </c>
      <c r="D25" t="s">
        <v>1765</v>
      </c>
      <c r="E25" t="s">
        <v>1766</v>
      </c>
      <c r="G25">
        <v>0</v>
      </c>
      <c r="H25">
        <v>-1</v>
      </c>
      <c r="O25" t="s">
        <v>338</v>
      </c>
      <c r="U25">
        <v>0</v>
      </c>
      <c r="V25">
        <v>0</v>
      </c>
      <c r="W25">
        <v>0</v>
      </c>
      <c r="X25">
        <v>0</v>
      </c>
      <c r="Y25" t="s">
        <v>359</v>
      </c>
      <c r="AB25">
        <v>0</v>
      </c>
      <c r="AC25">
        <v>0</v>
      </c>
      <c r="AE25">
        <v>-1</v>
      </c>
      <c r="AH25" t="s">
        <v>341</v>
      </c>
      <c r="AJ25" t="s">
        <v>342</v>
      </c>
      <c r="AK25" t="s">
        <v>353</v>
      </c>
      <c r="AL25">
        <v>420629</v>
      </c>
      <c r="AM25">
        <v>0</v>
      </c>
      <c r="AN25">
        <v>0</v>
      </c>
      <c r="AQ25">
        <v>31.99</v>
      </c>
      <c r="AY25">
        <v>0</v>
      </c>
      <c r="BB25">
        <v>0</v>
      </c>
      <c r="BG25">
        <v>0</v>
      </c>
      <c r="BH25">
        <v>0</v>
      </c>
      <c r="CB25">
        <v>5</v>
      </c>
      <c r="CC25" s="5">
        <v>46186</v>
      </c>
      <c r="CJ25">
        <v>0</v>
      </c>
      <c r="CK25">
        <v>0</v>
      </c>
      <c r="CL25">
        <v>0</v>
      </c>
      <c r="CM25">
        <v>0</v>
      </c>
      <c r="CN25">
        <v>0</v>
      </c>
      <c r="CO25">
        <v>0</v>
      </c>
      <c r="CP25" t="s">
        <v>347</v>
      </c>
      <c r="CQ25" t="s">
        <v>348</v>
      </c>
    </row>
    <row r="26" spans="1:95">
      <c r="A26" s="5">
        <v>46189</v>
      </c>
      <c r="B26" t="s">
        <v>1767</v>
      </c>
      <c r="C26" t="s">
        <v>1332</v>
      </c>
      <c r="D26" t="s">
        <v>1768</v>
      </c>
      <c r="E26" t="s">
        <v>1334</v>
      </c>
      <c r="G26">
        <v>0</v>
      </c>
      <c r="H26">
        <v>-1</v>
      </c>
      <c r="O26" t="s">
        <v>338</v>
      </c>
      <c r="U26">
        <v>0</v>
      </c>
      <c r="V26">
        <v>0</v>
      </c>
      <c r="W26">
        <v>0</v>
      </c>
      <c r="X26">
        <v>0</v>
      </c>
      <c r="Y26" t="s">
        <v>359</v>
      </c>
      <c r="AB26">
        <v>0</v>
      </c>
      <c r="AC26">
        <v>0</v>
      </c>
      <c r="AE26">
        <v>-1</v>
      </c>
      <c r="AH26" t="s">
        <v>424</v>
      </c>
      <c r="AJ26" t="s">
        <v>342</v>
      </c>
      <c r="AK26" t="s">
        <v>353</v>
      </c>
      <c r="AM26">
        <v>0</v>
      </c>
      <c r="AN26">
        <v>0</v>
      </c>
      <c r="AQ26">
        <v>67.99</v>
      </c>
      <c r="AY26">
        <v>0</v>
      </c>
      <c r="BB26">
        <v>0</v>
      </c>
      <c r="BC26">
        <v>0</v>
      </c>
      <c r="BD26">
        <v>0</v>
      </c>
      <c r="BE26">
        <v>0</v>
      </c>
      <c r="BG26">
        <v>0</v>
      </c>
      <c r="BH26">
        <v>0</v>
      </c>
      <c r="CJ26">
        <v>0</v>
      </c>
      <c r="CK26">
        <v>0</v>
      </c>
      <c r="CL26">
        <v>0</v>
      </c>
      <c r="CM26">
        <v>0</v>
      </c>
      <c r="CN26">
        <v>0</v>
      </c>
      <c r="CO26">
        <v>0</v>
      </c>
      <c r="CP26" t="s">
        <v>347</v>
      </c>
      <c r="CQ26" t="s">
        <v>348</v>
      </c>
    </row>
    <row r="27" spans="1:95">
      <c r="A27" s="5">
        <v>46189</v>
      </c>
      <c r="B27" t="s">
        <v>1769</v>
      </c>
      <c r="C27" t="s">
        <v>1770</v>
      </c>
      <c r="D27" t="s">
        <v>1771</v>
      </c>
      <c r="E27" t="s">
        <v>1772</v>
      </c>
      <c r="G27">
        <v>0</v>
      </c>
      <c r="H27">
        <v>-1</v>
      </c>
      <c r="O27" t="s">
        <v>338</v>
      </c>
      <c r="P27">
        <v>0</v>
      </c>
      <c r="Q27">
        <v>0</v>
      </c>
      <c r="R27">
        <v>0</v>
      </c>
      <c r="S27">
        <v>1</v>
      </c>
      <c r="U27">
        <v>0</v>
      </c>
      <c r="V27">
        <v>0</v>
      </c>
      <c r="W27">
        <v>0</v>
      </c>
      <c r="X27">
        <v>0</v>
      </c>
      <c r="Y27" t="s">
        <v>464</v>
      </c>
      <c r="AB27">
        <v>0</v>
      </c>
      <c r="AC27">
        <v>0</v>
      </c>
      <c r="AE27">
        <v>-1</v>
      </c>
      <c r="AH27" t="s">
        <v>341</v>
      </c>
      <c r="AJ27" t="s">
        <v>342</v>
      </c>
      <c r="AK27" t="s">
        <v>353</v>
      </c>
      <c r="AM27">
        <v>0</v>
      </c>
      <c r="AN27">
        <v>0</v>
      </c>
      <c r="AP27">
        <v>0</v>
      </c>
      <c r="AQ27">
        <v>28.99</v>
      </c>
      <c r="AR27">
        <v>0</v>
      </c>
      <c r="AS27">
        <v>0</v>
      </c>
      <c r="AT27">
        <v>0</v>
      </c>
      <c r="AU27">
        <v>28.99</v>
      </c>
      <c r="AY27">
        <v>0</v>
      </c>
      <c r="BB27">
        <v>0</v>
      </c>
      <c r="BC27">
        <v>0</v>
      </c>
      <c r="BD27">
        <v>0</v>
      </c>
      <c r="BE27">
        <v>0</v>
      </c>
      <c r="BG27">
        <v>0</v>
      </c>
      <c r="BH27">
        <v>0</v>
      </c>
      <c r="BZ27">
        <v>1</v>
      </c>
      <c r="CA27" t="s">
        <v>429</v>
      </c>
      <c r="CH27">
        <v>30</v>
      </c>
      <c r="CJ27">
        <v>0</v>
      </c>
      <c r="CK27">
        <v>0</v>
      </c>
      <c r="CL27">
        <v>0</v>
      </c>
      <c r="CM27">
        <v>0</v>
      </c>
      <c r="CN27">
        <v>0</v>
      </c>
      <c r="CO27">
        <v>0</v>
      </c>
      <c r="CP27" t="s">
        <v>347</v>
      </c>
      <c r="CQ27" t="s">
        <v>348</v>
      </c>
    </row>
    <row r="28" spans="1:95">
      <c r="A28" s="5">
        <v>46189</v>
      </c>
      <c r="B28" t="s">
        <v>1501</v>
      </c>
      <c r="C28" t="s">
        <v>1502</v>
      </c>
      <c r="D28" t="s">
        <v>1500</v>
      </c>
      <c r="E28" t="s">
        <v>1773</v>
      </c>
      <c r="F28" t="s">
        <v>337</v>
      </c>
      <c r="G28">
        <v>52</v>
      </c>
      <c r="H28">
        <v>0</v>
      </c>
      <c r="I28">
        <v>50</v>
      </c>
      <c r="J28">
        <v>9</v>
      </c>
      <c r="K28">
        <v>0</v>
      </c>
      <c r="L28">
        <v>0</v>
      </c>
      <c r="M28">
        <v>0</v>
      </c>
      <c r="N28">
        <v>0</v>
      </c>
      <c r="O28" t="s">
        <v>338</v>
      </c>
      <c r="P28">
        <v>0</v>
      </c>
      <c r="Q28">
        <v>3</v>
      </c>
      <c r="R28">
        <v>40</v>
      </c>
      <c r="S28">
        <v>47</v>
      </c>
      <c r="T28" t="s">
        <v>351</v>
      </c>
      <c r="U28">
        <v>25.99</v>
      </c>
      <c r="V28">
        <v>19.99</v>
      </c>
      <c r="W28">
        <v>19.99</v>
      </c>
      <c r="X28">
        <v>0</v>
      </c>
      <c r="Y28" t="s">
        <v>359</v>
      </c>
      <c r="AA28">
        <v>0</v>
      </c>
      <c r="AB28">
        <v>0</v>
      </c>
      <c r="AC28">
        <v>0</v>
      </c>
      <c r="AD28">
        <v>0</v>
      </c>
      <c r="AE28">
        <v>1.04</v>
      </c>
      <c r="AF28">
        <v>0.151977</v>
      </c>
      <c r="AG28" t="s">
        <v>340</v>
      </c>
      <c r="AH28" t="s">
        <v>341</v>
      </c>
      <c r="AI28">
        <v>7.902804</v>
      </c>
      <c r="AJ28" t="s">
        <v>342</v>
      </c>
      <c r="AK28" t="s">
        <v>353</v>
      </c>
      <c r="AL28">
        <v>413849</v>
      </c>
      <c r="AM28">
        <v>142</v>
      </c>
      <c r="AN28">
        <v>0</v>
      </c>
      <c r="AO28">
        <v>122</v>
      </c>
      <c r="AP28">
        <v>25</v>
      </c>
      <c r="AQ28">
        <v>19.99</v>
      </c>
      <c r="AR28">
        <v>0</v>
      </c>
      <c r="AS28">
        <v>59.97</v>
      </c>
      <c r="AT28">
        <v>770.6</v>
      </c>
      <c r="AU28">
        <v>908.53</v>
      </c>
      <c r="AV28">
        <v>50</v>
      </c>
      <c r="AW28">
        <v>0</v>
      </c>
      <c r="AX28">
        <v>0</v>
      </c>
      <c r="AY28">
        <v>0</v>
      </c>
      <c r="AZ28">
        <v>0</v>
      </c>
      <c r="BA28">
        <v>8.24</v>
      </c>
      <c r="BB28">
        <v>40</v>
      </c>
      <c r="BC28">
        <v>30</v>
      </c>
      <c r="BD28">
        <v>10</v>
      </c>
      <c r="BE28">
        <v>0</v>
      </c>
      <c r="BG28">
        <v>0</v>
      </c>
      <c r="BH28">
        <v>0</v>
      </c>
      <c r="BY28">
        <v>195.2</v>
      </c>
      <c r="BZ28">
        <v>29</v>
      </c>
      <c r="CA28" t="s">
        <v>360</v>
      </c>
      <c r="CD28" s="5">
        <v>46188</v>
      </c>
      <c r="CE28" t="s">
        <v>345</v>
      </c>
      <c r="CF28" t="s">
        <v>346</v>
      </c>
      <c r="CG28">
        <v>195.2</v>
      </c>
      <c r="CH28">
        <v>73</v>
      </c>
      <c r="CI28" s="5">
        <v>46186</v>
      </c>
      <c r="CJ28">
        <v>102</v>
      </c>
      <c r="CK28">
        <v>10</v>
      </c>
      <c r="CL28">
        <v>0</v>
      </c>
      <c r="CM28">
        <v>0</v>
      </c>
      <c r="CN28">
        <v>0</v>
      </c>
      <c r="CO28">
        <v>180</v>
      </c>
      <c r="CP28" t="s">
        <v>347</v>
      </c>
      <c r="CQ28" t="s">
        <v>348</v>
      </c>
    </row>
    <row r="29" spans="1:95">
      <c r="A29" s="5">
        <v>46189</v>
      </c>
      <c r="B29" t="s">
        <v>1774</v>
      </c>
      <c r="C29" t="s">
        <v>782</v>
      </c>
      <c r="D29" t="s">
        <v>1775</v>
      </c>
      <c r="E29" t="s">
        <v>784</v>
      </c>
      <c r="G29">
        <v>0</v>
      </c>
      <c r="H29">
        <v>-1</v>
      </c>
      <c r="O29" t="s">
        <v>338</v>
      </c>
      <c r="U29">
        <v>0</v>
      </c>
      <c r="V29">
        <v>0</v>
      </c>
      <c r="W29">
        <v>0</v>
      </c>
      <c r="X29">
        <v>0</v>
      </c>
      <c r="Y29" t="s">
        <v>359</v>
      </c>
      <c r="AB29">
        <v>0</v>
      </c>
      <c r="AC29">
        <v>0</v>
      </c>
      <c r="AE29">
        <v>-1</v>
      </c>
      <c r="AJ29" t="s">
        <v>342</v>
      </c>
      <c r="AK29" t="s">
        <v>353</v>
      </c>
      <c r="AL29">
        <v>9437</v>
      </c>
      <c r="AN29">
        <v>0</v>
      </c>
      <c r="AQ29">
        <v>39.99</v>
      </c>
      <c r="AY29">
        <v>0</v>
      </c>
      <c r="BB29">
        <v>0</v>
      </c>
      <c r="BG29">
        <v>0</v>
      </c>
      <c r="BH29">
        <v>0</v>
      </c>
      <c r="CJ29">
        <v>0</v>
      </c>
      <c r="CK29">
        <v>0</v>
      </c>
      <c r="CL29">
        <v>0</v>
      </c>
      <c r="CM29">
        <v>0</v>
      </c>
      <c r="CN29">
        <v>0</v>
      </c>
      <c r="CP29" t="s">
        <v>347</v>
      </c>
      <c r="CQ29" t="s">
        <v>348</v>
      </c>
    </row>
    <row r="30" spans="1:95">
      <c r="A30" s="5">
        <v>46189</v>
      </c>
      <c r="B30" t="s">
        <v>1776</v>
      </c>
      <c r="C30" t="s">
        <v>1777</v>
      </c>
      <c r="D30" t="s">
        <v>1778</v>
      </c>
      <c r="E30" t="s">
        <v>1779</v>
      </c>
      <c r="G30">
        <v>0</v>
      </c>
      <c r="H30">
        <v>-1</v>
      </c>
      <c r="O30" t="s">
        <v>338</v>
      </c>
      <c r="U30">
        <v>0</v>
      </c>
      <c r="V30">
        <v>0</v>
      </c>
      <c r="W30">
        <v>0</v>
      </c>
      <c r="X30">
        <v>0</v>
      </c>
      <c r="Y30" t="s">
        <v>359</v>
      </c>
      <c r="AB30">
        <v>0</v>
      </c>
      <c r="AC30">
        <v>0</v>
      </c>
      <c r="AE30">
        <v>-1</v>
      </c>
      <c r="AH30" t="s">
        <v>377</v>
      </c>
      <c r="AJ30" t="s">
        <v>342</v>
      </c>
      <c r="AK30" t="s">
        <v>353</v>
      </c>
      <c r="AN30">
        <v>0</v>
      </c>
      <c r="AY30">
        <v>0</v>
      </c>
      <c r="BB30">
        <v>0</v>
      </c>
      <c r="BG30">
        <v>0</v>
      </c>
      <c r="BH30">
        <v>0</v>
      </c>
      <c r="CJ30">
        <v>0</v>
      </c>
      <c r="CK30">
        <v>0</v>
      </c>
      <c r="CL30">
        <v>0</v>
      </c>
      <c r="CM30">
        <v>0</v>
      </c>
      <c r="CN30">
        <v>0</v>
      </c>
      <c r="CP30" t="s">
        <v>347</v>
      </c>
      <c r="CQ30" t="s">
        <v>348</v>
      </c>
    </row>
    <row r="31" spans="1:95">
      <c r="A31" s="5">
        <v>46189</v>
      </c>
      <c r="B31" t="s">
        <v>1780</v>
      </c>
      <c r="C31" t="s">
        <v>1781</v>
      </c>
      <c r="D31" t="s">
        <v>1782</v>
      </c>
      <c r="E31" t="s">
        <v>1783</v>
      </c>
      <c r="F31" t="s">
        <v>337</v>
      </c>
      <c r="G31">
        <v>0</v>
      </c>
      <c r="H31">
        <v>-1</v>
      </c>
      <c r="O31" t="s">
        <v>338</v>
      </c>
      <c r="U31">
        <v>75.99</v>
      </c>
      <c r="V31">
        <v>0</v>
      </c>
      <c r="W31">
        <v>0</v>
      </c>
      <c r="X31">
        <v>0</v>
      </c>
      <c r="Y31" t="s">
        <v>372</v>
      </c>
      <c r="AB31">
        <v>0</v>
      </c>
      <c r="AC31">
        <v>0</v>
      </c>
      <c r="AE31">
        <v>-1</v>
      </c>
      <c r="AH31" t="s">
        <v>341</v>
      </c>
      <c r="AJ31" t="s">
        <v>342</v>
      </c>
      <c r="AK31" t="s">
        <v>353</v>
      </c>
      <c r="AN31">
        <v>0</v>
      </c>
      <c r="AQ31">
        <v>75.99</v>
      </c>
      <c r="AY31">
        <v>0</v>
      </c>
      <c r="BB31">
        <v>20</v>
      </c>
      <c r="BC31">
        <v>0</v>
      </c>
      <c r="BD31">
        <v>0</v>
      </c>
      <c r="BE31">
        <v>20</v>
      </c>
      <c r="BG31">
        <v>0</v>
      </c>
      <c r="BH31">
        <v>0</v>
      </c>
      <c r="CJ31">
        <v>20</v>
      </c>
      <c r="CK31">
        <v>0</v>
      </c>
      <c r="CL31">
        <v>0</v>
      </c>
      <c r="CM31">
        <v>0</v>
      </c>
      <c r="CN31">
        <v>0</v>
      </c>
      <c r="CP31" t="s">
        <v>347</v>
      </c>
      <c r="CQ31" t="s">
        <v>348</v>
      </c>
    </row>
    <row r="32" spans="1:95">
      <c r="A32" s="5">
        <v>46189</v>
      </c>
      <c r="B32" t="s">
        <v>1505</v>
      </c>
      <c r="C32" t="s">
        <v>1506</v>
      </c>
      <c r="D32" t="s">
        <v>1504</v>
      </c>
      <c r="E32" t="s">
        <v>1784</v>
      </c>
      <c r="F32" t="s">
        <v>337</v>
      </c>
      <c r="G32">
        <v>32</v>
      </c>
      <c r="H32">
        <v>0</v>
      </c>
      <c r="I32">
        <v>1</v>
      </c>
      <c r="J32">
        <v>32</v>
      </c>
      <c r="K32">
        <v>0</v>
      </c>
      <c r="L32">
        <v>0</v>
      </c>
      <c r="M32">
        <v>0</v>
      </c>
      <c r="N32">
        <v>0</v>
      </c>
      <c r="O32" t="s">
        <v>338</v>
      </c>
      <c r="P32">
        <v>0</v>
      </c>
      <c r="Q32">
        <v>0</v>
      </c>
      <c r="R32">
        <v>1</v>
      </c>
      <c r="S32">
        <v>9</v>
      </c>
      <c r="T32" t="s">
        <v>351</v>
      </c>
      <c r="U32">
        <v>28.99</v>
      </c>
      <c r="V32">
        <v>23.99</v>
      </c>
      <c r="W32">
        <v>23.99</v>
      </c>
      <c r="X32">
        <v>0</v>
      </c>
      <c r="Y32" t="s">
        <v>359</v>
      </c>
      <c r="AA32">
        <v>0</v>
      </c>
      <c r="AB32">
        <v>0</v>
      </c>
      <c r="AC32">
        <v>0</v>
      </c>
      <c r="AD32">
        <v>0</v>
      </c>
      <c r="AE32">
        <v>0.25</v>
      </c>
      <c r="AF32">
        <v>0.07886</v>
      </c>
      <c r="AG32" t="s">
        <v>340</v>
      </c>
      <c r="AH32" t="s">
        <v>341</v>
      </c>
      <c r="AI32">
        <v>2.52352</v>
      </c>
      <c r="AJ32" t="s">
        <v>342</v>
      </c>
      <c r="AK32" t="s">
        <v>353</v>
      </c>
      <c r="AL32">
        <v>190233</v>
      </c>
      <c r="AM32">
        <v>177</v>
      </c>
      <c r="AN32">
        <v>0</v>
      </c>
      <c r="AP32">
        <v>46</v>
      </c>
      <c r="AQ32">
        <v>23.99</v>
      </c>
      <c r="AR32">
        <v>0</v>
      </c>
      <c r="AS32">
        <v>0</v>
      </c>
      <c r="AT32">
        <v>23.99</v>
      </c>
      <c r="AU32">
        <v>214.41</v>
      </c>
      <c r="AV32">
        <v>0</v>
      </c>
      <c r="AW32">
        <v>0</v>
      </c>
      <c r="AX32">
        <v>1</v>
      </c>
      <c r="AY32">
        <v>0</v>
      </c>
      <c r="AZ32">
        <v>0</v>
      </c>
      <c r="BA32">
        <v>1.73</v>
      </c>
      <c r="BB32">
        <v>0</v>
      </c>
      <c r="BC32">
        <v>0</v>
      </c>
      <c r="BD32">
        <v>0</v>
      </c>
      <c r="BE32">
        <v>0</v>
      </c>
      <c r="BG32">
        <v>1</v>
      </c>
      <c r="BH32">
        <v>0</v>
      </c>
      <c r="BZ32">
        <v>10</v>
      </c>
      <c r="CA32" t="s">
        <v>360</v>
      </c>
      <c r="CH32">
        <v>353.3</v>
      </c>
      <c r="CI32" s="5">
        <v>46186</v>
      </c>
      <c r="CJ32">
        <v>32</v>
      </c>
      <c r="CK32">
        <v>0</v>
      </c>
      <c r="CL32">
        <v>1</v>
      </c>
      <c r="CM32">
        <v>0</v>
      </c>
      <c r="CN32">
        <v>0</v>
      </c>
      <c r="CO32">
        <v>179</v>
      </c>
      <c r="CP32" t="s">
        <v>347</v>
      </c>
      <c r="CQ32" t="s">
        <v>348</v>
      </c>
    </row>
    <row r="33" spans="1:95">
      <c r="A33" s="5">
        <v>46189</v>
      </c>
      <c r="B33" t="s">
        <v>1785</v>
      </c>
      <c r="C33" t="s">
        <v>124</v>
      </c>
      <c r="D33" t="s">
        <v>1786</v>
      </c>
      <c r="E33" t="s">
        <v>690</v>
      </c>
      <c r="F33" t="s">
        <v>337</v>
      </c>
      <c r="G33">
        <v>9</v>
      </c>
      <c r="H33">
        <v>0</v>
      </c>
      <c r="I33">
        <v>9</v>
      </c>
      <c r="J33">
        <v>0</v>
      </c>
      <c r="K33">
        <v>0</v>
      </c>
      <c r="L33">
        <v>0</v>
      </c>
      <c r="M33">
        <v>0</v>
      </c>
      <c r="N33">
        <v>0</v>
      </c>
      <c r="O33" t="s">
        <v>338</v>
      </c>
      <c r="T33" t="s">
        <v>351</v>
      </c>
      <c r="U33">
        <v>85.99</v>
      </c>
      <c r="V33">
        <v>0</v>
      </c>
      <c r="W33">
        <v>81.69</v>
      </c>
      <c r="X33">
        <v>0</v>
      </c>
      <c r="Y33" t="s">
        <v>391</v>
      </c>
      <c r="AB33">
        <v>0</v>
      </c>
      <c r="AC33">
        <v>0</v>
      </c>
      <c r="AE33">
        <v>0</v>
      </c>
      <c r="AF33">
        <v>1.111111</v>
      </c>
      <c r="AG33" t="s">
        <v>340</v>
      </c>
      <c r="AH33" t="s">
        <v>424</v>
      </c>
      <c r="AI33">
        <v>9.999999</v>
      </c>
      <c r="AJ33" t="s">
        <v>342</v>
      </c>
      <c r="AK33" t="s">
        <v>353</v>
      </c>
      <c r="AL33">
        <v>804557</v>
      </c>
      <c r="AN33">
        <v>0</v>
      </c>
      <c r="AQ33">
        <v>81.69</v>
      </c>
      <c r="AV33">
        <v>9</v>
      </c>
      <c r="AW33">
        <v>0</v>
      </c>
      <c r="AX33">
        <v>0</v>
      </c>
      <c r="AY33">
        <v>0</v>
      </c>
      <c r="AZ33">
        <v>0</v>
      </c>
      <c r="BB33">
        <v>0</v>
      </c>
      <c r="BC33">
        <v>0</v>
      </c>
      <c r="BD33">
        <v>0</v>
      </c>
      <c r="BE33">
        <v>0</v>
      </c>
      <c r="BG33">
        <v>0</v>
      </c>
      <c r="BH33">
        <v>1</v>
      </c>
      <c r="CI33" s="5">
        <v>46186</v>
      </c>
      <c r="CJ33">
        <v>9</v>
      </c>
      <c r="CK33">
        <v>0</v>
      </c>
      <c r="CL33">
        <v>0</v>
      </c>
      <c r="CM33">
        <v>0</v>
      </c>
      <c r="CN33">
        <v>0</v>
      </c>
      <c r="CP33" t="s">
        <v>347</v>
      </c>
      <c r="CQ33" t="s">
        <v>348</v>
      </c>
    </row>
    <row r="34" spans="1:95">
      <c r="A34" s="5">
        <v>46189</v>
      </c>
      <c r="B34" t="s">
        <v>1787</v>
      </c>
      <c r="C34" t="s">
        <v>819</v>
      </c>
      <c r="D34" t="s">
        <v>1788</v>
      </c>
      <c r="E34" t="s">
        <v>821</v>
      </c>
      <c r="G34">
        <v>0</v>
      </c>
      <c r="H34">
        <v>-1</v>
      </c>
      <c r="O34" t="s">
        <v>338</v>
      </c>
      <c r="U34">
        <v>0</v>
      </c>
      <c r="V34">
        <v>0</v>
      </c>
      <c r="W34">
        <v>0</v>
      </c>
      <c r="X34">
        <v>0</v>
      </c>
      <c r="Y34" t="s">
        <v>359</v>
      </c>
      <c r="AB34">
        <v>0</v>
      </c>
      <c r="AC34">
        <v>0</v>
      </c>
      <c r="AE34">
        <v>-1</v>
      </c>
      <c r="AJ34" t="s">
        <v>342</v>
      </c>
      <c r="AK34" t="s">
        <v>404</v>
      </c>
      <c r="AL34">
        <v>2409</v>
      </c>
      <c r="AN34">
        <v>0</v>
      </c>
      <c r="AQ34">
        <v>13.99</v>
      </c>
      <c r="AY34">
        <v>0</v>
      </c>
      <c r="BB34">
        <v>0</v>
      </c>
      <c r="BG34">
        <v>0</v>
      </c>
      <c r="BH34">
        <v>0</v>
      </c>
      <c r="CJ34">
        <v>0</v>
      </c>
      <c r="CK34">
        <v>0</v>
      </c>
      <c r="CL34">
        <v>0</v>
      </c>
      <c r="CM34">
        <v>0</v>
      </c>
      <c r="CN34">
        <v>0</v>
      </c>
      <c r="CP34" t="s">
        <v>347</v>
      </c>
      <c r="CQ34" t="s">
        <v>348</v>
      </c>
    </row>
    <row r="35" spans="1:95">
      <c r="A35" s="5">
        <v>46189</v>
      </c>
      <c r="B35" t="s">
        <v>1511</v>
      </c>
      <c r="C35" t="s">
        <v>120</v>
      </c>
      <c r="D35" t="s">
        <v>1510</v>
      </c>
      <c r="E35" t="s">
        <v>1032</v>
      </c>
      <c r="F35" t="s">
        <v>337</v>
      </c>
      <c r="G35">
        <v>22</v>
      </c>
      <c r="H35">
        <v>0</v>
      </c>
      <c r="I35">
        <v>0</v>
      </c>
      <c r="J35">
        <v>22</v>
      </c>
      <c r="K35">
        <v>0</v>
      </c>
      <c r="L35">
        <v>0</v>
      </c>
      <c r="M35">
        <v>0</v>
      </c>
      <c r="N35">
        <v>0</v>
      </c>
      <c r="O35" t="s">
        <v>338</v>
      </c>
      <c r="P35">
        <v>1</v>
      </c>
      <c r="Q35">
        <v>6</v>
      </c>
      <c r="R35">
        <v>10</v>
      </c>
      <c r="S35">
        <v>14</v>
      </c>
      <c r="U35">
        <v>89.99</v>
      </c>
      <c r="V35">
        <v>0</v>
      </c>
      <c r="W35">
        <v>79.99</v>
      </c>
      <c r="X35">
        <v>0</v>
      </c>
      <c r="Y35" t="s">
        <v>359</v>
      </c>
      <c r="AA35">
        <v>75.99</v>
      </c>
      <c r="AB35">
        <v>2</v>
      </c>
      <c r="AC35">
        <v>0</v>
      </c>
      <c r="AD35">
        <v>36.54</v>
      </c>
      <c r="AE35">
        <v>0.46</v>
      </c>
      <c r="AF35">
        <v>1.111111</v>
      </c>
      <c r="AG35" t="s">
        <v>340</v>
      </c>
      <c r="AH35" t="s">
        <v>424</v>
      </c>
      <c r="AI35">
        <v>24.444442</v>
      </c>
      <c r="AJ35" t="s">
        <v>342</v>
      </c>
      <c r="AK35" t="s">
        <v>353</v>
      </c>
      <c r="AL35">
        <v>192027</v>
      </c>
      <c r="AM35">
        <v>78</v>
      </c>
      <c r="AN35">
        <v>0</v>
      </c>
      <c r="AO35">
        <v>20</v>
      </c>
      <c r="AP35">
        <v>27</v>
      </c>
      <c r="AQ35">
        <v>75.99</v>
      </c>
      <c r="AR35">
        <v>75.99</v>
      </c>
      <c r="AS35">
        <v>471.94</v>
      </c>
      <c r="AT35">
        <v>775.9</v>
      </c>
      <c r="AU35">
        <v>1095.86</v>
      </c>
      <c r="AV35">
        <v>0</v>
      </c>
      <c r="AW35">
        <v>0</v>
      </c>
      <c r="AX35">
        <v>0</v>
      </c>
      <c r="AY35">
        <v>0</v>
      </c>
      <c r="AZ35">
        <v>0</v>
      </c>
      <c r="BA35">
        <v>11.66</v>
      </c>
      <c r="BB35">
        <v>8</v>
      </c>
      <c r="BC35">
        <v>8</v>
      </c>
      <c r="BD35">
        <v>0</v>
      </c>
      <c r="BE35">
        <v>0</v>
      </c>
      <c r="BG35">
        <v>0</v>
      </c>
      <c r="BH35">
        <v>1</v>
      </c>
      <c r="BY35">
        <v>193.8</v>
      </c>
      <c r="CD35" s="5">
        <v>46188</v>
      </c>
      <c r="CE35" t="s">
        <v>345</v>
      </c>
      <c r="CF35" t="s">
        <v>346</v>
      </c>
      <c r="CG35">
        <v>92.5</v>
      </c>
      <c r="CH35">
        <v>193.8</v>
      </c>
      <c r="CI35" s="5">
        <v>46186</v>
      </c>
      <c r="CJ35">
        <v>30</v>
      </c>
      <c r="CK35">
        <v>0</v>
      </c>
      <c r="CL35">
        <v>0</v>
      </c>
      <c r="CM35">
        <v>0</v>
      </c>
      <c r="CN35">
        <v>0</v>
      </c>
      <c r="CO35">
        <v>107</v>
      </c>
      <c r="CP35" t="s">
        <v>347</v>
      </c>
      <c r="CQ35" t="s">
        <v>348</v>
      </c>
    </row>
    <row r="36" spans="1:95">
      <c r="A36" s="5">
        <v>46189</v>
      </c>
      <c r="B36" t="s">
        <v>1508</v>
      </c>
      <c r="C36" t="s">
        <v>1509</v>
      </c>
      <c r="D36" t="s">
        <v>1507</v>
      </c>
      <c r="E36" t="s">
        <v>1789</v>
      </c>
      <c r="F36" t="s">
        <v>337</v>
      </c>
      <c r="G36">
        <v>52</v>
      </c>
      <c r="H36">
        <v>0</v>
      </c>
      <c r="I36">
        <v>0</v>
      </c>
      <c r="J36">
        <v>53</v>
      </c>
      <c r="K36">
        <v>0</v>
      </c>
      <c r="L36">
        <v>0</v>
      </c>
      <c r="M36">
        <v>0</v>
      </c>
      <c r="N36">
        <v>0</v>
      </c>
      <c r="O36" t="s">
        <v>338</v>
      </c>
      <c r="P36">
        <v>3</v>
      </c>
      <c r="Q36">
        <v>8</v>
      </c>
      <c r="R36">
        <v>11</v>
      </c>
      <c r="S36">
        <v>21</v>
      </c>
      <c r="U36">
        <v>69.99</v>
      </c>
      <c r="V36">
        <v>0</v>
      </c>
      <c r="W36">
        <v>69.99</v>
      </c>
      <c r="X36">
        <v>0</v>
      </c>
      <c r="Y36" t="s">
        <v>359</v>
      </c>
      <c r="AA36">
        <v>0</v>
      </c>
      <c r="AB36">
        <v>0</v>
      </c>
      <c r="AC36">
        <v>0</v>
      </c>
      <c r="AD36">
        <v>13.04</v>
      </c>
      <c r="AE36">
        <v>0.28</v>
      </c>
      <c r="AF36">
        <v>0.46221</v>
      </c>
      <c r="AG36" t="s">
        <v>340</v>
      </c>
      <c r="AH36" t="s">
        <v>341</v>
      </c>
      <c r="AI36">
        <v>24.03492</v>
      </c>
      <c r="AJ36" t="s">
        <v>342</v>
      </c>
      <c r="AK36" t="s">
        <v>652</v>
      </c>
      <c r="AL36">
        <v>145796</v>
      </c>
      <c r="AM36">
        <v>132</v>
      </c>
      <c r="AN36">
        <v>0</v>
      </c>
      <c r="AO36">
        <v>26</v>
      </c>
      <c r="AP36">
        <v>32</v>
      </c>
      <c r="AQ36">
        <v>47.49</v>
      </c>
      <c r="AR36">
        <v>142.47</v>
      </c>
      <c r="AS36">
        <v>424.92</v>
      </c>
      <c r="AT36">
        <v>563.13</v>
      </c>
      <c r="AU36">
        <v>1028.68</v>
      </c>
      <c r="AV36">
        <v>0</v>
      </c>
      <c r="AW36">
        <v>0</v>
      </c>
      <c r="AX36">
        <v>0</v>
      </c>
      <c r="AY36">
        <v>0</v>
      </c>
      <c r="AZ36">
        <v>0</v>
      </c>
      <c r="BA36">
        <v>16.62</v>
      </c>
      <c r="BB36">
        <v>0</v>
      </c>
      <c r="BC36">
        <v>0</v>
      </c>
      <c r="BD36">
        <v>0</v>
      </c>
      <c r="BE36">
        <v>0</v>
      </c>
      <c r="BG36">
        <v>0</v>
      </c>
      <c r="BH36">
        <v>7</v>
      </c>
      <c r="BY36">
        <v>430.8</v>
      </c>
      <c r="BZ36">
        <v>27</v>
      </c>
      <c r="CA36" t="s">
        <v>360</v>
      </c>
      <c r="CD36" s="5">
        <v>46188</v>
      </c>
      <c r="CE36" t="s">
        <v>345</v>
      </c>
      <c r="CF36" t="s">
        <v>346</v>
      </c>
      <c r="CG36">
        <v>430.8</v>
      </c>
      <c r="CH36">
        <v>322.9</v>
      </c>
      <c r="CI36" s="5">
        <v>46186</v>
      </c>
      <c r="CJ36">
        <v>52</v>
      </c>
      <c r="CK36">
        <v>0</v>
      </c>
      <c r="CL36">
        <v>0</v>
      </c>
      <c r="CM36">
        <v>0</v>
      </c>
      <c r="CN36">
        <v>0</v>
      </c>
      <c r="CO36">
        <v>132</v>
      </c>
      <c r="CP36" t="s">
        <v>347</v>
      </c>
      <c r="CQ36" t="s">
        <v>348</v>
      </c>
    </row>
    <row r="37" spans="1:95">
      <c r="A37" s="5">
        <v>46189</v>
      </c>
      <c r="B37" t="s">
        <v>1512</v>
      </c>
      <c r="C37" t="s">
        <v>75</v>
      </c>
      <c r="D37" t="s">
        <v>85</v>
      </c>
      <c r="E37" t="s">
        <v>1790</v>
      </c>
      <c r="F37" t="s">
        <v>337</v>
      </c>
      <c r="G37">
        <v>12</v>
      </c>
      <c r="H37">
        <v>0</v>
      </c>
      <c r="I37">
        <v>8</v>
      </c>
      <c r="J37">
        <v>4</v>
      </c>
      <c r="K37">
        <v>0</v>
      </c>
      <c r="L37">
        <v>0</v>
      </c>
      <c r="M37">
        <v>0</v>
      </c>
      <c r="N37">
        <v>0</v>
      </c>
      <c r="O37" t="s">
        <v>338</v>
      </c>
      <c r="P37">
        <v>0</v>
      </c>
      <c r="Q37">
        <v>0</v>
      </c>
      <c r="R37">
        <v>0</v>
      </c>
      <c r="S37">
        <v>2</v>
      </c>
      <c r="T37" t="s">
        <v>351</v>
      </c>
      <c r="U37">
        <v>97.99</v>
      </c>
      <c r="V37">
        <v>79.99</v>
      </c>
      <c r="W37">
        <v>79.99</v>
      </c>
      <c r="X37">
        <v>0</v>
      </c>
      <c r="Y37" t="s">
        <v>613</v>
      </c>
      <c r="AA37">
        <v>0</v>
      </c>
      <c r="AB37">
        <v>0</v>
      </c>
      <c r="AC37">
        <v>0</v>
      </c>
      <c r="AD37">
        <v>3631.81</v>
      </c>
      <c r="AE37">
        <v>0.31</v>
      </c>
      <c r="AF37">
        <v>1.46036</v>
      </c>
      <c r="AG37" t="s">
        <v>340</v>
      </c>
      <c r="AH37" t="s">
        <v>424</v>
      </c>
      <c r="AI37">
        <v>17.52432</v>
      </c>
      <c r="AJ37" t="s">
        <v>342</v>
      </c>
      <c r="AK37" t="s">
        <v>353</v>
      </c>
      <c r="AL37">
        <v>989086</v>
      </c>
      <c r="AM37">
        <v>192</v>
      </c>
      <c r="AN37">
        <v>14</v>
      </c>
      <c r="AP37">
        <v>91</v>
      </c>
      <c r="AQ37">
        <v>79.99</v>
      </c>
      <c r="AR37">
        <v>0</v>
      </c>
      <c r="AS37">
        <v>0</v>
      </c>
      <c r="AT37">
        <v>0</v>
      </c>
      <c r="AU37">
        <v>159.98</v>
      </c>
      <c r="AV37">
        <v>8</v>
      </c>
      <c r="AW37">
        <v>0</v>
      </c>
      <c r="AX37">
        <v>0</v>
      </c>
      <c r="AY37">
        <v>0</v>
      </c>
      <c r="AZ37">
        <v>0</v>
      </c>
      <c r="BA37">
        <v>9.51</v>
      </c>
      <c r="BB37">
        <v>2</v>
      </c>
      <c r="BC37">
        <v>0</v>
      </c>
      <c r="BD37">
        <v>2</v>
      </c>
      <c r="BE37">
        <v>0</v>
      </c>
      <c r="BG37">
        <v>0</v>
      </c>
      <c r="BH37">
        <v>0</v>
      </c>
      <c r="BZ37">
        <v>3</v>
      </c>
      <c r="CA37" t="s">
        <v>354</v>
      </c>
      <c r="CH37">
        <v>271.5</v>
      </c>
      <c r="CI37" s="5">
        <v>46186</v>
      </c>
      <c r="CJ37">
        <v>14</v>
      </c>
      <c r="CK37">
        <v>0</v>
      </c>
      <c r="CL37">
        <v>0</v>
      </c>
      <c r="CM37">
        <v>0</v>
      </c>
      <c r="CN37">
        <v>0</v>
      </c>
      <c r="CO37">
        <v>192</v>
      </c>
      <c r="CP37" t="s">
        <v>347</v>
      </c>
      <c r="CQ37" t="s">
        <v>348</v>
      </c>
    </row>
    <row r="38" spans="1:95">
      <c r="A38" s="5">
        <v>46189</v>
      </c>
      <c r="B38" t="s">
        <v>1791</v>
      </c>
      <c r="C38" t="s">
        <v>103</v>
      </c>
      <c r="D38" t="s">
        <v>1792</v>
      </c>
      <c r="E38" t="s">
        <v>598</v>
      </c>
      <c r="G38">
        <v>0</v>
      </c>
      <c r="H38">
        <v>-1</v>
      </c>
      <c r="O38" t="s">
        <v>338</v>
      </c>
      <c r="P38">
        <v>0</v>
      </c>
      <c r="Q38">
        <v>0</v>
      </c>
      <c r="R38">
        <v>0</v>
      </c>
      <c r="S38">
        <v>0</v>
      </c>
      <c r="U38">
        <v>0</v>
      </c>
      <c r="V38">
        <v>0</v>
      </c>
      <c r="W38">
        <v>0</v>
      </c>
      <c r="X38">
        <v>0</v>
      </c>
      <c r="Y38" t="s">
        <v>359</v>
      </c>
      <c r="AB38">
        <v>0</v>
      </c>
      <c r="AC38">
        <v>0</v>
      </c>
      <c r="AE38">
        <v>-1</v>
      </c>
      <c r="AH38" t="s">
        <v>341</v>
      </c>
      <c r="AJ38" t="s">
        <v>342</v>
      </c>
      <c r="AK38" t="s">
        <v>343</v>
      </c>
      <c r="AL38">
        <v>1351087</v>
      </c>
      <c r="AM38">
        <v>0</v>
      </c>
      <c r="AN38">
        <v>0</v>
      </c>
      <c r="AQ38">
        <v>33.99</v>
      </c>
      <c r="AR38">
        <v>0</v>
      </c>
      <c r="AS38">
        <v>0</v>
      </c>
      <c r="AT38">
        <v>0</v>
      </c>
      <c r="AU38">
        <v>0</v>
      </c>
      <c r="AY38">
        <v>0</v>
      </c>
      <c r="BB38">
        <v>0</v>
      </c>
      <c r="BC38">
        <v>0</v>
      </c>
      <c r="BD38">
        <v>0</v>
      </c>
      <c r="BE38">
        <v>0</v>
      </c>
      <c r="BG38">
        <v>0</v>
      </c>
      <c r="BH38">
        <v>0</v>
      </c>
      <c r="BZ38">
        <v>1</v>
      </c>
      <c r="CA38" t="s">
        <v>429</v>
      </c>
      <c r="CJ38">
        <v>0</v>
      </c>
      <c r="CK38">
        <v>0</v>
      </c>
      <c r="CL38">
        <v>0</v>
      </c>
      <c r="CM38">
        <v>0</v>
      </c>
      <c r="CN38">
        <v>0</v>
      </c>
      <c r="CO38">
        <v>0</v>
      </c>
      <c r="CP38" t="s">
        <v>347</v>
      </c>
      <c r="CQ38" t="s">
        <v>348</v>
      </c>
    </row>
    <row r="39" spans="1:95">
      <c r="A39" s="5">
        <v>46189</v>
      </c>
      <c r="B39" t="s">
        <v>1793</v>
      </c>
      <c r="C39" t="s">
        <v>1794</v>
      </c>
      <c r="D39" t="s">
        <v>1795</v>
      </c>
      <c r="E39" t="s">
        <v>1796</v>
      </c>
      <c r="G39">
        <v>0</v>
      </c>
      <c r="H39">
        <v>-1</v>
      </c>
      <c r="O39" t="s">
        <v>338</v>
      </c>
      <c r="P39">
        <v>0</v>
      </c>
      <c r="Q39">
        <v>1</v>
      </c>
      <c r="R39">
        <v>3</v>
      </c>
      <c r="S39">
        <v>4</v>
      </c>
      <c r="U39">
        <v>0</v>
      </c>
      <c r="V39">
        <v>0</v>
      </c>
      <c r="W39">
        <v>0</v>
      </c>
      <c r="X39">
        <v>0</v>
      </c>
      <c r="Y39" t="s">
        <v>464</v>
      </c>
      <c r="AB39">
        <v>0</v>
      </c>
      <c r="AC39">
        <v>0</v>
      </c>
      <c r="AE39">
        <v>-1</v>
      </c>
      <c r="AH39" t="s">
        <v>341</v>
      </c>
      <c r="AJ39" t="s">
        <v>342</v>
      </c>
      <c r="AK39" t="s">
        <v>353</v>
      </c>
      <c r="AM39">
        <v>0</v>
      </c>
      <c r="AN39">
        <v>0</v>
      </c>
      <c r="AO39">
        <v>0</v>
      </c>
      <c r="AP39">
        <v>0</v>
      </c>
      <c r="AQ39">
        <v>26.59</v>
      </c>
      <c r="AR39">
        <v>0</v>
      </c>
      <c r="AS39">
        <v>26.59</v>
      </c>
      <c r="AT39">
        <v>81.17</v>
      </c>
      <c r="AU39">
        <v>111.16</v>
      </c>
      <c r="AY39">
        <v>0</v>
      </c>
      <c r="BB39">
        <v>0</v>
      </c>
      <c r="BC39">
        <v>0</v>
      </c>
      <c r="BD39">
        <v>0</v>
      </c>
      <c r="BE39">
        <v>0</v>
      </c>
      <c r="BG39">
        <v>0</v>
      </c>
      <c r="BH39">
        <v>0</v>
      </c>
      <c r="BY39">
        <v>41.8</v>
      </c>
      <c r="BZ39">
        <v>1</v>
      </c>
      <c r="CA39" t="s">
        <v>429</v>
      </c>
      <c r="CB39">
        <v>3</v>
      </c>
      <c r="CC39" s="5">
        <v>46186</v>
      </c>
      <c r="CD39" s="5">
        <v>46188</v>
      </c>
      <c r="CE39" t="s">
        <v>345</v>
      </c>
      <c r="CF39" t="s">
        <v>346</v>
      </c>
      <c r="CG39">
        <v>11</v>
      </c>
      <c r="CH39">
        <v>41.8</v>
      </c>
      <c r="CJ39">
        <v>0</v>
      </c>
      <c r="CK39">
        <v>0</v>
      </c>
      <c r="CL39">
        <v>0</v>
      </c>
      <c r="CM39">
        <v>0</v>
      </c>
      <c r="CN39">
        <v>0</v>
      </c>
      <c r="CO39">
        <v>0</v>
      </c>
      <c r="CP39" t="s">
        <v>347</v>
      </c>
      <c r="CQ39" t="s">
        <v>348</v>
      </c>
    </row>
    <row r="40" spans="1:95">
      <c r="A40" s="5">
        <v>46189</v>
      </c>
      <c r="B40" t="s">
        <v>1797</v>
      </c>
      <c r="C40" t="s">
        <v>1798</v>
      </c>
      <c r="D40" t="s">
        <v>1799</v>
      </c>
      <c r="E40" t="s">
        <v>1800</v>
      </c>
      <c r="G40">
        <v>0</v>
      </c>
      <c r="H40">
        <v>-1</v>
      </c>
      <c r="O40" t="s">
        <v>338</v>
      </c>
      <c r="P40">
        <v>0</v>
      </c>
      <c r="Q40">
        <v>0</v>
      </c>
      <c r="R40">
        <v>0</v>
      </c>
      <c r="S40">
        <v>0</v>
      </c>
      <c r="U40">
        <v>0</v>
      </c>
      <c r="V40">
        <v>0</v>
      </c>
      <c r="W40">
        <v>0</v>
      </c>
      <c r="X40">
        <v>0</v>
      </c>
      <c r="Y40" t="s">
        <v>359</v>
      </c>
      <c r="AB40">
        <v>0</v>
      </c>
      <c r="AC40">
        <v>0</v>
      </c>
      <c r="AE40">
        <v>-1</v>
      </c>
      <c r="AH40" t="s">
        <v>341</v>
      </c>
      <c r="AJ40" t="s">
        <v>342</v>
      </c>
      <c r="AK40" t="s">
        <v>353</v>
      </c>
      <c r="AM40">
        <v>0</v>
      </c>
      <c r="AN40">
        <v>0</v>
      </c>
      <c r="AQ40">
        <v>23.99</v>
      </c>
      <c r="AR40">
        <v>0</v>
      </c>
      <c r="AS40">
        <v>0</v>
      </c>
      <c r="AT40">
        <v>0</v>
      </c>
      <c r="AU40">
        <v>0</v>
      </c>
      <c r="AY40">
        <v>0</v>
      </c>
      <c r="BB40">
        <v>0</v>
      </c>
      <c r="BC40">
        <v>0</v>
      </c>
      <c r="BD40">
        <v>0</v>
      </c>
      <c r="BE40">
        <v>0</v>
      </c>
      <c r="BG40">
        <v>0</v>
      </c>
      <c r="BH40">
        <v>0</v>
      </c>
      <c r="BZ40">
        <v>1</v>
      </c>
      <c r="CA40" t="s">
        <v>429</v>
      </c>
      <c r="CJ40">
        <v>0</v>
      </c>
      <c r="CK40">
        <v>0</v>
      </c>
      <c r="CL40">
        <v>0</v>
      </c>
      <c r="CM40">
        <v>0</v>
      </c>
      <c r="CN40">
        <v>0</v>
      </c>
      <c r="CO40">
        <v>0</v>
      </c>
      <c r="CP40" t="s">
        <v>347</v>
      </c>
      <c r="CQ40" t="s">
        <v>348</v>
      </c>
    </row>
    <row r="41" spans="1:95">
      <c r="A41" s="5">
        <v>46189</v>
      </c>
      <c r="B41" t="s">
        <v>1801</v>
      </c>
      <c r="C41" t="s">
        <v>1802</v>
      </c>
      <c r="D41" t="s">
        <v>1803</v>
      </c>
      <c r="E41" t="s">
        <v>1804</v>
      </c>
      <c r="G41">
        <v>0</v>
      </c>
      <c r="H41">
        <v>0</v>
      </c>
      <c r="I41">
        <v>0</v>
      </c>
      <c r="J41">
        <v>1</v>
      </c>
      <c r="K41">
        <v>8</v>
      </c>
      <c r="L41">
        <v>0</v>
      </c>
      <c r="M41">
        <v>0</v>
      </c>
      <c r="N41">
        <v>0</v>
      </c>
      <c r="O41" t="s">
        <v>338</v>
      </c>
      <c r="P41">
        <v>0</v>
      </c>
      <c r="Q41">
        <v>0</v>
      </c>
      <c r="R41">
        <v>4</v>
      </c>
      <c r="S41">
        <v>6</v>
      </c>
      <c r="T41" t="s">
        <v>351</v>
      </c>
      <c r="U41">
        <v>0</v>
      </c>
      <c r="V41">
        <v>0</v>
      </c>
      <c r="W41">
        <v>99.99</v>
      </c>
      <c r="X41">
        <v>0</v>
      </c>
      <c r="Y41" t="s">
        <v>464</v>
      </c>
      <c r="AB41">
        <v>0</v>
      </c>
      <c r="AC41">
        <v>0</v>
      </c>
      <c r="AE41">
        <v>0.49</v>
      </c>
      <c r="AF41">
        <v>0.935229</v>
      </c>
      <c r="AG41" t="s">
        <v>340</v>
      </c>
      <c r="AH41" t="s">
        <v>424</v>
      </c>
      <c r="AI41">
        <v>0</v>
      </c>
      <c r="AJ41" t="s">
        <v>342</v>
      </c>
      <c r="AK41" t="s">
        <v>353</v>
      </c>
      <c r="AL41">
        <v>391948</v>
      </c>
      <c r="AM41">
        <v>0</v>
      </c>
      <c r="AN41">
        <v>0</v>
      </c>
      <c r="AP41">
        <v>0</v>
      </c>
      <c r="AQ41">
        <v>94.99</v>
      </c>
      <c r="AR41">
        <v>0</v>
      </c>
      <c r="AS41">
        <v>0</v>
      </c>
      <c r="AT41">
        <v>384.96</v>
      </c>
      <c r="AU41">
        <v>584.94</v>
      </c>
      <c r="AV41">
        <v>0</v>
      </c>
      <c r="AW41">
        <v>0</v>
      </c>
      <c r="AX41">
        <v>0</v>
      </c>
      <c r="AY41">
        <v>8</v>
      </c>
      <c r="AZ41">
        <v>0</v>
      </c>
      <c r="BB41">
        <v>0</v>
      </c>
      <c r="BC41">
        <v>0</v>
      </c>
      <c r="BD41">
        <v>0</v>
      </c>
      <c r="BE41">
        <v>0</v>
      </c>
      <c r="BG41">
        <v>0</v>
      </c>
      <c r="BH41">
        <v>9</v>
      </c>
      <c r="BI41">
        <v>8</v>
      </c>
      <c r="BJ41">
        <v>3.75</v>
      </c>
      <c r="BK41">
        <v>0</v>
      </c>
      <c r="BL41">
        <v>0</v>
      </c>
      <c r="BM41">
        <v>0</v>
      </c>
      <c r="BN41">
        <v>0</v>
      </c>
      <c r="BO41">
        <v>0</v>
      </c>
      <c r="BP41">
        <v>0</v>
      </c>
      <c r="BQ41">
        <v>0</v>
      </c>
      <c r="BR41">
        <v>0</v>
      </c>
      <c r="BS41">
        <v>0</v>
      </c>
      <c r="BT41">
        <v>0</v>
      </c>
      <c r="BU41">
        <v>0</v>
      </c>
      <c r="BV41">
        <v>0</v>
      </c>
      <c r="BW41">
        <v>0</v>
      </c>
      <c r="BX41">
        <v>0</v>
      </c>
      <c r="BZ41">
        <v>6</v>
      </c>
      <c r="CA41" t="s">
        <v>429</v>
      </c>
      <c r="CH41">
        <v>185.8</v>
      </c>
      <c r="CI41" s="5">
        <v>46186</v>
      </c>
      <c r="CJ41">
        <v>0</v>
      </c>
      <c r="CK41">
        <v>0</v>
      </c>
      <c r="CL41">
        <v>0</v>
      </c>
      <c r="CM41">
        <v>0</v>
      </c>
      <c r="CN41">
        <v>0</v>
      </c>
      <c r="CO41">
        <v>0</v>
      </c>
      <c r="CP41" t="s">
        <v>347</v>
      </c>
      <c r="CQ41" t="s">
        <v>348</v>
      </c>
    </row>
    <row r="42" spans="1:95">
      <c r="A42" s="5">
        <v>46189</v>
      </c>
      <c r="B42" t="s">
        <v>1805</v>
      </c>
      <c r="C42" t="s">
        <v>823</v>
      </c>
      <c r="D42" t="s">
        <v>1806</v>
      </c>
      <c r="E42" t="s">
        <v>825</v>
      </c>
      <c r="G42">
        <v>0</v>
      </c>
      <c r="H42">
        <v>-1</v>
      </c>
      <c r="O42" t="s">
        <v>338</v>
      </c>
      <c r="U42">
        <v>0</v>
      </c>
      <c r="V42">
        <v>0</v>
      </c>
      <c r="W42">
        <v>0</v>
      </c>
      <c r="X42">
        <v>0</v>
      </c>
      <c r="Y42" t="s">
        <v>359</v>
      </c>
      <c r="AB42">
        <v>0</v>
      </c>
      <c r="AC42">
        <v>0</v>
      </c>
      <c r="AE42">
        <v>-1</v>
      </c>
      <c r="AH42" t="s">
        <v>341</v>
      </c>
      <c r="AJ42" t="s">
        <v>342</v>
      </c>
      <c r="AK42" t="s">
        <v>353</v>
      </c>
      <c r="AL42">
        <v>606948</v>
      </c>
      <c r="AN42">
        <v>0</v>
      </c>
      <c r="AQ42">
        <v>24.99</v>
      </c>
      <c r="AY42">
        <v>0</v>
      </c>
      <c r="BB42">
        <v>0</v>
      </c>
      <c r="BG42">
        <v>0</v>
      </c>
      <c r="BH42">
        <v>0</v>
      </c>
      <c r="CJ42">
        <v>0</v>
      </c>
      <c r="CK42">
        <v>0</v>
      </c>
      <c r="CL42">
        <v>0</v>
      </c>
      <c r="CM42">
        <v>0</v>
      </c>
      <c r="CN42">
        <v>0</v>
      </c>
      <c r="CP42" t="s">
        <v>347</v>
      </c>
      <c r="CQ42" t="s">
        <v>348</v>
      </c>
    </row>
    <row r="43" spans="1:95">
      <c r="A43" s="5">
        <v>46189</v>
      </c>
      <c r="B43" t="s">
        <v>1807</v>
      </c>
      <c r="C43" t="s">
        <v>1808</v>
      </c>
      <c r="D43" t="s">
        <v>1809</v>
      </c>
      <c r="E43" t="s">
        <v>1810</v>
      </c>
      <c r="G43">
        <v>0</v>
      </c>
      <c r="H43">
        <v>-1</v>
      </c>
      <c r="O43" t="s">
        <v>338</v>
      </c>
      <c r="U43">
        <v>0</v>
      </c>
      <c r="V43">
        <v>0</v>
      </c>
      <c r="W43">
        <v>0</v>
      </c>
      <c r="X43">
        <v>0</v>
      </c>
      <c r="Y43" t="s">
        <v>359</v>
      </c>
      <c r="AB43">
        <v>0</v>
      </c>
      <c r="AC43">
        <v>0</v>
      </c>
      <c r="AE43">
        <v>-1</v>
      </c>
      <c r="AH43" t="s">
        <v>341</v>
      </c>
      <c r="AJ43" t="s">
        <v>342</v>
      </c>
      <c r="AK43" t="s">
        <v>353</v>
      </c>
      <c r="AN43">
        <v>0</v>
      </c>
      <c r="AQ43">
        <v>39.95</v>
      </c>
      <c r="AY43">
        <v>0</v>
      </c>
      <c r="BB43">
        <v>0</v>
      </c>
      <c r="BC43">
        <v>0</v>
      </c>
      <c r="BD43">
        <v>0</v>
      </c>
      <c r="BE43">
        <v>0</v>
      </c>
      <c r="BG43">
        <v>0</v>
      </c>
      <c r="BH43">
        <v>0</v>
      </c>
      <c r="CJ43">
        <v>0</v>
      </c>
      <c r="CK43">
        <v>0</v>
      </c>
      <c r="CL43">
        <v>0</v>
      </c>
      <c r="CM43">
        <v>0</v>
      </c>
      <c r="CN43">
        <v>0</v>
      </c>
      <c r="CP43" t="s">
        <v>347</v>
      </c>
      <c r="CQ43" t="s">
        <v>348</v>
      </c>
    </row>
    <row r="44" spans="1:95">
      <c r="A44" s="5">
        <v>46189</v>
      </c>
      <c r="B44" t="s">
        <v>1811</v>
      </c>
      <c r="C44" t="s">
        <v>1812</v>
      </c>
      <c r="D44" t="s">
        <v>1813</v>
      </c>
      <c r="E44" t="s">
        <v>1814</v>
      </c>
      <c r="G44">
        <v>0</v>
      </c>
      <c r="H44">
        <v>-1</v>
      </c>
      <c r="O44" t="s">
        <v>338</v>
      </c>
      <c r="U44">
        <v>0</v>
      </c>
      <c r="V44">
        <v>0</v>
      </c>
      <c r="W44">
        <v>0</v>
      </c>
      <c r="X44">
        <v>0</v>
      </c>
      <c r="Y44" t="s">
        <v>359</v>
      </c>
      <c r="AB44">
        <v>0</v>
      </c>
      <c r="AC44">
        <v>0</v>
      </c>
      <c r="AE44">
        <v>-1</v>
      </c>
      <c r="AH44" t="s">
        <v>424</v>
      </c>
      <c r="AJ44" t="s">
        <v>342</v>
      </c>
      <c r="AK44" t="s">
        <v>353</v>
      </c>
      <c r="AM44">
        <v>0</v>
      </c>
      <c r="AN44">
        <v>0</v>
      </c>
      <c r="AQ44">
        <v>76.99</v>
      </c>
      <c r="AY44">
        <v>0</v>
      </c>
      <c r="BB44">
        <v>0</v>
      </c>
      <c r="BC44">
        <v>0</v>
      </c>
      <c r="BD44">
        <v>0</v>
      </c>
      <c r="BE44">
        <v>0</v>
      </c>
      <c r="BG44">
        <v>0</v>
      </c>
      <c r="BH44">
        <v>0</v>
      </c>
      <c r="CJ44">
        <v>0</v>
      </c>
      <c r="CK44">
        <v>0</v>
      </c>
      <c r="CL44">
        <v>0</v>
      </c>
      <c r="CM44">
        <v>0</v>
      </c>
      <c r="CN44">
        <v>0</v>
      </c>
      <c r="CO44">
        <v>0</v>
      </c>
      <c r="CP44" t="s">
        <v>347</v>
      </c>
      <c r="CQ44" t="s">
        <v>348</v>
      </c>
    </row>
    <row r="45" spans="1:95">
      <c r="A45" s="5">
        <v>46189</v>
      </c>
      <c r="B45" t="s">
        <v>1815</v>
      </c>
      <c r="C45" t="s">
        <v>937</v>
      </c>
      <c r="D45" t="s">
        <v>1816</v>
      </c>
      <c r="E45" t="s">
        <v>939</v>
      </c>
      <c r="G45">
        <v>0</v>
      </c>
      <c r="H45">
        <v>-1</v>
      </c>
      <c r="O45" t="s">
        <v>338</v>
      </c>
      <c r="P45">
        <v>0</v>
      </c>
      <c r="Q45">
        <v>0</v>
      </c>
      <c r="R45">
        <v>0</v>
      </c>
      <c r="S45">
        <v>0</v>
      </c>
      <c r="U45">
        <v>0</v>
      </c>
      <c r="V45">
        <v>0</v>
      </c>
      <c r="W45">
        <v>0</v>
      </c>
      <c r="X45">
        <v>0</v>
      </c>
      <c r="Y45" t="s">
        <v>359</v>
      </c>
      <c r="AB45">
        <v>0</v>
      </c>
      <c r="AC45">
        <v>0</v>
      </c>
      <c r="AE45">
        <v>-1</v>
      </c>
      <c r="AH45" t="s">
        <v>341</v>
      </c>
      <c r="AJ45" t="s">
        <v>342</v>
      </c>
      <c r="AK45" t="s">
        <v>353</v>
      </c>
      <c r="AL45">
        <v>359544</v>
      </c>
      <c r="AN45">
        <v>0</v>
      </c>
      <c r="AQ45">
        <v>33.99</v>
      </c>
      <c r="AR45">
        <v>0</v>
      </c>
      <c r="AS45">
        <v>0</v>
      </c>
      <c r="AT45">
        <v>0</v>
      </c>
      <c r="AU45">
        <v>0</v>
      </c>
      <c r="AY45">
        <v>0</v>
      </c>
      <c r="BB45">
        <v>0</v>
      </c>
      <c r="BC45">
        <v>0</v>
      </c>
      <c r="BD45">
        <v>0</v>
      </c>
      <c r="BE45">
        <v>0</v>
      </c>
      <c r="BG45">
        <v>0</v>
      </c>
      <c r="BH45">
        <v>0</v>
      </c>
      <c r="CJ45">
        <v>0</v>
      </c>
      <c r="CK45">
        <v>0</v>
      </c>
      <c r="CL45">
        <v>0</v>
      </c>
      <c r="CM45">
        <v>0</v>
      </c>
      <c r="CN45">
        <v>0</v>
      </c>
      <c r="CP45" t="s">
        <v>347</v>
      </c>
      <c r="CQ45" t="s">
        <v>348</v>
      </c>
    </row>
    <row r="46" spans="1:95">
      <c r="A46" s="5">
        <v>46189</v>
      </c>
      <c r="B46" t="s">
        <v>1514</v>
      </c>
      <c r="C46" t="s">
        <v>1515</v>
      </c>
      <c r="D46" t="s">
        <v>1513</v>
      </c>
      <c r="E46" t="s">
        <v>1817</v>
      </c>
      <c r="F46" t="s">
        <v>337</v>
      </c>
      <c r="G46">
        <v>10</v>
      </c>
      <c r="H46">
        <v>0</v>
      </c>
      <c r="I46">
        <v>0</v>
      </c>
      <c r="J46">
        <v>10</v>
      </c>
      <c r="K46">
        <v>0</v>
      </c>
      <c r="L46">
        <v>0</v>
      </c>
      <c r="M46">
        <v>0</v>
      </c>
      <c r="N46">
        <v>0</v>
      </c>
      <c r="O46" t="s">
        <v>338</v>
      </c>
      <c r="P46">
        <v>0</v>
      </c>
      <c r="Q46">
        <v>0</v>
      </c>
      <c r="R46">
        <v>0</v>
      </c>
      <c r="S46">
        <v>0</v>
      </c>
      <c r="T46" t="s">
        <v>351</v>
      </c>
      <c r="U46">
        <v>49.89</v>
      </c>
      <c r="V46">
        <v>0</v>
      </c>
      <c r="W46">
        <v>37.99</v>
      </c>
      <c r="X46">
        <v>0</v>
      </c>
      <c r="Y46" t="s">
        <v>391</v>
      </c>
      <c r="AA46">
        <v>0</v>
      </c>
      <c r="AB46">
        <v>0</v>
      </c>
      <c r="AC46">
        <v>0</v>
      </c>
      <c r="AD46">
        <v>1000.36</v>
      </c>
      <c r="AE46">
        <v>0.1</v>
      </c>
      <c r="AF46">
        <v>0.361675</v>
      </c>
      <c r="AG46" t="s">
        <v>340</v>
      </c>
      <c r="AH46" t="s">
        <v>341</v>
      </c>
      <c r="AI46">
        <v>3.61675</v>
      </c>
      <c r="AJ46" t="s">
        <v>342</v>
      </c>
      <c r="AK46" t="s">
        <v>343</v>
      </c>
      <c r="AL46">
        <v>215750</v>
      </c>
      <c r="AM46">
        <v>203</v>
      </c>
      <c r="AN46">
        <v>10</v>
      </c>
      <c r="AQ46">
        <v>37.99</v>
      </c>
      <c r="AR46">
        <v>0</v>
      </c>
      <c r="AS46">
        <v>0</v>
      </c>
      <c r="AT46">
        <v>0</v>
      </c>
      <c r="AU46">
        <v>0</v>
      </c>
      <c r="AV46">
        <v>0</v>
      </c>
      <c r="AW46">
        <v>0</v>
      </c>
      <c r="AX46">
        <v>0</v>
      </c>
      <c r="AY46">
        <v>0</v>
      </c>
      <c r="AZ46">
        <v>0</v>
      </c>
      <c r="BA46">
        <v>2.59</v>
      </c>
      <c r="BB46">
        <v>0</v>
      </c>
      <c r="BC46">
        <v>0</v>
      </c>
      <c r="BD46">
        <v>0</v>
      </c>
      <c r="BE46">
        <v>0</v>
      </c>
      <c r="BG46">
        <v>0</v>
      </c>
      <c r="BH46">
        <v>0</v>
      </c>
      <c r="BZ46">
        <v>2</v>
      </c>
      <c r="CA46" t="s">
        <v>354</v>
      </c>
      <c r="CH46">
        <v>450.5</v>
      </c>
      <c r="CI46" s="5">
        <v>46186</v>
      </c>
      <c r="CJ46">
        <v>10</v>
      </c>
      <c r="CK46">
        <v>0</v>
      </c>
      <c r="CL46">
        <v>0</v>
      </c>
      <c r="CM46">
        <v>0</v>
      </c>
      <c r="CN46">
        <v>0</v>
      </c>
      <c r="CO46">
        <v>203</v>
      </c>
      <c r="CP46" t="s">
        <v>347</v>
      </c>
      <c r="CQ46" t="s">
        <v>348</v>
      </c>
    </row>
    <row r="47" spans="1:95">
      <c r="A47" s="5">
        <v>46189</v>
      </c>
      <c r="B47" t="s">
        <v>1818</v>
      </c>
      <c r="C47" t="s">
        <v>1819</v>
      </c>
      <c r="D47" t="s">
        <v>1820</v>
      </c>
      <c r="E47" t="s">
        <v>1821</v>
      </c>
      <c r="F47" t="s">
        <v>337</v>
      </c>
      <c r="G47">
        <v>6</v>
      </c>
      <c r="H47">
        <v>0</v>
      </c>
      <c r="I47">
        <v>6</v>
      </c>
      <c r="J47">
        <v>0</v>
      </c>
      <c r="K47">
        <v>0</v>
      </c>
      <c r="L47">
        <v>0</v>
      </c>
      <c r="M47">
        <v>0</v>
      </c>
      <c r="N47">
        <v>0</v>
      </c>
      <c r="O47" t="s">
        <v>338</v>
      </c>
      <c r="T47" t="s">
        <v>351</v>
      </c>
      <c r="U47">
        <v>109.99</v>
      </c>
      <c r="V47">
        <v>0</v>
      </c>
      <c r="W47">
        <v>109.99</v>
      </c>
      <c r="X47">
        <v>0</v>
      </c>
      <c r="Y47" t="s">
        <v>613</v>
      </c>
      <c r="AB47">
        <v>0</v>
      </c>
      <c r="AC47">
        <v>0</v>
      </c>
      <c r="AE47">
        <v>0</v>
      </c>
      <c r="AF47">
        <v>1.29974</v>
      </c>
      <c r="AG47" t="s">
        <v>340</v>
      </c>
      <c r="AH47" t="s">
        <v>424</v>
      </c>
      <c r="AI47">
        <v>7.79844</v>
      </c>
      <c r="AJ47" t="s">
        <v>342</v>
      </c>
      <c r="AK47" t="s">
        <v>353</v>
      </c>
      <c r="AL47">
        <v>1388024</v>
      </c>
      <c r="AM47">
        <v>366</v>
      </c>
      <c r="AN47">
        <v>0</v>
      </c>
      <c r="AQ47">
        <v>109.99</v>
      </c>
      <c r="AV47">
        <v>6</v>
      </c>
      <c r="AW47">
        <v>0</v>
      </c>
      <c r="AX47">
        <v>0</v>
      </c>
      <c r="AY47">
        <v>0</v>
      </c>
      <c r="AZ47">
        <v>0</v>
      </c>
      <c r="BB47">
        <v>2</v>
      </c>
      <c r="BC47">
        <v>0</v>
      </c>
      <c r="BD47">
        <v>2</v>
      </c>
      <c r="BE47">
        <v>0</v>
      </c>
      <c r="BG47">
        <v>0</v>
      </c>
      <c r="BH47">
        <v>0</v>
      </c>
      <c r="CI47" s="5">
        <v>46186</v>
      </c>
      <c r="CJ47">
        <v>8</v>
      </c>
      <c r="CK47">
        <v>0</v>
      </c>
      <c r="CL47">
        <v>0</v>
      </c>
      <c r="CM47">
        <v>0</v>
      </c>
      <c r="CN47">
        <v>0</v>
      </c>
      <c r="CO47">
        <v>366</v>
      </c>
      <c r="CP47" t="s">
        <v>347</v>
      </c>
      <c r="CQ47" t="s">
        <v>348</v>
      </c>
    </row>
    <row r="48" spans="1:95">
      <c r="A48" s="5">
        <v>46189</v>
      </c>
      <c r="B48" t="s">
        <v>1822</v>
      </c>
      <c r="C48" t="s">
        <v>1823</v>
      </c>
      <c r="D48" t="s">
        <v>1824</v>
      </c>
      <c r="E48" t="s">
        <v>1825</v>
      </c>
      <c r="G48">
        <v>0</v>
      </c>
      <c r="H48">
        <v>-1</v>
      </c>
      <c r="O48" t="s">
        <v>338</v>
      </c>
      <c r="U48">
        <v>0</v>
      </c>
      <c r="V48">
        <v>0</v>
      </c>
      <c r="W48">
        <v>0</v>
      </c>
      <c r="X48">
        <v>0</v>
      </c>
      <c r="Y48" t="s">
        <v>372</v>
      </c>
      <c r="AB48">
        <v>0</v>
      </c>
      <c r="AC48">
        <v>0</v>
      </c>
      <c r="AE48">
        <v>-1</v>
      </c>
      <c r="AH48" t="s">
        <v>341</v>
      </c>
      <c r="AJ48" t="s">
        <v>342</v>
      </c>
      <c r="AK48" t="s">
        <v>353</v>
      </c>
      <c r="AN48">
        <v>0</v>
      </c>
      <c r="AQ48">
        <v>75.99</v>
      </c>
      <c r="AY48">
        <v>0</v>
      </c>
      <c r="BB48">
        <v>28</v>
      </c>
      <c r="BC48">
        <v>0</v>
      </c>
      <c r="BD48">
        <v>0</v>
      </c>
      <c r="BE48">
        <v>28</v>
      </c>
      <c r="BG48">
        <v>0</v>
      </c>
      <c r="BH48">
        <v>0</v>
      </c>
      <c r="CJ48">
        <v>28</v>
      </c>
      <c r="CK48">
        <v>0</v>
      </c>
      <c r="CL48">
        <v>0</v>
      </c>
      <c r="CM48">
        <v>0</v>
      </c>
      <c r="CN48">
        <v>0</v>
      </c>
      <c r="CP48" t="s">
        <v>347</v>
      </c>
      <c r="CQ48" t="s">
        <v>348</v>
      </c>
    </row>
    <row r="49" spans="1:95">
      <c r="A49" s="5">
        <v>46189</v>
      </c>
      <c r="B49" t="s">
        <v>1518</v>
      </c>
      <c r="C49" t="s">
        <v>1519</v>
      </c>
      <c r="D49" t="s">
        <v>1517</v>
      </c>
      <c r="E49" t="s">
        <v>1826</v>
      </c>
      <c r="F49" t="s">
        <v>337</v>
      </c>
      <c r="G49">
        <v>21</v>
      </c>
      <c r="H49">
        <v>0</v>
      </c>
      <c r="I49">
        <v>10</v>
      </c>
      <c r="J49">
        <v>11</v>
      </c>
      <c r="K49">
        <v>0</v>
      </c>
      <c r="L49">
        <v>0</v>
      </c>
      <c r="M49">
        <v>0</v>
      </c>
      <c r="N49">
        <v>0</v>
      </c>
      <c r="O49" t="s">
        <v>338</v>
      </c>
      <c r="P49">
        <v>1</v>
      </c>
      <c r="Q49">
        <v>1</v>
      </c>
      <c r="R49">
        <v>7</v>
      </c>
      <c r="S49">
        <v>13</v>
      </c>
      <c r="T49" t="s">
        <v>351</v>
      </c>
      <c r="U49">
        <v>59.99</v>
      </c>
      <c r="V49">
        <v>44.99</v>
      </c>
      <c r="W49">
        <v>44.99</v>
      </c>
      <c r="X49">
        <v>0</v>
      </c>
      <c r="Y49" t="s">
        <v>359</v>
      </c>
      <c r="AA49">
        <v>0</v>
      </c>
      <c r="AB49">
        <v>0</v>
      </c>
      <c r="AC49">
        <v>0</v>
      </c>
      <c r="AD49">
        <v>0</v>
      </c>
      <c r="AE49">
        <v>0.66</v>
      </c>
      <c r="AF49">
        <v>0.051042</v>
      </c>
      <c r="AG49" t="s">
        <v>340</v>
      </c>
      <c r="AH49" t="s">
        <v>341</v>
      </c>
      <c r="AI49">
        <v>1.071882</v>
      </c>
      <c r="AJ49" t="s">
        <v>342</v>
      </c>
      <c r="AK49" t="s">
        <v>1827</v>
      </c>
      <c r="AL49">
        <v>354967</v>
      </c>
      <c r="AM49">
        <v>147</v>
      </c>
      <c r="AN49">
        <v>0</v>
      </c>
      <c r="AO49">
        <v>124</v>
      </c>
      <c r="AP49">
        <v>31</v>
      </c>
      <c r="AQ49">
        <v>44.99</v>
      </c>
      <c r="AR49">
        <v>44.99</v>
      </c>
      <c r="AS49">
        <v>44.99</v>
      </c>
      <c r="AT49">
        <v>314.93</v>
      </c>
      <c r="AU49">
        <v>584.87</v>
      </c>
      <c r="AV49">
        <v>10</v>
      </c>
      <c r="AW49">
        <v>0</v>
      </c>
      <c r="AX49">
        <v>0</v>
      </c>
      <c r="AY49">
        <v>0</v>
      </c>
      <c r="AZ49">
        <v>0</v>
      </c>
      <c r="BA49">
        <v>1.14</v>
      </c>
      <c r="BB49">
        <v>10</v>
      </c>
      <c r="BC49">
        <v>10</v>
      </c>
      <c r="BD49">
        <v>0</v>
      </c>
      <c r="BE49">
        <v>0</v>
      </c>
      <c r="BG49">
        <v>0</v>
      </c>
      <c r="BH49">
        <v>2</v>
      </c>
      <c r="BY49">
        <v>558</v>
      </c>
      <c r="BZ49">
        <v>7</v>
      </c>
      <c r="CA49" t="s">
        <v>360</v>
      </c>
      <c r="CD49" s="5">
        <v>46188</v>
      </c>
      <c r="CE49" t="s">
        <v>345</v>
      </c>
      <c r="CF49" t="s">
        <v>346</v>
      </c>
      <c r="CG49">
        <v>558</v>
      </c>
      <c r="CH49">
        <v>109.2</v>
      </c>
      <c r="CI49" s="5">
        <v>46186</v>
      </c>
      <c r="CJ49">
        <v>36</v>
      </c>
      <c r="CK49">
        <v>5</v>
      </c>
      <c r="CL49">
        <v>0</v>
      </c>
      <c r="CM49">
        <v>0</v>
      </c>
      <c r="CN49">
        <v>0</v>
      </c>
      <c r="CO49">
        <v>181</v>
      </c>
      <c r="CP49" t="s">
        <v>347</v>
      </c>
      <c r="CQ49" t="s">
        <v>348</v>
      </c>
    </row>
    <row r="50" spans="1:95">
      <c r="A50" s="5">
        <v>46189</v>
      </c>
      <c r="B50" t="s">
        <v>1828</v>
      </c>
      <c r="C50" t="s">
        <v>1829</v>
      </c>
      <c r="D50" t="s">
        <v>1830</v>
      </c>
      <c r="E50" t="s">
        <v>1831</v>
      </c>
      <c r="G50">
        <v>0</v>
      </c>
      <c r="H50">
        <v>-1</v>
      </c>
      <c r="O50" t="s">
        <v>338</v>
      </c>
      <c r="P50">
        <v>0</v>
      </c>
      <c r="Q50">
        <v>0</v>
      </c>
      <c r="R50">
        <v>0</v>
      </c>
      <c r="S50">
        <v>0</v>
      </c>
      <c r="U50">
        <v>0</v>
      </c>
      <c r="V50">
        <v>0</v>
      </c>
      <c r="W50">
        <v>0</v>
      </c>
      <c r="X50">
        <v>0</v>
      </c>
      <c r="Y50" t="s">
        <v>359</v>
      </c>
      <c r="AB50">
        <v>0</v>
      </c>
      <c r="AC50">
        <v>0</v>
      </c>
      <c r="AE50">
        <v>-1</v>
      </c>
      <c r="AH50" t="s">
        <v>341</v>
      </c>
      <c r="AJ50" t="s">
        <v>342</v>
      </c>
      <c r="AK50" t="s">
        <v>353</v>
      </c>
      <c r="AM50">
        <v>0</v>
      </c>
      <c r="AN50">
        <v>0</v>
      </c>
      <c r="AQ50">
        <v>32.39</v>
      </c>
      <c r="AR50">
        <v>0</v>
      </c>
      <c r="AS50">
        <v>0</v>
      </c>
      <c r="AT50">
        <v>0</v>
      </c>
      <c r="AU50">
        <v>0</v>
      </c>
      <c r="AY50">
        <v>0</v>
      </c>
      <c r="BB50">
        <v>0</v>
      </c>
      <c r="BC50">
        <v>0</v>
      </c>
      <c r="BD50">
        <v>0</v>
      </c>
      <c r="BE50">
        <v>0</v>
      </c>
      <c r="BG50">
        <v>0</v>
      </c>
      <c r="BH50">
        <v>0</v>
      </c>
      <c r="BZ50">
        <v>1</v>
      </c>
      <c r="CA50" t="s">
        <v>429</v>
      </c>
      <c r="CJ50">
        <v>0</v>
      </c>
      <c r="CK50">
        <v>0</v>
      </c>
      <c r="CL50">
        <v>0</v>
      </c>
      <c r="CM50">
        <v>0</v>
      </c>
      <c r="CN50">
        <v>0</v>
      </c>
      <c r="CO50">
        <v>0</v>
      </c>
      <c r="CP50" t="s">
        <v>347</v>
      </c>
      <c r="CQ50" t="s">
        <v>348</v>
      </c>
    </row>
    <row r="51" spans="1:95">
      <c r="A51" s="5">
        <v>46189</v>
      </c>
      <c r="B51" t="s">
        <v>1832</v>
      </c>
      <c r="C51" t="s">
        <v>1833</v>
      </c>
      <c r="D51" t="s">
        <v>1834</v>
      </c>
      <c r="E51" t="s">
        <v>1835</v>
      </c>
      <c r="G51">
        <v>0</v>
      </c>
      <c r="H51">
        <v>-1</v>
      </c>
      <c r="O51" t="s">
        <v>338</v>
      </c>
      <c r="U51">
        <v>0</v>
      </c>
      <c r="V51">
        <v>0</v>
      </c>
      <c r="W51">
        <v>0</v>
      </c>
      <c r="X51">
        <v>0</v>
      </c>
      <c r="Y51" t="s">
        <v>359</v>
      </c>
      <c r="AB51">
        <v>0</v>
      </c>
      <c r="AC51">
        <v>0</v>
      </c>
      <c r="AE51">
        <v>-1</v>
      </c>
      <c r="AH51" t="s">
        <v>341</v>
      </c>
      <c r="AJ51" t="s">
        <v>342</v>
      </c>
      <c r="AK51" t="s">
        <v>595</v>
      </c>
      <c r="AN51">
        <v>0</v>
      </c>
      <c r="AY51">
        <v>0</v>
      </c>
      <c r="BB51">
        <v>0</v>
      </c>
      <c r="BG51">
        <v>0</v>
      </c>
      <c r="BH51">
        <v>0</v>
      </c>
      <c r="CJ51">
        <v>0</v>
      </c>
      <c r="CK51">
        <v>0</v>
      </c>
      <c r="CL51">
        <v>0</v>
      </c>
      <c r="CM51">
        <v>0</v>
      </c>
      <c r="CN51">
        <v>0</v>
      </c>
      <c r="CP51" t="s">
        <v>347</v>
      </c>
      <c r="CQ51" t="s">
        <v>348</v>
      </c>
    </row>
    <row r="52" spans="1:95">
      <c r="A52" s="5">
        <v>46189</v>
      </c>
      <c r="B52" t="s">
        <v>1836</v>
      </c>
      <c r="C52" t="s">
        <v>112</v>
      </c>
      <c r="D52" t="s">
        <v>1837</v>
      </c>
      <c r="E52" t="s">
        <v>1838</v>
      </c>
      <c r="G52">
        <v>0</v>
      </c>
      <c r="H52">
        <v>-1</v>
      </c>
      <c r="O52" t="s">
        <v>338</v>
      </c>
      <c r="P52">
        <v>0</v>
      </c>
      <c r="Q52">
        <v>0</v>
      </c>
      <c r="R52">
        <v>0</v>
      </c>
      <c r="S52">
        <v>0</v>
      </c>
      <c r="U52">
        <v>0</v>
      </c>
      <c r="V52">
        <v>0</v>
      </c>
      <c r="W52">
        <v>0</v>
      </c>
      <c r="X52">
        <v>0</v>
      </c>
      <c r="Y52" t="s">
        <v>359</v>
      </c>
      <c r="AB52">
        <v>0</v>
      </c>
      <c r="AC52">
        <v>0</v>
      </c>
      <c r="AE52">
        <v>-1</v>
      </c>
      <c r="AH52" t="s">
        <v>341</v>
      </c>
      <c r="AJ52" t="s">
        <v>342</v>
      </c>
      <c r="AK52" t="s">
        <v>353</v>
      </c>
      <c r="AM52">
        <v>0</v>
      </c>
      <c r="AN52">
        <v>0</v>
      </c>
      <c r="AQ52">
        <v>46.99</v>
      </c>
      <c r="AR52">
        <v>0</v>
      </c>
      <c r="AS52">
        <v>0</v>
      </c>
      <c r="AT52">
        <v>0</v>
      </c>
      <c r="AU52">
        <v>0</v>
      </c>
      <c r="AY52">
        <v>0</v>
      </c>
      <c r="BB52">
        <v>0</v>
      </c>
      <c r="BC52">
        <v>0</v>
      </c>
      <c r="BD52">
        <v>0</v>
      </c>
      <c r="BE52">
        <v>0</v>
      </c>
      <c r="BG52">
        <v>0</v>
      </c>
      <c r="BH52">
        <v>0</v>
      </c>
      <c r="BZ52">
        <v>1</v>
      </c>
      <c r="CA52" t="s">
        <v>429</v>
      </c>
      <c r="CJ52">
        <v>0</v>
      </c>
      <c r="CK52">
        <v>0</v>
      </c>
      <c r="CL52">
        <v>0</v>
      </c>
      <c r="CM52">
        <v>0</v>
      </c>
      <c r="CN52">
        <v>0</v>
      </c>
      <c r="CO52">
        <v>0</v>
      </c>
      <c r="CP52" t="s">
        <v>347</v>
      </c>
      <c r="CQ52" t="s">
        <v>348</v>
      </c>
    </row>
    <row r="53" spans="1:95">
      <c r="A53" s="5">
        <v>46189</v>
      </c>
      <c r="B53" t="s">
        <v>1839</v>
      </c>
      <c r="C53" t="s">
        <v>1840</v>
      </c>
      <c r="D53" t="s">
        <v>1841</v>
      </c>
      <c r="E53" t="s">
        <v>1842</v>
      </c>
      <c r="G53">
        <v>0</v>
      </c>
      <c r="H53">
        <v>-1</v>
      </c>
      <c r="O53" t="s">
        <v>338</v>
      </c>
      <c r="U53">
        <v>0</v>
      </c>
      <c r="V53">
        <v>0</v>
      </c>
      <c r="W53">
        <v>0</v>
      </c>
      <c r="X53">
        <v>0</v>
      </c>
      <c r="Y53" t="s">
        <v>359</v>
      </c>
      <c r="AB53">
        <v>0</v>
      </c>
      <c r="AC53">
        <v>0</v>
      </c>
      <c r="AE53">
        <v>-1</v>
      </c>
      <c r="AH53" t="s">
        <v>377</v>
      </c>
      <c r="AJ53" t="s">
        <v>342</v>
      </c>
      <c r="AK53" t="s">
        <v>353</v>
      </c>
      <c r="AN53">
        <v>0</v>
      </c>
      <c r="AY53">
        <v>0</v>
      </c>
      <c r="BB53">
        <v>0</v>
      </c>
      <c r="BG53">
        <v>0</v>
      </c>
      <c r="BH53">
        <v>0</v>
      </c>
      <c r="CJ53">
        <v>0</v>
      </c>
      <c r="CK53">
        <v>0</v>
      </c>
      <c r="CL53">
        <v>0</v>
      </c>
      <c r="CM53">
        <v>0</v>
      </c>
      <c r="CN53">
        <v>0</v>
      </c>
      <c r="CP53" t="s">
        <v>347</v>
      </c>
      <c r="CQ53" t="s">
        <v>348</v>
      </c>
    </row>
    <row r="54" spans="1:95">
      <c r="A54" s="5">
        <v>46189</v>
      </c>
      <c r="B54" t="s">
        <v>1521</v>
      </c>
      <c r="C54" t="s">
        <v>1522</v>
      </c>
      <c r="D54" t="s">
        <v>1520</v>
      </c>
      <c r="E54" t="s">
        <v>1843</v>
      </c>
      <c r="F54" t="s">
        <v>337</v>
      </c>
      <c r="G54">
        <v>21</v>
      </c>
      <c r="H54">
        <v>0</v>
      </c>
      <c r="I54">
        <v>1</v>
      </c>
      <c r="J54">
        <v>17</v>
      </c>
      <c r="K54">
        <v>3</v>
      </c>
      <c r="L54">
        <v>0</v>
      </c>
      <c r="M54">
        <v>0</v>
      </c>
      <c r="N54">
        <v>0</v>
      </c>
      <c r="O54" t="s">
        <v>338</v>
      </c>
      <c r="P54">
        <v>0</v>
      </c>
      <c r="Q54">
        <v>1</v>
      </c>
      <c r="R54">
        <v>1</v>
      </c>
      <c r="S54">
        <v>2</v>
      </c>
      <c r="T54" t="s">
        <v>351</v>
      </c>
      <c r="U54">
        <v>38.99</v>
      </c>
      <c r="V54">
        <v>31.99</v>
      </c>
      <c r="W54">
        <v>31.99</v>
      </c>
      <c r="X54">
        <v>0</v>
      </c>
      <c r="Y54" t="s">
        <v>613</v>
      </c>
      <c r="AA54">
        <v>0</v>
      </c>
      <c r="AB54">
        <v>0</v>
      </c>
      <c r="AC54">
        <v>0</v>
      </c>
      <c r="AD54">
        <v>635.36</v>
      </c>
      <c r="AE54">
        <v>0.09</v>
      </c>
      <c r="AF54">
        <v>0.088542</v>
      </c>
      <c r="AG54" t="s">
        <v>340</v>
      </c>
      <c r="AH54" t="s">
        <v>341</v>
      </c>
      <c r="AI54">
        <v>1.859382</v>
      </c>
      <c r="AJ54" t="s">
        <v>342</v>
      </c>
      <c r="AK54" t="s">
        <v>353</v>
      </c>
      <c r="AL54">
        <v>445845</v>
      </c>
      <c r="AM54">
        <v>366</v>
      </c>
      <c r="AN54">
        <v>21</v>
      </c>
      <c r="AO54">
        <v>84</v>
      </c>
      <c r="AP54">
        <v>136</v>
      </c>
      <c r="AR54">
        <v>0</v>
      </c>
      <c r="AS54">
        <v>31.99</v>
      </c>
      <c r="AT54">
        <v>31.99</v>
      </c>
      <c r="AU54">
        <v>63.98</v>
      </c>
      <c r="AV54">
        <v>0</v>
      </c>
      <c r="AW54">
        <v>1</v>
      </c>
      <c r="AX54">
        <v>0</v>
      </c>
      <c r="AY54">
        <v>3</v>
      </c>
      <c r="AZ54">
        <v>0</v>
      </c>
      <c r="BA54">
        <v>2.83</v>
      </c>
      <c r="BB54">
        <v>0</v>
      </c>
      <c r="BC54">
        <v>0</v>
      </c>
      <c r="BD54">
        <v>0</v>
      </c>
      <c r="BE54">
        <v>0</v>
      </c>
      <c r="BG54">
        <v>0</v>
      </c>
      <c r="BH54">
        <v>0</v>
      </c>
      <c r="BI54">
        <v>0</v>
      </c>
      <c r="BJ54">
        <v>0</v>
      </c>
      <c r="BK54">
        <v>0</v>
      </c>
      <c r="BL54">
        <v>0</v>
      </c>
      <c r="BM54">
        <v>0</v>
      </c>
      <c r="BN54">
        <v>0</v>
      </c>
      <c r="BO54">
        <v>3</v>
      </c>
      <c r="BP54">
        <v>1.45</v>
      </c>
      <c r="BQ54">
        <v>0</v>
      </c>
      <c r="BR54">
        <v>0</v>
      </c>
      <c r="BS54">
        <v>0</v>
      </c>
      <c r="BT54">
        <v>0</v>
      </c>
      <c r="BU54">
        <v>0</v>
      </c>
      <c r="BV54">
        <v>0</v>
      </c>
      <c r="BW54">
        <v>0</v>
      </c>
      <c r="BX54">
        <v>0</v>
      </c>
      <c r="BY54">
        <v>970.5</v>
      </c>
      <c r="BZ54">
        <v>3</v>
      </c>
      <c r="CA54" t="s">
        <v>354</v>
      </c>
      <c r="CD54" s="5">
        <v>46188</v>
      </c>
      <c r="CE54" t="s">
        <v>345</v>
      </c>
      <c r="CF54" t="s">
        <v>346</v>
      </c>
      <c r="CG54">
        <v>641</v>
      </c>
      <c r="CH54">
        <v>970.5</v>
      </c>
      <c r="CI54" s="5">
        <v>46186</v>
      </c>
      <c r="CJ54">
        <v>21</v>
      </c>
      <c r="CK54">
        <v>0</v>
      </c>
      <c r="CL54">
        <v>0</v>
      </c>
      <c r="CM54">
        <v>0</v>
      </c>
      <c r="CN54">
        <v>0</v>
      </c>
      <c r="CO54">
        <v>366</v>
      </c>
      <c r="CP54" t="s">
        <v>347</v>
      </c>
      <c r="CQ54" t="s">
        <v>348</v>
      </c>
    </row>
    <row r="55" spans="1:95">
      <c r="A55" s="5">
        <v>46189</v>
      </c>
      <c r="B55" t="s">
        <v>1844</v>
      </c>
      <c r="C55" t="s">
        <v>1845</v>
      </c>
      <c r="D55" t="s">
        <v>1846</v>
      </c>
      <c r="E55" t="s">
        <v>1847</v>
      </c>
      <c r="G55">
        <v>0</v>
      </c>
      <c r="H55">
        <v>-1</v>
      </c>
      <c r="O55" t="s">
        <v>338</v>
      </c>
      <c r="U55">
        <v>0</v>
      </c>
      <c r="V55">
        <v>0</v>
      </c>
      <c r="W55">
        <v>0</v>
      </c>
      <c r="X55">
        <v>0</v>
      </c>
      <c r="Y55" t="s">
        <v>359</v>
      </c>
      <c r="AB55">
        <v>0</v>
      </c>
      <c r="AC55">
        <v>0</v>
      </c>
      <c r="AE55">
        <v>-1</v>
      </c>
      <c r="AH55" t="s">
        <v>341</v>
      </c>
      <c r="AJ55" t="s">
        <v>342</v>
      </c>
      <c r="AK55" t="s">
        <v>353</v>
      </c>
      <c r="AN55">
        <v>0</v>
      </c>
      <c r="AQ55">
        <v>9.99</v>
      </c>
      <c r="AY55">
        <v>0</v>
      </c>
      <c r="BB55">
        <v>0</v>
      </c>
      <c r="BG55">
        <v>0</v>
      </c>
      <c r="BH55">
        <v>0</v>
      </c>
      <c r="CJ55">
        <v>0</v>
      </c>
      <c r="CK55">
        <v>0</v>
      </c>
      <c r="CL55">
        <v>0</v>
      </c>
      <c r="CM55">
        <v>0</v>
      </c>
      <c r="CN55">
        <v>0</v>
      </c>
      <c r="CP55" t="s">
        <v>347</v>
      </c>
      <c r="CQ55" t="s">
        <v>348</v>
      </c>
    </row>
    <row r="56" spans="1:95">
      <c r="A56" s="5">
        <v>46189</v>
      </c>
      <c r="B56" t="s">
        <v>1525</v>
      </c>
      <c r="C56" t="s">
        <v>1526</v>
      </c>
      <c r="D56" t="s">
        <v>1524</v>
      </c>
      <c r="E56" t="s">
        <v>1848</v>
      </c>
      <c r="F56" t="s">
        <v>337</v>
      </c>
      <c r="G56">
        <v>19</v>
      </c>
      <c r="H56">
        <v>0</v>
      </c>
      <c r="I56">
        <v>28</v>
      </c>
      <c r="J56">
        <v>0</v>
      </c>
      <c r="K56">
        <v>0</v>
      </c>
      <c r="L56">
        <v>0</v>
      </c>
      <c r="M56">
        <v>0</v>
      </c>
      <c r="N56">
        <v>0</v>
      </c>
      <c r="O56" t="s">
        <v>338</v>
      </c>
      <c r="P56">
        <v>1</v>
      </c>
      <c r="Q56">
        <v>12</v>
      </c>
      <c r="R56">
        <v>28</v>
      </c>
      <c r="S56">
        <v>41</v>
      </c>
      <c r="T56" t="s">
        <v>351</v>
      </c>
      <c r="U56">
        <v>35.99</v>
      </c>
      <c r="V56">
        <v>29.99</v>
      </c>
      <c r="W56">
        <v>29.99</v>
      </c>
      <c r="X56">
        <v>0</v>
      </c>
      <c r="Y56" t="s">
        <v>359</v>
      </c>
      <c r="AA56">
        <v>0</v>
      </c>
      <c r="AB56">
        <v>0</v>
      </c>
      <c r="AC56">
        <v>0</v>
      </c>
      <c r="AD56">
        <v>0</v>
      </c>
      <c r="AE56">
        <v>1.52</v>
      </c>
      <c r="AF56">
        <v>0.186875</v>
      </c>
      <c r="AG56" t="s">
        <v>340</v>
      </c>
      <c r="AH56" t="s">
        <v>341</v>
      </c>
      <c r="AI56">
        <v>3.550625</v>
      </c>
      <c r="AJ56" t="s">
        <v>342</v>
      </c>
      <c r="AK56" t="s">
        <v>353</v>
      </c>
      <c r="AL56">
        <v>337906</v>
      </c>
      <c r="AM56">
        <v>85</v>
      </c>
      <c r="AN56">
        <v>0</v>
      </c>
      <c r="AO56">
        <v>19</v>
      </c>
      <c r="AP56">
        <v>18</v>
      </c>
      <c r="AQ56">
        <v>28.49</v>
      </c>
      <c r="AR56">
        <v>28.49</v>
      </c>
      <c r="AS56">
        <v>343.38</v>
      </c>
      <c r="AT56">
        <v>805.22</v>
      </c>
      <c r="AU56">
        <v>1195.09</v>
      </c>
      <c r="AV56">
        <v>6</v>
      </c>
      <c r="AW56">
        <v>22</v>
      </c>
      <c r="AX56">
        <v>0</v>
      </c>
      <c r="AY56">
        <v>0</v>
      </c>
      <c r="AZ56">
        <v>0</v>
      </c>
      <c r="BA56">
        <v>5.45</v>
      </c>
      <c r="BB56">
        <v>39</v>
      </c>
      <c r="BC56">
        <v>15</v>
      </c>
      <c r="BD56">
        <v>24</v>
      </c>
      <c r="BE56">
        <v>0</v>
      </c>
      <c r="BG56">
        <v>1</v>
      </c>
      <c r="BH56">
        <v>2</v>
      </c>
      <c r="BY56">
        <v>62.8</v>
      </c>
      <c r="BZ56">
        <v>26</v>
      </c>
      <c r="CA56" t="s">
        <v>344</v>
      </c>
      <c r="CD56" s="5">
        <v>46188</v>
      </c>
      <c r="CE56" t="s">
        <v>345</v>
      </c>
      <c r="CF56" t="s">
        <v>346</v>
      </c>
      <c r="CG56">
        <v>62.8</v>
      </c>
      <c r="CH56">
        <v>50.2</v>
      </c>
      <c r="CI56" s="5">
        <v>46186</v>
      </c>
      <c r="CJ56">
        <v>64</v>
      </c>
      <c r="CK56">
        <v>6</v>
      </c>
      <c r="CL56">
        <v>0</v>
      </c>
      <c r="CM56">
        <v>1</v>
      </c>
      <c r="CN56">
        <v>0</v>
      </c>
      <c r="CO56">
        <v>115</v>
      </c>
      <c r="CP56" t="s">
        <v>347</v>
      </c>
      <c r="CQ56" t="s">
        <v>348</v>
      </c>
    </row>
    <row r="57" spans="1:95">
      <c r="A57" s="5">
        <v>46189</v>
      </c>
      <c r="B57" t="s">
        <v>1849</v>
      </c>
      <c r="C57" t="s">
        <v>1850</v>
      </c>
      <c r="D57" t="s">
        <v>1851</v>
      </c>
      <c r="E57" t="s">
        <v>1852</v>
      </c>
      <c r="F57" t="s">
        <v>337</v>
      </c>
      <c r="G57">
        <v>27</v>
      </c>
      <c r="H57">
        <v>0</v>
      </c>
      <c r="I57">
        <v>12</v>
      </c>
      <c r="J57">
        <v>0</v>
      </c>
      <c r="K57">
        <v>13</v>
      </c>
      <c r="L57">
        <v>0</v>
      </c>
      <c r="M57">
        <v>0</v>
      </c>
      <c r="N57">
        <v>0</v>
      </c>
      <c r="O57" t="s">
        <v>338</v>
      </c>
      <c r="P57">
        <v>0</v>
      </c>
      <c r="Q57">
        <v>0</v>
      </c>
      <c r="R57">
        <v>1</v>
      </c>
      <c r="S57">
        <v>1</v>
      </c>
      <c r="T57" t="s">
        <v>351</v>
      </c>
      <c r="U57">
        <v>45.99</v>
      </c>
      <c r="V57">
        <v>25.99</v>
      </c>
      <c r="W57">
        <v>25.99</v>
      </c>
      <c r="X57">
        <v>0</v>
      </c>
      <c r="Y57" t="s">
        <v>516</v>
      </c>
      <c r="AA57">
        <v>0</v>
      </c>
      <c r="AB57">
        <v>0</v>
      </c>
      <c r="AC57">
        <v>0</v>
      </c>
      <c r="AD57">
        <v>330.19</v>
      </c>
      <c r="AE57">
        <v>0.04</v>
      </c>
      <c r="AF57">
        <v>0.041759</v>
      </c>
      <c r="AG57" t="s">
        <v>340</v>
      </c>
      <c r="AH57" t="s">
        <v>341</v>
      </c>
      <c r="AI57">
        <v>1.127493</v>
      </c>
      <c r="AJ57" t="s">
        <v>342</v>
      </c>
      <c r="AK57" t="s">
        <v>404</v>
      </c>
      <c r="AL57">
        <v>1037383</v>
      </c>
      <c r="AM57">
        <v>366</v>
      </c>
      <c r="AN57">
        <v>27</v>
      </c>
      <c r="AP57">
        <v>351</v>
      </c>
      <c r="AQ57">
        <v>25.99</v>
      </c>
      <c r="AR57">
        <v>0</v>
      </c>
      <c r="AS57">
        <v>0</v>
      </c>
      <c r="AT57">
        <v>25.99</v>
      </c>
      <c r="AU57">
        <v>25.99</v>
      </c>
      <c r="AV57">
        <v>0</v>
      </c>
      <c r="AW57">
        <v>0</v>
      </c>
      <c r="AX57">
        <v>12</v>
      </c>
      <c r="AY57">
        <v>13</v>
      </c>
      <c r="AZ57">
        <v>0</v>
      </c>
      <c r="BA57">
        <v>1.39</v>
      </c>
      <c r="BB57">
        <v>0</v>
      </c>
      <c r="BC57">
        <v>0</v>
      </c>
      <c r="BD57">
        <v>0</v>
      </c>
      <c r="BE57">
        <v>0</v>
      </c>
      <c r="BG57">
        <v>1</v>
      </c>
      <c r="BH57">
        <v>0</v>
      </c>
      <c r="BI57">
        <v>13</v>
      </c>
      <c r="BJ57">
        <v>0.26</v>
      </c>
      <c r="BK57">
        <v>0</v>
      </c>
      <c r="BL57">
        <v>0</v>
      </c>
      <c r="BM57">
        <v>0</v>
      </c>
      <c r="BN57">
        <v>0</v>
      </c>
      <c r="BO57">
        <v>0</v>
      </c>
      <c r="BP57">
        <v>0</v>
      </c>
      <c r="BQ57">
        <v>0</v>
      </c>
      <c r="BR57">
        <v>0</v>
      </c>
      <c r="BS57">
        <v>0</v>
      </c>
      <c r="BT57">
        <v>0</v>
      </c>
      <c r="BU57">
        <v>0</v>
      </c>
      <c r="BV57">
        <v>0</v>
      </c>
      <c r="BW57">
        <v>0</v>
      </c>
      <c r="BX57">
        <v>0</v>
      </c>
      <c r="BZ57">
        <v>3</v>
      </c>
      <c r="CA57" t="s">
        <v>354</v>
      </c>
      <c r="CH57">
        <v>2137</v>
      </c>
      <c r="CI57" s="5">
        <v>46186</v>
      </c>
      <c r="CJ57">
        <v>27</v>
      </c>
      <c r="CK57">
        <v>0</v>
      </c>
      <c r="CL57">
        <v>1</v>
      </c>
      <c r="CM57">
        <v>0</v>
      </c>
      <c r="CN57">
        <v>0</v>
      </c>
      <c r="CO57">
        <v>366</v>
      </c>
      <c r="CP57" t="s">
        <v>347</v>
      </c>
      <c r="CQ57" t="s">
        <v>348</v>
      </c>
    </row>
    <row r="58" spans="1:95">
      <c r="A58" s="5">
        <v>46189</v>
      </c>
      <c r="B58" t="s">
        <v>1528</v>
      </c>
      <c r="C58" t="s">
        <v>1529</v>
      </c>
      <c r="D58" t="s">
        <v>1527</v>
      </c>
      <c r="E58" t="s">
        <v>1853</v>
      </c>
      <c r="F58" t="s">
        <v>337</v>
      </c>
      <c r="G58">
        <v>43</v>
      </c>
      <c r="H58">
        <v>0</v>
      </c>
      <c r="I58">
        <v>43</v>
      </c>
      <c r="J58">
        <v>0</v>
      </c>
      <c r="K58">
        <v>0</v>
      </c>
      <c r="L58">
        <v>0</v>
      </c>
      <c r="M58">
        <v>0</v>
      </c>
      <c r="N58">
        <v>0</v>
      </c>
      <c r="O58" t="s">
        <v>338</v>
      </c>
      <c r="P58">
        <v>2</v>
      </c>
      <c r="Q58">
        <v>14</v>
      </c>
      <c r="R58">
        <v>32</v>
      </c>
      <c r="S58">
        <v>58</v>
      </c>
      <c r="U58">
        <v>99.99</v>
      </c>
      <c r="V58">
        <v>79.99</v>
      </c>
      <c r="W58">
        <v>79.99</v>
      </c>
      <c r="X58">
        <v>0</v>
      </c>
      <c r="Y58" t="s">
        <v>359</v>
      </c>
      <c r="AA58">
        <v>0</v>
      </c>
      <c r="AB58">
        <v>0</v>
      </c>
      <c r="AC58">
        <v>0</v>
      </c>
      <c r="AD58">
        <v>0</v>
      </c>
      <c r="AE58">
        <v>1.45</v>
      </c>
      <c r="AF58">
        <v>1.335208</v>
      </c>
      <c r="AG58" t="s">
        <v>340</v>
      </c>
      <c r="AH58" t="s">
        <v>424</v>
      </c>
      <c r="AI58">
        <v>57.413944</v>
      </c>
      <c r="AJ58" t="s">
        <v>342</v>
      </c>
      <c r="AK58" t="s">
        <v>353</v>
      </c>
      <c r="AL58">
        <v>192027</v>
      </c>
      <c r="AM58">
        <v>63</v>
      </c>
      <c r="AN58">
        <v>0</v>
      </c>
      <c r="AO58">
        <v>22</v>
      </c>
      <c r="AP58">
        <v>17</v>
      </c>
      <c r="AQ58">
        <v>79.99</v>
      </c>
      <c r="AR58">
        <v>159.98</v>
      </c>
      <c r="AS58">
        <v>1119.86</v>
      </c>
      <c r="AT58">
        <v>2559.68</v>
      </c>
      <c r="AU58">
        <v>4639.42</v>
      </c>
      <c r="AV58">
        <v>36</v>
      </c>
      <c r="AW58">
        <v>7</v>
      </c>
      <c r="AX58">
        <v>0</v>
      </c>
      <c r="AY58">
        <v>0</v>
      </c>
      <c r="AZ58">
        <v>0</v>
      </c>
      <c r="BA58">
        <v>28.39</v>
      </c>
      <c r="BB58">
        <v>34</v>
      </c>
      <c r="BC58">
        <v>28</v>
      </c>
      <c r="BD58">
        <v>6</v>
      </c>
      <c r="BE58">
        <v>0</v>
      </c>
      <c r="BG58">
        <v>0</v>
      </c>
      <c r="BH58">
        <v>0</v>
      </c>
      <c r="BY58">
        <v>63.5</v>
      </c>
      <c r="BZ58">
        <v>32</v>
      </c>
      <c r="CA58" t="s">
        <v>360</v>
      </c>
      <c r="CD58" s="5">
        <v>46188</v>
      </c>
      <c r="CE58" t="s">
        <v>345</v>
      </c>
      <c r="CF58" t="s">
        <v>346</v>
      </c>
      <c r="CG58">
        <v>63.5</v>
      </c>
      <c r="CH58">
        <v>53.8</v>
      </c>
      <c r="CI58" s="5">
        <v>46186</v>
      </c>
      <c r="CJ58">
        <v>77</v>
      </c>
      <c r="CK58">
        <v>0</v>
      </c>
      <c r="CL58">
        <v>0</v>
      </c>
      <c r="CM58">
        <v>0</v>
      </c>
      <c r="CN58">
        <v>0</v>
      </c>
      <c r="CO58">
        <v>94</v>
      </c>
      <c r="CP58" t="s">
        <v>347</v>
      </c>
      <c r="CQ58" t="s">
        <v>348</v>
      </c>
    </row>
    <row r="59" spans="1:95">
      <c r="A59" s="5">
        <v>46189</v>
      </c>
      <c r="B59" t="s">
        <v>103</v>
      </c>
      <c r="C59" t="s">
        <v>103</v>
      </c>
      <c r="D59" t="s">
        <v>1854</v>
      </c>
      <c r="E59" t="s">
        <v>598</v>
      </c>
      <c r="G59">
        <v>0</v>
      </c>
      <c r="H59">
        <v>-1</v>
      </c>
      <c r="O59" t="s">
        <v>338</v>
      </c>
      <c r="U59">
        <v>0</v>
      </c>
      <c r="V59">
        <v>0</v>
      </c>
      <c r="W59">
        <v>0</v>
      </c>
      <c r="X59">
        <v>0</v>
      </c>
      <c r="Y59" t="s">
        <v>359</v>
      </c>
      <c r="AB59">
        <v>0</v>
      </c>
      <c r="AC59">
        <v>0</v>
      </c>
      <c r="AE59">
        <v>-1</v>
      </c>
      <c r="AH59" t="s">
        <v>341</v>
      </c>
      <c r="AJ59" t="s">
        <v>342</v>
      </c>
      <c r="AK59" t="s">
        <v>343</v>
      </c>
      <c r="AL59">
        <v>1351087</v>
      </c>
      <c r="AM59">
        <v>0</v>
      </c>
      <c r="AN59">
        <v>0</v>
      </c>
      <c r="AQ59">
        <v>33.99</v>
      </c>
      <c r="AY59">
        <v>0</v>
      </c>
      <c r="BB59">
        <v>0</v>
      </c>
      <c r="BG59">
        <v>0</v>
      </c>
      <c r="BH59">
        <v>0</v>
      </c>
      <c r="CJ59">
        <v>0</v>
      </c>
      <c r="CK59">
        <v>0</v>
      </c>
      <c r="CL59">
        <v>0</v>
      </c>
      <c r="CM59">
        <v>0</v>
      </c>
      <c r="CN59">
        <v>0</v>
      </c>
      <c r="CO59">
        <v>0</v>
      </c>
      <c r="CP59" t="s">
        <v>347</v>
      </c>
      <c r="CQ59" t="s">
        <v>348</v>
      </c>
    </row>
    <row r="60" spans="1:95">
      <c r="A60" s="5">
        <v>46189</v>
      </c>
      <c r="B60" t="s">
        <v>1855</v>
      </c>
      <c r="C60" t="s">
        <v>1856</v>
      </c>
      <c r="D60" t="s">
        <v>1857</v>
      </c>
      <c r="E60" t="s">
        <v>1858</v>
      </c>
      <c r="G60">
        <v>0</v>
      </c>
      <c r="H60">
        <v>-1</v>
      </c>
      <c r="O60" t="s">
        <v>338</v>
      </c>
      <c r="U60">
        <v>0</v>
      </c>
      <c r="V60">
        <v>0</v>
      </c>
      <c r="W60">
        <v>0</v>
      </c>
      <c r="X60">
        <v>0</v>
      </c>
      <c r="Y60" t="s">
        <v>372</v>
      </c>
      <c r="AB60">
        <v>0</v>
      </c>
      <c r="AC60">
        <v>0</v>
      </c>
      <c r="AE60">
        <v>-1</v>
      </c>
      <c r="AH60" t="s">
        <v>341</v>
      </c>
      <c r="AJ60" t="s">
        <v>342</v>
      </c>
      <c r="AK60" t="s">
        <v>353</v>
      </c>
      <c r="AN60">
        <v>0</v>
      </c>
      <c r="AQ60">
        <v>75.99</v>
      </c>
      <c r="AY60">
        <v>0</v>
      </c>
      <c r="BB60">
        <v>28</v>
      </c>
      <c r="BC60">
        <v>0</v>
      </c>
      <c r="BD60">
        <v>0</v>
      </c>
      <c r="BE60">
        <v>28</v>
      </c>
      <c r="BG60">
        <v>0</v>
      </c>
      <c r="BH60">
        <v>0</v>
      </c>
      <c r="CJ60">
        <v>28</v>
      </c>
      <c r="CK60">
        <v>0</v>
      </c>
      <c r="CL60">
        <v>0</v>
      </c>
      <c r="CM60">
        <v>0</v>
      </c>
      <c r="CN60">
        <v>0</v>
      </c>
      <c r="CP60" t="s">
        <v>347</v>
      </c>
      <c r="CQ60" t="s">
        <v>348</v>
      </c>
    </row>
    <row r="61" spans="1:95">
      <c r="A61" s="5">
        <v>46189</v>
      </c>
      <c r="B61" t="s">
        <v>1532</v>
      </c>
      <c r="C61" t="s">
        <v>117</v>
      </c>
      <c r="D61" t="s">
        <v>1531</v>
      </c>
      <c r="E61" t="s">
        <v>1859</v>
      </c>
      <c r="F61" t="s">
        <v>337</v>
      </c>
      <c r="G61">
        <v>30</v>
      </c>
      <c r="H61">
        <v>0</v>
      </c>
      <c r="I61">
        <v>0</v>
      </c>
      <c r="J61">
        <v>30</v>
      </c>
      <c r="K61">
        <v>0</v>
      </c>
      <c r="L61">
        <v>0</v>
      </c>
      <c r="M61">
        <v>0</v>
      </c>
      <c r="N61">
        <v>0</v>
      </c>
      <c r="O61" t="s">
        <v>338</v>
      </c>
      <c r="T61" t="s">
        <v>351</v>
      </c>
      <c r="U61">
        <v>22.99</v>
      </c>
      <c r="V61">
        <v>0</v>
      </c>
      <c r="W61">
        <v>19.99</v>
      </c>
      <c r="X61">
        <v>0</v>
      </c>
      <c r="Y61" t="s">
        <v>391</v>
      </c>
      <c r="AA61">
        <v>0</v>
      </c>
      <c r="AB61">
        <v>0</v>
      </c>
      <c r="AC61">
        <v>0</v>
      </c>
      <c r="AD61">
        <v>682.06</v>
      </c>
      <c r="AE61">
        <v>0</v>
      </c>
      <c r="AF61">
        <v>0.09614</v>
      </c>
      <c r="AG61" t="s">
        <v>340</v>
      </c>
      <c r="AH61" t="s">
        <v>341</v>
      </c>
      <c r="AI61">
        <v>2.8842</v>
      </c>
      <c r="AJ61" t="s">
        <v>342</v>
      </c>
      <c r="AK61" t="s">
        <v>353</v>
      </c>
      <c r="AL61">
        <v>621422</v>
      </c>
      <c r="AM61">
        <v>366</v>
      </c>
      <c r="AN61">
        <v>30</v>
      </c>
      <c r="AQ61">
        <v>19.99</v>
      </c>
      <c r="AV61">
        <v>0</v>
      </c>
      <c r="AW61">
        <v>0</v>
      </c>
      <c r="AX61">
        <v>0</v>
      </c>
      <c r="AY61">
        <v>0</v>
      </c>
      <c r="AZ61">
        <v>0</v>
      </c>
      <c r="BA61">
        <v>2.06</v>
      </c>
      <c r="BB61">
        <v>0</v>
      </c>
      <c r="BC61">
        <v>0</v>
      </c>
      <c r="BD61">
        <v>0</v>
      </c>
      <c r="BE61">
        <v>0</v>
      </c>
      <c r="BG61">
        <v>0</v>
      </c>
      <c r="BH61">
        <v>0</v>
      </c>
      <c r="CA61" t="s">
        <v>354</v>
      </c>
      <c r="CI61" s="5">
        <v>46186</v>
      </c>
      <c r="CJ61">
        <v>30</v>
      </c>
      <c r="CK61">
        <v>0</v>
      </c>
      <c r="CL61">
        <v>0</v>
      </c>
      <c r="CM61">
        <v>0</v>
      </c>
      <c r="CN61">
        <v>0</v>
      </c>
      <c r="CO61">
        <v>366</v>
      </c>
      <c r="CP61" t="s">
        <v>347</v>
      </c>
      <c r="CQ61" t="s">
        <v>348</v>
      </c>
    </row>
    <row r="62" spans="1:95">
      <c r="A62" s="5">
        <v>46189</v>
      </c>
      <c r="B62" t="s">
        <v>1535</v>
      </c>
      <c r="C62" t="s">
        <v>1536</v>
      </c>
      <c r="D62" t="s">
        <v>1534</v>
      </c>
      <c r="E62" t="s">
        <v>1766</v>
      </c>
      <c r="F62" t="s">
        <v>337</v>
      </c>
      <c r="G62">
        <v>23</v>
      </c>
      <c r="H62">
        <v>-1</v>
      </c>
      <c r="O62" t="s">
        <v>338</v>
      </c>
      <c r="U62">
        <v>38.99</v>
      </c>
      <c r="V62">
        <v>0</v>
      </c>
      <c r="W62">
        <v>0</v>
      </c>
      <c r="X62">
        <v>0</v>
      </c>
      <c r="Y62" t="s">
        <v>372</v>
      </c>
      <c r="AA62">
        <v>0</v>
      </c>
      <c r="AB62">
        <v>0</v>
      </c>
      <c r="AC62">
        <v>0</v>
      </c>
      <c r="AD62">
        <v>764.57</v>
      </c>
      <c r="AE62">
        <v>-1</v>
      </c>
      <c r="AH62" t="s">
        <v>341</v>
      </c>
      <c r="AJ62" t="s">
        <v>342</v>
      </c>
      <c r="AK62" t="s">
        <v>353</v>
      </c>
      <c r="AL62">
        <v>420629</v>
      </c>
      <c r="AM62">
        <v>282</v>
      </c>
      <c r="AN62">
        <v>0</v>
      </c>
      <c r="AQ62">
        <v>31.99</v>
      </c>
      <c r="AY62">
        <v>0</v>
      </c>
      <c r="BA62">
        <v>1.46</v>
      </c>
      <c r="BB62">
        <v>0</v>
      </c>
      <c r="BC62">
        <v>0</v>
      </c>
      <c r="BD62">
        <v>0</v>
      </c>
      <c r="BE62">
        <v>0</v>
      </c>
      <c r="BG62">
        <v>3</v>
      </c>
      <c r="BH62">
        <v>0</v>
      </c>
      <c r="BY62">
        <v>1199.5</v>
      </c>
      <c r="BZ62">
        <v>3</v>
      </c>
      <c r="CA62" t="s">
        <v>360</v>
      </c>
      <c r="CD62" s="5">
        <v>46188</v>
      </c>
      <c r="CE62" t="s">
        <v>345</v>
      </c>
      <c r="CF62" t="s">
        <v>346</v>
      </c>
      <c r="CG62">
        <v>773</v>
      </c>
      <c r="CH62">
        <v>1199.5</v>
      </c>
      <c r="CJ62">
        <v>23</v>
      </c>
      <c r="CK62">
        <v>0</v>
      </c>
      <c r="CL62">
        <v>3</v>
      </c>
      <c r="CM62">
        <v>0</v>
      </c>
      <c r="CN62">
        <v>0</v>
      </c>
      <c r="CO62">
        <v>327</v>
      </c>
      <c r="CP62" t="s">
        <v>347</v>
      </c>
      <c r="CQ62" t="s">
        <v>348</v>
      </c>
    </row>
    <row r="63" spans="1:95">
      <c r="A63" s="5">
        <v>46189</v>
      </c>
      <c r="B63" t="s">
        <v>1860</v>
      </c>
      <c r="C63" t="s">
        <v>1861</v>
      </c>
      <c r="D63" t="s">
        <v>1862</v>
      </c>
      <c r="E63" t="s">
        <v>1863</v>
      </c>
      <c r="G63">
        <v>0</v>
      </c>
      <c r="H63">
        <v>-1</v>
      </c>
      <c r="O63" t="s">
        <v>338</v>
      </c>
      <c r="P63">
        <v>0</v>
      </c>
      <c r="Q63">
        <v>0</v>
      </c>
      <c r="R63">
        <v>0</v>
      </c>
      <c r="S63">
        <v>0</v>
      </c>
      <c r="U63">
        <v>0</v>
      </c>
      <c r="V63">
        <v>0</v>
      </c>
      <c r="W63">
        <v>0</v>
      </c>
      <c r="X63">
        <v>0</v>
      </c>
      <c r="Y63" t="s">
        <v>359</v>
      </c>
      <c r="AB63">
        <v>0</v>
      </c>
      <c r="AC63">
        <v>0</v>
      </c>
      <c r="AE63">
        <v>-1</v>
      </c>
      <c r="AH63" t="s">
        <v>341</v>
      </c>
      <c r="AJ63" t="s">
        <v>342</v>
      </c>
      <c r="AK63" t="s">
        <v>353</v>
      </c>
      <c r="AM63">
        <v>0</v>
      </c>
      <c r="AN63">
        <v>0</v>
      </c>
      <c r="AQ63">
        <v>33.99</v>
      </c>
      <c r="AR63">
        <v>0</v>
      </c>
      <c r="AS63">
        <v>0</v>
      </c>
      <c r="AT63">
        <v>0</v>
      </c>
      <c r="AU63">
        <v>0</v>
      </c>
      <c r="AY63">
        <v>0</v>
      </c>
      <c r="BB63">
        <v>0</v>
      </c>
      <c r="BC63">
        <v>0</v>
      </c>
      <c r="BD63">
        <v>0</v>
      </c>
      <c r="BE63">
        <v>0</v>
      </c>
      <c r="BG63">
        <v>0</v>
      </c>
      <c r="BH63">
        <v>0</v>
      </c>
      <c r="BZ63">
        <v>1</v>
      </c>
      <c r="CA63" t="s">
        <v>429</v>
      </c>
      <c r="CJ63">
        <v>0</v>
      </c>
      <c r="CK63">
        <v>0</v>
      </c>
      <c r="CL63">
        <v>0</v>
      </c>
      <c r="CM63">
        <v>0</v>
      </c>
      <c r="CN63">
        <v>0</v>
      </c>
      <c r="CO63">
        <v>0</v>
      </c>
      <c r="CQ63" t="s">
        <v>348</v>
      </c>
    </row>
    <row r="64" spans="1:95">
      <c r="A64" s="5">
        <v>46189</v>
      </c>
      <c r="B64" t="s">
        <v>1537</v>
      </c>
      <c r="C64" t="s">
        <v>78</v>
      </c>
      <c r="D64" t="s">
        <v>88</v>
      </c>
      <c r="E64" t="s">
        <v>1864</v>
      </c>
      <c r="F64" t="s">
        <v>337</v>
      </c>
      <c r="G64">
        <v>36</v>
      </c>
      <c r="H64">
        <v>0</v>
      </c>
      <c r="I64">
        <v>0</v>
      </c>
      <c r="J64">
        <v>36</v>
      </c>
      <c r="K64">
        <v>0</v>
      </c>
      <c r="L64">
        <v>0</v>
      </c>
      <c r="M64">
        <v>0</v>
      </c>
      <c r="N64">
        <v>0</v>
      </c>
      <c r="O64" t="s">
        <v>338</v>
      </c>
      <c r="P64">
        <v>0</v>
      </c>
      <c r="Q64">
        <v>0</v>
      </c>
      <c r="R64">
        <v>1</v>
      </c>
      <c r="S64">
        <v>5</v>
      </c>
      <c r="T64" t="s">
        <v>351</v>
      </c>
      <c r="U64">
        <v>39.99</v>
      </c>
      <c r="V64">
        <v>19.99</v>
      </c>
      <c r="W64">
        <v>19.99</v>
      </c>
      <c r="X64">
        <v>0</v>
      </c>
      <c r="Y64" t="s">
        <v>613</v>
      </c>
      <c r="AA64">
        <v>0</v>
      </c>
      <c r="AB64">
        <v>0</v>
      </c>
      <c r="AC64">
        <v>0</v>
      </c>
      <c r="AD64">
        <v>1176.41</v>
      </c>
      <c r="AE64">
        <v>0.13</v>
      </c>
      <c r="AF64">
        <v>0.114396</v>
      </c>
      <c r="AG64" t="s">
        <v>340</v>
      </c>
      <c r="AH64" t="s">
        <v>341</v>
      </c>
      <c r="AI64">
        <v>4.118256</v>
      </c>
      <c r="AJ64" t="s">
        <v>342</v>
      </c>
      <c r="AK64" t="s">
        <v>353</v>
      </c>
      <c r="AL64">
        <v>749084</v>
      </c>
      <c r="AM64">
        <v>287</v>
      </c>
      <c r="AN64">
        <v>36</v>
      </c>
      <c r="AP64">
        <v>93</v>
      </c>
      <c r="AQ64">
        <v>19.99</v>
      </c>
      <c r="AR64">
        <v>0</v>
      </c>
      <c r="AS64">
        <v>0</v>
      </c>
      <c r="AT64">
        <v>19.99</v>
      </c>
      <c r="AU64">
        <v>90.95</v>
      </c>
      <c r="AV64">
        <v>0</v>
      </c>
      <c r="AW64">
        <v>0</v>
      </c>
      <c r="AX64">
        <v>0</v>
      </c>
      <c r="AY64">
        <v>0</v>
      </c>
      <c r="AZ64">
        <v>0</v>
      </c>
      <c r="BA64">
        <v>2.94</v>
      </c>
      <c r="BB64">
        <v>0</v>
      </c>
      <c r="BC64">
        <v>0</v>
      </c>
      <c r="BD64">
        <v>0</v>
      </c>
      <c r="BE64">
        <v>0</v>
      </c>
      <c r="BG64">
        <v>0</v>
      </c>
      <c r="BH64">
        <v>0</v>
      </c>
      <c r="BZ64">
        <v>5</v>
      </c>
      <c r="CA64" t="s">
        <v>354</v>
      </c>
      <c r="CH64">
        <v>665.8</v>
      </c>
      <c r="CI64" s="5">
        <v>46186</v>
      </c>
      <c r="CJ64">
        <v>36</v>
      </c>
      <c r="CK64">
        <v>0</v>
      </c>
      <c r="CL64">
        <v>0</v>
      </c>
      <c r="CM64">
        <v>0</v>
      </c>
      <c r="CN64">
        <v>0</v>
      </c>
      <c r="CO64">
        <v>287</v>
      </c>
      <c r="CP64" t="s">
        <v>347</v>
      </c>
      <c r="CQ64" t="s">
        <v>348</v>
      </c>
    </row>
    <row r="65" spans="1:95">
      <c r="A65" s="5">
        <v>46189</v>
      </c>
      <c r="B65" t="s">
        <v>1865</v>
      </c>
      <c r="C65" t="s">
        <v>1866</v>
      </c>
      <c r="D65" t="s">
        <v>1867</v>
      </c>
      <c r="E65" t="s">
        <v>1868</v>
      </c>
      <c r="G65">
        <v>0</v>
      </c>
      <c r="H65">
        <v>-1</v>
      </c>
      <c r="O65" t="s">
        <v>338</v>
      </c>
      <c r="P65">
        <v>0</v>
      </c>
      <c r="Q65">
        <v>0</v>
      </c>
      <c r="R65">
        <v>9</v>
      </c>
      <c r="S65">
        <v>10</v>
      </c>
      <c r="U65">
        <v>0</v>
      </c>
      <c r="V65">
        <v>0</v>
      </c>
      <c r="W65">
        <v>0</v>
      </c>
      <c r="X65">
        <v>0</v>
      </c>
      <c r="Y65" t="s">
        <v>464</v>
      </c>
      <c r="AB65">
        <v>0</v>
      </c>
      <c r="AC65">
        <v>0</v>
      </c>
      <c r="AE65">
        <v>-1</v>
      </c>
      <c r="AH65" t="s">
        <v>341</v>
      </c>
      <c r="AJ65" t="s">
        <v>342</v>
      </c>
      <c r="AK65" t="s">
        <v>353</v>
      </c>
      <c r="AL65">
        <v>247408</v>
      </c>
      <c r="AM65">
        <v>0</v>
      </c>
      <c r="AN65">
        <v>0</v>
      </c>
      <c r="AP65">
        <v>0</v>
      </c>
      <c r="AQ65">
        <v>26.99</v>
      </c>
      <c r="AR65">
        <v>0</v>
      </c>
      <c r="AS65">
        <v>0</v>
      </c>
      <c r="AT65">
        <v>230.76</v>
      </c>
      <c r="AU65">
        <v>256.4</v>
      </c>
      <c r="AY65">
        <v>0</v>
      </c>
      <c r="BB65">
        <v>0</v>
      </c>
      <c r="BC65">
        <v>0</v>
      </c>
      <c r="BD65">
        <v>0</v>
      </c>
      <c r="BE65">
        <v>0</v>
      </c>
      <c r="BG65">
        <v>0</v>
      </c>
      <c r="BH65">
        <v>7</v>
      </c>
      <c r="BZ65">
        <v>1</v>
      </c>
      <c r="CA65" t="s">
        <v>429</v>
      </c>
      <c r="CH65">
        <v>34.3</v>
      </c>
      <c r="CJ65">
        <v>0</v>
      </c>
      <c r="CK65">
        <v>0</v>
      </c>
      <c r="CL65">
        <v>0</v>
      </c>
      <c r="CM65">
        <v>0</v>
      </c>
      <c r="CN65">
        <v>0</v>
      </c>
      <c r="CO65">
        <v>0</v>
      </c>
      <c r="CP65" t="s">
        <v>347</v>
      </c>
      <c r="CQ65" t="s">
        <v>348</v>
      </c>
    </row>
    <row r="66" spans="1:95">
      <c r="A66" s="5">
        <v>46189</v>
      </c>
      <c r="B66" t="s">
        <v>1869</v>
      </c>
      <c r="C66" t="s">
        <v>1870</v>
      </c>
      <c r="D66" t="s">
        <v>1871</v>
      </c>
      <c r="E66" t="s">
        <v>1872</v>
      </c>
      <c r="G66">
        <v>0</v>
      </c>
      <c r="H66">
        <v>-1</v>
      </c>
      <c r="O66" t="s">
        <v>338</v>
      </c>
      <c r="U66">
        <v>0</v>
      </c>
      <c r="V66">
        <v>0</v>
      </c>
      <c r="W66">
        <v>0</v>
      </c>
      <c r="X66">
        <v>0</v>
      </c>
      <c r="Y66" t="s">
        <v>359</v>
      </c>
      <c r="AB66">
        <v>0</v>
      </c>
      <c r="AC66">
        <v>0</v>
      </c>
      <c r="AE66">
        <v>-1</v>
      </c>
      <c r="AH66" t="s">
        <v>341</v>
      </c>
      <c r="AJ66" t="s">
        <v>342</v>
      </c>
      <c r="AK66" t="s">
        <v>353</v>
      </c>
      <c r="AN66">
        <v>0</v>
      </c>
      <c r="AY66">
        <v>0</v>
      </c>
      <c r="BB66">
        <v>0</v>
      </c>
      <c r="BG66">
        <v>0</v>
      </c>
      <c r="BH66">
        <v>0</v>
      </c>
      <c r="CJ66">
        <v>0</v>
      </c>
      <c r="CK66">
        <v>0</v>
      </c>
      <c r="CL66">
        <v>0</v>
      </c>
      <c r="CM66">
        <v>0</v>
      </c>
      <c r="CN66">
        <v>0</v>
      </c>
      <c r="CP66" t="s">
        <v>347</v>
      </c>
      <c r="CQ66" t="s">
        <v>348</v>
      </c>
    </row>
    <row r="67" spans="1:95">
      <c r="A67" s="5">
        <v>46189</v>
      </c>
      <c r="B67" t="s">
        <v>1873</v>
      </c>
      <c r="C67" t="s">
        <v>1874</v>
      </c>
      <c r="D67" t="s">
        <v>1875</v>
      </c>
      <c r="E67" t="s">
        <v>1876</v>
      </c>
      <c r="F67" t="s">
        <v>337</v>
      </c>
      <c r="G67">
        <v>10</v>
      </c>
      <c r="H67">
        <v>0</v>
      </c>
      <c r="I67">
        <v>0</v>
      </c>
      <c r="J67">
        <v>0</v>
      </c>
      <c r="K67">
        <v>0</v>
      </c>
      <c r="L67">
        <v>0</v>
      </c>
      <c r="M67">
        <v>10</v>
      </c>
      <c r="N67">
        <v>0</v>
      </c>
      <c r="O67" t="s">
        <v>338</v>
      </c>
      <c r="P67">
        <v>1</v>
      </c>
      <c r="Q67">
        <v>1</v>
      </c>
      <c r="R67">
        <v>1</v>
      </c>
      <c r="S67">
        <v>3</v>
      </c>
      <c r="T67" t="s">
        <v>351</v>
      </c>
      <c r="U67">
        <v>69.99</v>
      </c>
      <c r="V67">
        <v>19.99</v>
      </c>
      <c r="W67">
        <v>19.99</v>
      </c>
      <c r="X67">
        <v>0</v>
      </c>
      <c r="Y67" t="s">
        <v>359</v>
      </c>
      <c r="AA67">
        <v>0</v>
      </c>
      <c r="AB67">
        <v>0</v>
      </c>
      <c r="AC67">
        <v>0</v>
      </c>
      <c r="AD67">
        <v>615.98</v>
      </c>
      <c r="AE67">
        <v>0.27</v>
      </c>
      <c r="AF67">
        <v>0.226431</v>
      </c>
      <c r="AG67" t="s">
        <v>340</v>
      </c>
      <c r="AH67" t="s">
        <v>341</v>
      </c>
      <c r="AI67">
        <v>2.26431</v>
      </c>
      <c r="AJ67" t="s">
        <v>342</v>
      </c>
      <c r="AK67" t="s">
        <v>353</v>
      </c>
      <c r="AL67">
        <v>244622</v>
      </c>
      <c r="AM67">
        <v>186</v>
      </c>
      <c r="AN67">
        <v>10</v>
      </c>
      <c r="AO67">
        <v>40</v>
      </c>
      <c r="AP67">
        <v>43</v>
      </c>
      <c r="AQ67">
        <v>19.99</v>
      </c>
      <c r="AR67">
        <v>19.99</v>
      </c>
      <c r="AS67">
        <v>19.99</v>
      </c>
      <c r="AT67">
        <v>19.99</v>
      </c>
      <c r="AU67">
        <v>75.97</v>
      </c>
      <c r="AV67">
        <v>0</v>
      </c>
      <c r="AW67">
        <v>0</v>
      </c>
      <c r="AX67">
        <v>0</v>
      </c>
      <c r="AY67">
        <v>0</v>
      </c>
      <c r="AZ67">
        <v>0</v>
      </c>
      <c r="BA67">
        <v>17.1</v>
      </c>
      <c r="BB67">
        <v>0</v>
      </c>
      <c r="BC67">
        <v>0</v>
      </c>
      <c r="BD67">
        <v>0</v>
      </c>
      <c r="BE67">
        <v>0</v>
      </c>
      <c r="BG67">
        <v>0</v>
      </c>
      <c r="BH67">
        <v>0</v>
      </c>
      <c r="BI67">
        <v>0</v>
      </c>
      <c r="BJ67">
        <v>0</v>
      </c>
      <c r="BK67">
        <v>0</v>
      </c>
      <c r="BL67">
        <v>0</v>
      </c>
      <c r="BM67">
        <v>0</v>
      </c>
      <c r="BN67">
        <v>0</v>
      </c>
      <c r="BO67">
        <v>0</v>
      </c>
      <c r="BP67">
        <v>0</v>
      </c>
      <c r="BQ67">
        <v>0</v>
      </c>
      <c r="BR67">
        <v>0</v>
      </c>
      <c r="BS67">
        <v>0</v>
      </c>
      <c r="BT67">
        <v>0</v>
      </c>
      <c r="BU67">
        <v>10</v>
      </c>
      <c r="BV67">
        <v>15.62</v>
      </c>
      <c r="BW67">
        <v>0</v>
      </c>
      <c r="BX67">
        <v>0</v>
      </c>
      <c r="BZ67">
        <v>3</v>
      </c>
      <c r="CA67" t="s">
        <v>354</v>
      </c>
      <c r="CH67">
        <v>511</v>
      </c>
      <c r="CI67" s="5">
        <v>46186</v>
      </c>
      <c r="CJ67">
        <v>10</v>
      </c>
      <c r="CK67">
        <v>0</v>
      </c>
      <c r="CL67">
        <v>0</v>
      </c>
      <c r="CM67">
        <v>0</v>
      </c>
      <c r="CN67">
        <v>0</v>
      </c>
      <c r="CO67">
        <v>186</v>
      </c>
      <c r="CP67" t="s">
        <v>347</v>
      </c>
      <c r="CQ67" t="s">
        <v>348</v>
      </c>
    </row>
    <row r="68" spans="1:95">
      <c r="A68" s="5">
        <v>46189</v>
      </c>
      <c r="B68" t="s">
        <v>1877</v>
      </c>
      <c r="C68" t="s">
        <v>1878</v>
      </c>
      <c r="D68" t="s">
        <v>1879</v>
      </c>
      <c r="E68" t="s">
        <v>1880</v>
      </c>
      <c r="G68">
        <v>0</v>
      </c>
      <c r="H68">
        <v>-1</v>
      </c>
      <c r="O68" t="s">
        <v>338</v>
      </c>
      <c r="P68">
        <v>0</v>
      </c>
      <c r="Q68">
        <v>0</v>
      </c>
      <c r="R68">
        <v>0</v>
      </c>
      <c r="S68">
        <v>0</v>
      </c>
      <c r="U68">
        <v>0</v>
      </c>
      <c r="V68">
        <v>0</v>
      </c>
      <c r="W68">
        <v>0</v>
      </c>
      <c r="X68">
        <v>0</v>
      </c>
      <c r="Y68" t="s">
        <v>359</v>
      </c>
      <c r="AB68">
        <v>0</v>
      </c>
      <c r="AC68">
        <v>0</v>
      </c>
      <c r="AE68">
        <v>-1</v>
      </c>
      <c r="AH68" t="s">
        <v>341</v>
      </c>
      <c r="AJ68" t="s">
        <v>342</v>
      </c>
      <c r="AK68" t="s">
        <v>353</v>
      </c>
      <c r="AM68">
        <v>0</v>
      </c>
      <c r="AN68">
        <v>0</v>
      </c>
      <c r="AQ68">
        <v>20.53</v>
      </c>
      <c r="AR68">
        <v>0</v>
      </c>
      <c r="AS68">
        <v>0</v>
      </c>
      <c r="AT68">
        <v>0</v>
      </c>
      <c r="AU68">
        <v>0</v>
      </c>
      <c r="AY68">
        <v>0</v>
      </c>
      <c r="BB68">
        <v>0</v>
      </c>
      <c r="BC68">
        <v>0</v>
      </c>
      <c r="BD68">
        <v>0</v>
      </c>
      <c r="BE68">
        <v>0</v>
      </c>
      <c r="BG68">
        <v>0</v>
      </c>
      <c r="BH68">
        <v>0</v>
      </c>
      <c r="BZ68">
        <v>1</v>
      </c>
      <c r="CA68" t="s">
        <v>429</v>
      </c>
      <c r="CJ68">
        <v>0</v>
      </c>
      <c r="CK68">
        <v>0</v>
      </c>
      <c r="CL68">
        <v>0</v>
      </c>
      <c r="CM68">
        <v>0</v>
      </c>
      <c r="CN68">
        <v>0</v>
      </c>
      <c r="CO68">
        <v>0</v>
      </c>
      <c r="CP68" t="s">
        <v>347</v>
      </c>
      <c r="CQ68" t="s">
        <v>348</v>
      </c>
    </row>
    <row r="69" spans="1:95">
      <c r="A69" s="5">
        <v>46189</v>
      </c>
      <c r="B69" t="s">
        <v>1881</v>
      </c>
      <c r="C69" t="s">
        <v>1882</v>
      </c>
      <c r="D69" t="s">
        <v>1883</v>
      </c>
      <c r="E69" t="s">
        <v>1884</v>
      </c>
      <c r="G69">
        <v>0</v>
      </c>
      <c r="H69">
        <v>-1</v>
      </c>
      <c r="O69" t="s">
        <v>338</v>
      </c>
      <c r="U69">
        <v>0</v>
      </c>
      <c r="V69">
        <v>0</v>
      </c>
      <c r="W69">
        <v>0</v>
      </c>
      <c r="X69">
        <v>0</v>
      </c>
      <c r="Y69" t="s">
        <v>359</v>
      </c>
      <c r="AB69">
        <v>0</v>
      </c>
      <c r="AC69">
        <v>0</v>
      </c>
      <c r="AE69">
        <v>-1</v>
      </c>
      <c r="AJ69" t="s">
        <v>342</v>
      </c>
      <c r="AK69" t="s">
        <v>353</v>
      </c>
      <c r="AN69">
        <v>0</v>
      </c>
      <c r="AQ69">
        <v>59.99</v>
      </c>
      <c r="AY69">
        <v>0</v>
      </c>
      <c r="BB69">
        <v>0</v>
      </c>
      <c r="BG69">
        <v>0</v>
      </c>
      <c r="BH69">
        <v>0</v>
      </c>
      <c r="CJ69">
        <v>0</v>
      </c>
      <c r="CK69">
        <v>0</v>
      </c>
      <c r="CL69">
        <v>0</v>
      </c>
      <c r="CM69">
        <v>0</v>
      </c>
      <c r="CN69">
        <v>0</v>
      </c>
      <c r="CP69" t="s">
        <v>347</v>
      </c>
      <c r="CQ69" t="s">
        <v>348</v>
      </c>
    </row>
    <row r="70" spans="1:95">
      <c r="A70" s="5">
        <v>46189</v>
      </c>
      <c r="B70" t="s">
        <v>1539</v>
      </c>
      <c r="C70" t="s">
        <v>1540</v>
      </c>
      <c r="D70" t="s">
        <v>1538</v>
      </c>
      <c r="E70" t="s">
        <v>1885</v>
      </c>
      <c r="F70" t="s">
        <v>337</v>
      </c>
      <c r="G70">
        <v>28</v>
      </c>
      <c r="H70">
        <v>0</v>
      </c>
      <c r="I70">
        <v>21</v>
      </c>
      <c r="J70">
        <v>8</v>
      </c>
      <c r="K70">
        <v>0</v>
      </c>
      <c r="L70">
        <v>0</v>
      </c>
      <c r="M70">
        <v>0</v>
      </c>
      <c r="N70">
        <v>0</v>
      </c>
      <c r="O70" t="s">
        <v>338</v>
      </c>
      <c r="P70">
        <v>0</v>
      </c>
      <c r="Q70">
        <v>2</v>
      </c>
      <c r="R70">
        <v>4</v>
      </c>
      <c r="S70">
        <v>9</v>
      </c>
      <c r="T70" t="s">
        <v>351</v>
      </c>
      <c r="U70">
        <v>39.99</v>
      </c>
      <c r="V70">
        <v>27.99</v>
      </c>
      <c r="W70">
        <v>27.99</v>
      </c>
      <c r="X70">
        <v>0</v>
      </c>
      <c r="Y70" t="s">
        <v>359</v>
      </c>
      <c r="AA70">
        <v>25.59</v>
      </c>
      <c r="AB70">
        <v>10</v>
      </c>
      <c r="AC70">
        <v>0</v>
      </c>
      <c r="AD70">
        <v>11.92</v>
      </c>
      <c r="AE70">
        <v>0.33</v>
      </c>
      <c r="AF70">
        <v>0.190315</v>
      </c>
      <c r="AG70" t="s">
        <v>340</v>
      </c>
      <c r="AH70" t="s">
        <v>341</v>
      </c>
      <c r="AI70">
        <v>5.32882</v>
      </c>
      <c r="AJ70" t="s">
        <v>342</v>
      </c>
      <c r="AK70" t="s">
        <v>353</v>
      </c>
      <c r="AL70">
        <v>548923</v>
      </c>
      <c r="AM70">
        <v>171</v>
      </c>
      <c r="AN70">
        <v>9</v>
      </c>
      <c r="AO70">
        <v>56</v>
      </c>
      <c r="AP70">
        <v>40</v>
      </c>
      <c r="AQ70">
        <v>26.59</v>
      </c>
      <c r="AR70">
        <v>0</v>
      </c>
      <c r="AS70">
        <v>53.18</v>
      </c>
      <c r="AT70">
        <v>106.36</v>
      </c>
      <c r="AU70">
        <v>246.31</v>
      </c>
      <c r="AV70">
        <v>1</v>
      </c>
      <c r="AW70">
        <v>0</v>
      </c>
      <c r="AX70">
        <v>20</v>
      </c>
      <c r="AY70">
        <v>0</v>
      </c>
      <c r="AZ70">
        <v>0</v>
      </c>
      <c r="BA70">
        <v>3.61</v>
      </c>
      <c r="BB70">
        <v>0</v>
      </c>
      <c r="BC70">
        <v>0</v>
      </c>
      <c r="BD70">
        <v>0</v>
      </c>
      <c r="BE70">
        <v>0</v>
      </c>
      <c r="BG70">
        <v>0</v>
      </c>
      <c r="BH70">
        <v>0</v>
      </c>
      <c r="BY70">
        <v>286.3</v>
      </c>
      <c r="BZ70">
        <v>6</v>
      </c>
      <c r="CA70" t="s">
        <v>354</v>
      </c>
      <c r="CD70" s="5">
        <v>46188</v>
      </c>
      <c r="CE70" t="s">
        <v>345</v>
      </c>
      <c r="CF70" t="s">
        <v>346</v>
      </c>
      <c r="CG70">
        <v>286.3</v>
      </c>
      <c r="CH70">
        <v>272.4</v>
      </c>
      <c r="CI70" s="5">
        <v>46186</v>
      </c>
      <c r="CJ70">
        <v>28</v>
      </c>
      <c r="CK70">
        <v>0</v>
      </c>
      <c r="CL70">
        <v>0</v>
      </c>
      <c r="CM70">
        <v>0</v>
      </c>
      <c r="CN70">
        <v>0</v>
      </c>
      <c r="CO70">
        <v>171</v>
      </c>
      <c r="CP70" t="s">
        <v>347</v>
      </c>
      <c r="CQ70" t="s">
        <v>348</v>
      </c>
    </row>
    <row r="71" spans="1:95">
      <c r="A71" s="5">
        <v>46189</v>
      </c>
      <c r="B71" t="s">
        <v>1886</v>
      </c>
      <c r="C71" t="s">
        <v>1431</v>
      </c>
      <c r="D71" t="s">
        <v>1887</v>
      </c>
      <c r="E71" t="s">
        <v>1433</v>
      </c>
      <c r="G71">
        <v>0</v>
      </c>
      <c r="H71">
        <v>-1</v>
      </c>
      <c r="O71" t="s">
        <v>338</v>
      </c>
      <c r="P71">
        <v>0</v>
      </c>
      <c r="Q71">
        <v>0</v>
      </c>
      <c r="R71">
        <v>0</v>
      </c>
      <c r="S71">
        <v>0</v>
      </c>
      <c r="U71">
        <v>0</v>
      </c>
      <c r="V71">
        <v>0</v>
      </c>
      <c r="W71">
        <v>0</v>
      </c>
      <c r="X71">
        <v>0</v>
      </c>
      <c r="Y71" t="s">
        <v>359</v>
      </c>
      <c r="AB71">
        <v>0</v>
      </c>
      <c r="AC71">
        <v>0</v>
      </c>
      <c r="AE71">
        <v>-1</v>
      </c>
      <c r="AH71" t="s">
        <v>341</v>
      </c>
      <c r="AJ71" t="s">
        <v>342</v>
      </c>
      <c r="AK71" t="s">
        <v>353</v>
      </c>
      <c r="AM71">
        <v>0</v>
      </c>
      <c r="AN71">
        <v>0</v>
      </c>
      <c r="AQ71">
        <v>9.99</v>
      </c>
      <c r="AR71">
        <v>0</v>
      </c>
      <c r="AS71">
        <v>0</v>
      </c>
      <c r="AT71">
        <v>0</v>
      </c>
      <c r="AU71">
        <v>0</v>
      </c>
      <c r="AY71">
        <v>0</v>
      </c>
      <c r="BB71">
        <v>0</v>
      </c>
      <c r="BC71">
        <v>0</v>
      </c>
      <c r="BD71">
        <v>0</v>
      </c>
      <c r="BE71">
        <v>0</v>
      </c>
      <c r="BG71">
        <v>0</v>
      </c>
      <c r="BH71">
        <v>1</v>
      </c>
      <c r="BZ71">
        <v>1</v>
      </c>
      <c r="CA71" t="s">
        <v>429</v>
      </c>
      <c r="CJ71">
        <v>0</v>
      </c>
      <c r="CK71">
        <v>0</v>
      </c>
      <c r="CL71">
        <v>0</v>
      </c>
      <c r="CM71">
        <v>0</v>
      </c>
      <c r="CN71">
        <v>0</v>
      </c>
      <c r="CO71">
        <v>0</v>
      </c>
      <c r="CP71" t="s">
        <v>347</v>
      </c>
      <c r="CQ71" t="s">
        <v>348</v>
      </c>
    </row>
    <row r="72" spans="1:95">
      <c r="A72" s="5">
        <v>46189</v>
      </c>
      <c r="B72" t="s">
        <v>1888</v>
      </c>
      <c r="C72" t="s">
        <v>1889</v>
      </c>
      <c r="D72" t="s">
        <v>1890</v>
      </c>
      <c r="E72" t="s">
        <v>1891</v>
      </c>
      <c r="G72">
        <v>0</v>
      </c>
      <c r="H72">
        <v>-1</v>
      </c>
      <c r="O72" t="s">
        <v>338</v>
      </c>
      <c r="P72">
        <v>0</v>
      </c>
      <c r="Q72">
        <v>0</v>
      </c>
      <c r="R72">
        <v>0</v>
      </c>
      <c r="S72">
        <v>0</v>
      </c>
      <c r="U72">
        <v>0</v>
      </c>
      <c r="V72">
        <v>0</v>
      </c>
      <c r="W72">
        <v>0</v>
      </c>
      <c r="X72">
        <v>0</v>
      </c>
      <c r="Y72" t="s">
        <v>359</v>
      </c>
      <c r="AB72">
        <v>0</v>
      </c>
      <c r="AC72">
        <v>0</v>
      </c>
      <c r="AE72">
        <v>-1</v>
      </c>
      <c r="AH72" t="s">
        <v>341</v>
      </c>
      <c r="AJ72" t="s">
        <v>342</v>
      </c>
      <c r="AK72" t="s">
        <v>353</v>
      </c>
      <c r="AM72">
        <v>0</v>
      </c>
      <c r="AN72">
        <v>0</v>
      </c>
      <c r="AQ72">
        <v>22.05</v>
      </c>
      <c r="AR72">
        <v>0</v>
      </c>
      <c r="AS72">
        <v>0</v>
      </c>
      <c r="AT72">
        <v>0</v>
      </c>
      <c r="AU72">
        <v>0</v>
      </c>
      <c r="AY72">
        <v>0</v>
      </c>
      <c r="BB72">
        <v>0</v>
      </c>
      <c r="BC72">
        <v>0</v>
      </c>
      <c r="BD72">
        <v>0</v>
      </c>
      <c r="BE72">
        <v>0</v>
      </c>
      <c r="BG72">
        <v>0</v>
      </c>
      <c r="BH72">
        <v>0</v>
      </c>
      <c r="BZ72">
        <v>3</v>
      </c>
      <c r="CA72" t="s">
        <v>429</v>
      </c>
      <c r="CB72">
        <v>4</v>
      </c>
      <c r="CC72" s="5">
        <v>46186</v>
      </c>
      <c r="CJ72">
        <v>0</v>
      </c>
      <c r="CK72">
        <v>0</v>
      </c>
      <c r="CL72">
        <v>0</v>
      </c>
      <c r="CM72">
        <v>0</v>
      </c>
      <c r="CN72">
        <v>0</v>
      </c>
      <c r="CO72">
        <v>0</v>
      </c>
      <c r="CP72" t="s">
        <v>347</v>
      </c>
      <c r="CQ72" t="s">
        <v>348</v>
      </c>
    </row>
    <row r="73" spans="1:95">
      <c r="A73" s="5">
        <v>46189</v>
      </c>
      <c r="B73" t="s">
        <v>1892</v>
      </c>
      <c r="C73" t="s">
        <v>1893</v>
      </c>
      <c r="D73" t="s">
        <v>1894</v>
      </c>
      <c r="E73" t="s">
        <v>1895</v>
      </c>
      <c r="G73">
        <v>0</v>
      </c>
      <c r="H73">
        <v>-1</v>
      </c>
      <c r="O73" t="s">
        <v>338</v>
      </c>
      <c r="U73">
        <v>0</v>
      </c>
      <c r="V73">
        <v>0</v>
      </c>
      <c r="W73">
        <v>0</v>
      </c>
      <c r="X73">
        <v>0</v>
      </c>
      <c r="Y73" t="s">
        <v>359</v>
      </c>
      <c r="AB73">
        <v>0</v>
      </c>
      <c r="AC73">
        <v>0</v>
      </c>
      <c r="AE73">
        <v>-1</v>
      </c>
      <c r="AH73" t="s">
        <v>341</v>
      </c>
      <c r="AJ73" t="s">
        <v>342</v>
      </c>
      <c r="AK73" t="s">
        <v>353</v>
      </c>
      <c r="AN73">
        <v>0</v>
      </c>
      <c r="AY73">
        <v>0</v>
      </c>
      <c r="BB73">
        <v>0</v>
      </c>
      <c r="BG73">
        <v>0</v>
      </c>
      <c r="BH73">
        <v>0</v>
      </c>
      <c r="CJ73">
        <v>0</v>
      </c>
      <c r="CK73">
        <v>0</v>
      </c>
      <c r="CL73">
        <v>0</v>
      </c>
      <c r="CM73">
        <v>0</v>
      </c>
      <c r="CN73">
        <v>0</v>
      </c>
      <c r="CP73" t="s">
        <v>347</v>
      </c>
      <c r="CQ73" t="s">
        <v>348</v>
      </c>
    </row>
    <row r="74" spans="1:95">
      <c r="A74" s="5">
        <v>46189</v>
      </c>
      <c r="B74" t="s">
        <v>1896</v>
      </c>
      <c r="C74" t="s">
        <v>1897</v>
      </c>
      <c r="D74" t="s">
        <v>1898</v>
      </c>
      <c r="E74" t="s">
        <v>1899</v>
      </c>
      <c r="F74" t="s">
        <v>337</v>
      </c>
      <c r="G74">
        <v>6</v>
      </c>
      <c r="H74">
        <v>0</v>
      </c>
      <c r="I74">
        <v>6</v>
      </c>
      <c r="J74">
        <v>0</v>
      </c>
      <c r="K74">
        <v>0</v>
      </c>
      <c r="L74">
        <v>0</v>
      </c>
      <c r="M74">
        <v>0</v>
      </c>
      <c r="N74">
        <v>0</v>
      </c>
      <c r="O74" t="s">
        <v>338</v>
      </c>
      <c r="P74">
        <v>0</v>
      </c>
      <c r="Q74">
        <v>0</v>
      </c>
      <c r="R74">
        <v>0</v>
      </c>
      <c r="S74">
        <v>0</v>
      </c>
      <c r="T74" t="s">
        <v>351</v>
      </c>
      <c r="U74">
        <v>109.89</v>
      </c>
      <c r="V74">
        <v>0</v>
      </c>
      <c r="W74">
        <v>98.99</v>
      </c>
      <c r="X74">
        <v>0</v>
      </c>
      <c r="Y74" t="s">
        <v>391</v>
      </c>
      <c r="AA74">
        <v>0</v>
      </c>
      <c r="AB74">
        <v>0</v>
      </c>
      <c r="AC74">
        <v>0</v>
      </c>
      <c r="AD74">
        <v>1645.39</v>
      </c>
      <c r="AE74">
        <v>0</v>
      </c>
      <c r="AF74">
        <v>1.29974</v>
      </c>
      <c r="AG74" t="s">
        <v>340</v>
      </c>
      <c r="AH74" t="s">
        <v>424</v>
      </c>
      <c r="AI74">
        <v>7.79844</v>
      </c>
      <c r="AJ74" t="s">
        <v>342</v>
      </c>
      <c r="AK74" t="s">
        <v>353</v>
      </c>
      <c r="AL74">
        <v>813560</v>
      </c>
      <c r="AM74">
        <v>123</v>
      </c>
      <c r="AN74">
        <v>0</v>
      </c>
      <c r="AQ74">
        <v>98.99</v>
      </c>
      <c r="AR74">
        <v>0</v>
      </c>
      <c r="AS74">
        <v>0</v>
      </c>
      <c r="AT74">
        <v>0</v>
      </c>
      <c r="AU74">
        <v>0</v>
      </c>
      <c r="AV74">
        <v>2</v>
      </c>
      <c r="AW74">
        <v>4</v>
      </c>
      <c r="AX74">
        <v>0</v>
      </c>
      <c r="AY74">
        <v>0</v>
      </c>
      <c r="AZ74">
        <v>0</v>
      </c>
      <c r="BA74">
        <v>4</v>
      </c>
      <c r="BB74">
        <v>0</v>
      </c>
      <c r="BC74">
        <v>0</v>
      </c>
      <c r="BD74">
        <v>0</v>
      </c>
      <c r="BE74">
        <v>0</v>
      </c>
      <c r="BG74">
        <v>0</v>
      </c>
      <c r="BH74">
        <v>0</v>
      </c>
      <c r="BZ74">
        <v>2</v>
      </c>
      <c r="CA74" t="s">
        <v>360</v>
      </c>
      <c r="CI74" s="5">
        <v>46186</v>
      </c>
      <c r="CJ74">
        <v>6</v>
      </c>
      <c r="CK74">
        <v>0</v>
      </c>
      <c r="CL74">
        <v>0</v>
      </c>
      <c r="CM74">
        <v>0</v>
      </c>
      <c r="CN74">
        <v>0</v>
      </c>
      <c r="CO74">
        <v>123</v>
      </c>
      <c r="CP74" t="s">
        <v>347</v>
      </c>
      <c r="CQ74" t="s">
        <v>348</v>
      </c>
    </row>
    <row r="75" spans="1:95">
      <c r="A75" s="5">
        <v>46189</v>
      </c>
      <c r="B75" t="s">
        <v>1900</v>
      </c>
      <c r="C75" t="s">
        <v>1901</v>
      </c>
      <c r="D75" t="s">
        <v>1902</v>
      </c>
      <c r="E75" t="s">
        <v>1903</v>
      </c>
      <c r="G75">
        <v>0</v>
      </c>
      <c r="H75">
        <v>-1</v>
      </c>
      <c r="O75" t="s">
        <v>338</v>
      </c>
      <c r="U75">
        <v>0</v>
      </c>
      <c r="V75">
        <v>0</v>
      </c>
      <c r="W75">
        <v>0</v>
      </c>
      <c r="X75">
        <v>0</v>
      </c>
      <c r="Y75" t="s">
        <v>359</v>
      </c>
      <c r="AB75">
        <v>0</v>
      </c>
      <c r="AC75">
        <v>0</v>
      </c>
      <c r="AE75">
        <v>-1</v>
      </c>
      <c r="AH75" t="s">
        <v>341</v>
      </c>
      <c r="AJ75" t="s">
        <v>342</v>
      </c>
      <c r="AK75" t="s">
        <v>353</v>
      </c>
      <c r="AM75">
        <v>0</v>
      </c>
      <c r="AN75">
        <v>0</v>
      </c>
      <c r="AQ75">
        <v>45.49</v>
      </c>
      <c r="AY75">
        <v>0</v>
      </c>
      <c r="BB75">
        <v>0</v>
      </c>
      <c r="BG75">
        <v>0</v>
      </c>
      <c r="BH75">
        <v>0</v>
      </c>
      <c r="CJ75">
        <v>0</v>
      </c>
      <c r="CK75">
        <v>0</v>
      </c>
      <c r="CL75">
        <v>0</v>
      </c>
      <c r="CM75">
        <v>0</v>
      </c>
      <c r="CN75">
        <v>0</v>
      </c>
      <c r="CO75">
        <v>0</v>
      </c>
      <c r="CP75" t="s">
        <v>347</v>
      </c>
      <c r="CQ75" t="s">
        <v>348</v>
      </c>
    </row>
    <row r="76" spans="1:95">
      <c r="A76" s="5">
        <v>46189</v>
      </c>
      <c r="B76" t="s">
        <v>1904</v>
      </c>
      <c r="C76" t="s">
        <v>1905</v>
      </c>
      <c r="D76" t="s">
        <v>1906</v>
      </c>
      <c r="E76" t="s">
        <v>1907</v>
      </c>
      <c r="F76" t="s">
        <v>337</v>
      </c>
      <c r="G76">
        <v>4</v>
      </c>
      <c r="H76">
        <v>0</v>
      </c>
      <c r="I76">
        <v>0</v>
      </c>
      <c r="J76">
        <v>0</v>
      </c>
      <c r="K76">
        <v>0</v>
      </c>
      <c r="L76">
        <v>0</v>
      </c>
      <c r="M76">
        <v>4</v>
      </c>
      <c r="N76">
        <v>0</v>
      </c>
      <c r="O76" t="s">
        <v>338</v>
      </c>
      <c r="P76">
        <v>1</v>
      </c>
      <c r="Q76">
        <v>3</v>
      </c>
      <c r="R76">
        <v>3</v>
      </c>
      <c r="S76">
        <v>4</v>
      </c>
      <c r="T76" t="s">
        <v>351</v>
      </c>
      <c r="U76">
        <v>29.99</v>
      </c>
      <c r="V76">
        <v>0</v>
      </c>
      <c r="W76">
        <v>26.59</v>
      </c>
      <c r="X76">
        <v>0</v>
      </c>
      <c r="Y76" t="s">
        <v>359</v>
      </c>
      <c r="AA76">
        <v>0</v>
      </c>
      <c r="AB76">
        <v>0</v>
      </c>
      <c r="AC76">
        <v>3</v>
      </c>
      <c r="AD76">
        <v>182.88</v>
      </c>
      <c r="AE76">
        <v>0.62</v>
      </c>
      <c r="AF76">
        <v>0.231084</v>
      </c>
      <c r="AG76" t="s">
        <v>340</v>
      </c>
      <c r="AH76" t="s">
        <v>341</v>
      </c>
      <c r="AI76">
        <v>0.924336</v>
      </c>
      <c r="AJ76" t="s">
        <v>342</v>
      </c>
      <c r="AK76" t="s">
        <v>353</v>
      </c>
      <c r="AL76">
        <v>117152</v>
      </c>
      <c r="AM76">
        <v>28</v>
      </c>
      <c r="AN76">
        <v>0</v>
      </c>
      <c r="AO76">
        <v>5</v>
      </c>
      <c r="AP76">
        <v>13</v>
      </c>
      <c r="AR76">
        <v>26.59</v>
      </c>
      <c r="AS76">
        <v>82.57</v>
      </c>
      <c r="AT76">
        <v>82.57</v>
      </c>
      <c r="AU76">
        <v>112.56</v>
      </c>
      <c r="AV76">
        <v>0</v>
      </c>
      <c r="AW76">
        <v>0</v>
      </c>
      <c r="AX76">
        <v>0</v>
      </c>
      <c r="AY76">
        <v>0</v>
      </c>
      <c r="AZ76">
        <v>0</v>
      </c>
      <c r="BA76">
        <v>6.98</v>
      </c>
      <c r="BB76">
        <v>0</v>
      </c>
      <c r="BC76">
        <v>0</v>
      </c>
      <c r="BD76">
        <v>0</v>
      </c>
      <c r="BE76">
        <v>0</v>
      </c>
      <c r="BG76">
        <v>0</v>
      </c>
      <c r="BH76">
        <v>0</v>
      </c>
      <c r="BI76">
        <v>0</v>
      </c>
      <c r="BJ76">
        <v>0</v>
      </c>
      <c r="BK76">
        <v>0</v>
      </c>
      <c r="BL76">
        <v>0</v>
      </c>
      <c r="BM76">
        <v>0</v>
      </c>
      <c r="BN76">
        <v>0</v>
      </c>
      <c r="BO76">
        <v>0</v>
      </c>
      <c r="BP76">
        <v>0</v>
      </c>
      <c r="BQ76">
        <v>0</v>
      </c>
      <c r="BR76">
        <v>0</v>
      </c>
      <c r="BS76">
        <v>0</v>
      </c>
      <c r="BT76">
        <v>0</v>
      </c>
      <c r="BU76">
        <v>4</v>
      </c>
      <c r="BV76">
        <v>6.38</v>
      </c>
      <c r="BW76">
        <v>0</v>
      </c>
      <c r="BX76">
        <v>0</v>
      </c>
      <c r="BY76">
        <v>151.3</v>
      </c>
      <c r="CB76">
        <v>7</v>
      </c>
      <c r="CC76" s="5">
        <v>46193</v>
      </c>
      <c r="CD76" s="5">
        <v>46188</v>
      </c>
      <c r="CE76" t="s">
        <v>345</v>
      </c>
      <c r="CF76" t="s">
        <v>346</v>
      </c>
      <c r="CG76">
        <v>57.3</v>
      </c>
      <c r="CH76">
        <v>151.3</v>
      </c>
      <c r="CI76" s="5">
        <v>46186</v>
      </c>
      <c r="CJ76">
        <v>4</v>
      </c>
      <c r="CK76">
        <v>0</v>
      </c>
      <c r="CL76">
        <v>0</v>
      </c>
      <c r="CM76">
        <v>0</v>
      </c>
      <c r="CN76">
        <v>0</v>
      </c>
      <c r="CO76">
        <v>28</v>
      </c>
      <c r="CP76" t="s">
        <v>347</v>
      </c>
      <c r="CQ76" t="s">
        <v>348</v>
      </c>
    </row>
    <row r="77" spans="1:95">
      <c r="A77" s="5">
        <v>46189</v>
      </c>
      <c r="B77" t="s">
        <v>1908</v>
      </c>
      <c r="C77" t="s">
        <v>1909</v>
      </c>
      <c r="D77" t="s">
        <v>1910</v>
      </c>
      <c r="E77" t="s">
        <v>1911</v>
      </c>
      <c r="F77" t="s">
        <v>337</v>
      </c>
      <c r="G77">
        <v>27</v>
      </c>
      <c r="H77">
        <v>0</v>
      </c>
      <c r="I77">
        <v>0</v>
      </c>
      <c r="J77">
        <v>15</v>
      </c>
      <c r="K77">
        <v>12</v>
      </c>
      <c r="L77">
        <v>0</v>
      </c>
      <c r="M77">
        <v>0</v>
      </c>
      <c r="N77">
        <v>0</v>
      </c>
      <c r="O77" t="s">
        <v>338</v>
      </c>
      <c r="P77">
        <v>0</v>
      </c>
      <c r="Q77">
        <v>0</v>
      </c>
      <c r="R77">
        <v>0</v>
      </c>
      <c r="S77">
        <v>0</v>
      </c>
      <c r="T77" t="s">
        <v>351</v>
      </c>
      <c r="U77">
        <v>34.99</v>
      </c>
      <c r="V77">
        <v>18.99</v>
      </c>
      <c r="W77">
        <v>18.99</v>
      </c>
      <c r="X77">
        <v>0</v>
      </c>
      <c r="Y77" t="s">
        <v>613</v>
      </c>
      <c r="AA77">
        <v>0</v>
      </c>
      <c r="AB77">
        <v>0</v>
      </c>
      <c r="AC77">
        <v>0</v>
      </c>
      <c r="AD77">
        <v>661.3</v>
      </c>
      <c r="AE77">
        <v>0</v>
      </c>
      <c r="AF77">
        <v>0.074514</v>
      </c>
      <c r="AG77" t="s">
        <v>340</v>
      </c>
      <c r="AH77" t="s">
        <v>341</v>
      </c>
      <c r="AI77">
        <v>2.011878</v>
      </c>
      <c r="AJ77" t="s">
        <v>342</v>
      </c>
      <c r="AK77" t="s">
        <v>353</v>
      </c>
      <c r="AL77">
        <v>752770</v>
      </c>
      <c r="AM77">
        <v>366</v>
      </c>
      <c r="AN77">
        <v>27</v>
      </c>
      <c r="AQ77">
        <v>18.99</v>
      </c>
      <c r="AR77">
        <v>0</v>
      </c>
      <c r="AS77">
        <v>0</v>
      </c>
      <c r="AT77">
        <v>0</v>
      </c>
      <c r="AU77">
        <v>0</v>
      </c>
      <c r="AV77">
        <v>0</v>
      </c>
      <c r="AW77">
        <v>0</v>
      </c>
      <c r="AX77">
        <v>0</v>
      </c>
      <c r="AY77">
        <v>12</v>
      </c>
      <c r="AZ77">
        <v>0</v>
      </c>
      <c r="BA77">
        <v>2.77</v>
      </c>
      <c r="BB77">
        <v>0</v>
      </c>
      <c r="BC77">
        <v>0</v>
      </c>
      <c r="BD77">
        <v>0</v>
      </c>
      <c r="BE77">
        <v>0</v>
      </c>
      <c r="BG77">
        <v>0</v>
      </c>
      <c r="BH77">
        <v>0</v>
      </c>
      <c r="BI77">
        <v>0</v>
      </c>
      <c r="BJ77">
        <v>0</v>
      </c>
      <c r="BK77">
        <v>12</v>
      </c>
      <c r="BL77">
        <v>0.89</v>
      </c>
      <c r="BM77">
        <v>0</v>
      </c>
      <c r="BN77">
        <v>0</v>
      </c>
      <c r="BO77">
        <v>0</v>
      </c>
      <c r="BP77">
        <v>0</v>
      </c>
      <c r="BQ77">
        <v>0</v>
      </c>
      <c r="BR77">
        <v>0</v>
      </c>
      <c r="BS77">
        <v>0</v>
      </c>
      <c r="BT77">
        <v>0</v>
      </c>
      <c r="BU77">
        <v>0</v>
      </c>
      <c r="BV77">
        <v>0</v>
      </c>
      <c r="BW77">
        <v>0</v>
      </c>
      <c r="BX77">
        <v>0</v>
      </c>
      <c r="BZ77">
        <v>3</v>
      </c>
      <c r="CA77" t="s">
        <v>354</v>
      </c>
      <c r="CI77" s="5">
        <v>46186</v>
      </c>
      <c r="CJ77">
        <v>27</v>
      </c>
      <c r="CK77">
        <v>0</v>
      </c>
      <c r="CL77">
        <v>0</v>
      </c>
      <c r="CM77">
        <v>0</v>
      </c>
      <c r="CN77">
        <v>0</v>
      </c>
      <c r="CO77">
        <v>366</v>
      </c>
      <c r="CP77" t="s">
        <v>347</v>
      </c>
      <c r="CQ77" t="s">
        <v>348</v>
      </c>
    </row>
    <row r="78" spans="1:95">
      <c r="A78" s="5">
        <v>46189</v>
      </c>
      <c r="B78" t="s">
        <v>1912</v>
      </c>
      <c r="C78" t="s">
        <v>1913</v>
      </c>
      <c r="D78" t="s">
        <v>1914</v>
      </c>
      <c r="E78" t="s">
        <v>1915</v>
      </c>
      <c r="G78">
        <v>0</v>
      </c>
      <c r="H78">
        <v>-1</v>
      </c>
      <c r="O78" t="s">
        <v>338</v>
      </c>
      <c r="U78">
        <v>0</v>
      </c>
      <c r="V78">
        <v>0</v>
      </c>
      <c r="W78">
        <v>0</v>
      </c>
      <c r="X78">
        <v>0</v>
      </c>
      <c r="Y78" t="s">
        <v>359</v>
      </c>
      <c r="AB78">
        <v>0</v>
      </c>
      <c r="AC78">
        <v>0</v>
      </c>
      <c r="AE78">
        <v>-1</v>
      </c>
      <c r="AH78" t="s">
        <v>341</v>
      </c>
      <c r="AJ78" t="s">
        <v>342</v>
      </c>
      <c r="AK78" t="s">
        <v>353</v>
      </c>
      <c r="AN78">
        <v>0</v>
      </c>
      <c r="AY78">
        <v>0</v>
      </c>
      <c r="BB78">
        <v>0</v>
      </c>
      <c r="BG78">
        <v>0</v>
      </c>
      <c r="BH78">
        <v>0</v>
      </c>
      <c r="CJ78">
        <v>0</v>
      </c>
      <c r="CK78">
        <v>0</v>
      </c>
      <c r="CL78">
        <v>0</v>
      </c>
      <c r="CM78">
        <v>0</v>
      </c>
      <c r="CN78">
        <v>0</v>
      </c>
      <c r="CP78" t="s">
        <v>347</v>
      </c>
      <c r="CQ78" t="s">
        <v>348</v>
      </c>
    </row>
    <row r="79" spans="1:95">
      <c r="A79" s="5">
        <v>46189</v>
      </c>
      <c r="B79" t="s">
        <v>1543</v>
      </c>
      <c r="C79" t="s">
        <v>1544</v>
      </c>
      <c r="D79" t="s">
        <v>1542</v>
      </c>
      <c r="E79" t="s">
        <v>1916</v>
      </c>
      <c r="F79" t="s">
        <v>337</v>
      </c>
      <c r="G79">
        <v>39</v>
      </c>
      <c r="H79">
        <v>0</v>
      </c>
      <c r="I79">
        <v>37</v>
      </c>
      <c r="J79">
        <v>0</v>
      </c>
      <c r="K79">
        <v>2</v>
      </c>
      <c r="L79">
        <v>0</v>
      </c>
      <c r="M79">
        <v>0</v>
      </c>
      <c r="N79">
        <v>0</v>
      </c>
      <c r="O79" t="s">
        <v>338</v>
      </c>
      <c r="P79">
        <v>0</v>
      </c>
      <c r="Q79">
        <v>2</v>
      </c>
      <c r="R79">
        <v>4</v>
      </c>
      <c r="S79">
        <v>12</v>
      </c>
      <c r="T79" t="s">
        <v>351</v>
      </c>
      <c r="U79">
        <v>43.99</v>
      </c>
      <c r="V79">
        <v>29.99</v>
      </c>
      <c r="W79">
        <v>29.99</v>
      </c>
      <c r="X79">
        <v>0</v>
      </c>
      <c r="Y79" t="s">
        <v>359</v>
      </c>
      <c r="AA79">
        <v>0</v>
      </c>
      <c r="AB79">
        <v>0</v>
      </c>
      <c r="AC79">
        <v>0</v>
      </c>
      <c r="AD79">
        <v>2415.98</v>
      </c>
      <c r="AE79">
        <v>0.55</v>
      </c>
      <c r="AF79">
        <v>0.367664</v>
      </c>
      <c r="AG79" t="s">
        <v>340</v>
      </c>
      <c r="AH79" t="s">
        <v>341</v>
      </c>
      <c r="AI79">
        <v>14.338896</v>
      </c>
      <c r="AJ79" t="s">
        <v>342</v>
      </c>
      <c r="AK79" t="s">
        <v>353</v>
      </c>
      <c r="AL79">
        <v>475568</v>
      </c>
      <c r="AM79">
        <v>193</v>
      </c>
      <c r="AN79">
        <v>34</v>
      </c>
      <c r="AO79">
        <v>78</v>
      </c>
      <c r="AP79">
        <v>42</v>
      </c>
      <c r="AQ79">
        <v>29.99</v>
      </c>
      <c r="AR79">
        <v>0</v>
      </c>
      <c r="AS79">
        <v>59.98</v>
      </c>
      <c r="AT79">
        <v>119.96</v>
      </c>
      <c r="AU79">
        <v>359.88</v>
      </c>
      <c r="AV79">
        <v>13</v>
      </c>
      <c r="AW79">
        <v>24</v>
      </c>
      <c r="AX79">
        <v>0</v>
      </c>
      <c r="AY79">
        <v>2</v>
      </c>
      <c r="AZ79">
        <v>0</v>
      </c>
      <c r="BA79">
        <v>12.21</v>
      </c>
      <c r="BB79">
        <v>0</v>
      </c>
      <c r="BC79">
        <v>0</v>
      </c>
      <c r="BD79">
        <v>0</v>
      </c>
      <c r="BE79">
        <v>0</v>
      </c>
      <c r="BG79">
        <v>0</v>
      </c>
      <c r="BH79">
        <v>0</v>
      </c>
      <c r="BI79">
        <v>1</v>
      </c>
      <c r="BJ79">
        <v>0.18</v>
      </c>
      <c r="BK79">
        <v>1</v>
      </c>
      <c r="BL79">
        <v>0.37</v>
      </c>
      <c r="BM79">
        <v>0</v>
      </c>
      <c r="BN79">
        <v>0</v>
      </c>
      <c r="BO79">
        <v>0</v>
      </c>
      <c r="BP79">
        <v>0</v>
      </c>
      <c r="BQ79">
        <v>0</v>
      </c>
      <c r="BR79">
        <v>0</v>
      </c>
      <c r="BS79">
        <v>0</v>
      </c>
      <c r="BT79">
        <v>0</v>
      </c>
      <c r="BU79">
        <v>0</v>
      </c>
      <c r="BV79">
        <v>0</v>
      </c>
      <c r="BW79">
        <v>0</v>
      </c>
      <c r="BX79">
        <v>0</v>
      </c>
      <c r="BY79">
        <v>472</v>
      </c>
      <c r="BZ79">
        <v>10</v>
      </c>
      <c r="CA79" t="s">
        <v>354</v>
      </c>
      <c r="CD79" s="5">
        <v>46188</v>
      </c>
      <c r="CE79" t="s">
        <v>345</v>
      </c>
      <c r="CF79" t="s">
        <v>346</v>
      </c>
      <c r="CG79">
        <v>472</v>
      </c>
      <c r="CH79">
        <v>138.5</v>
      </c>
      <c r="CI79" s="5">
        <v>46186</v>
      </c>
      <c r="CJ79">
        <v>39</v>
      </c>
      <c r="CK79">
        <v>0</v>
      </c>
      <c r="CL79">
        <v>0</v>
      </c>
      <c r="CM79">
        <v>0</v>
      </c>
      <c r="CN79">
        <v>0</v>
      </c>
      <c r="CO79">
        <v>193</v>
      </c>
      <c r="CP79" t="s">
        <v>347</v>
      </c>
      <c r="CQ79" t="s">
        <v>348</v>
      </c>
    </row>
    <row r="80" spans="1:95">
      <c r="A80" s="5">
        <v>46189</v>
      </c>
      <c r="B80" t="s">
        <v>1547</v>
      </c>
      <c r="C80" t="s">
        <v>1548</v>
      </c>
      <c r="D80" t="s">
        <v>1546</v>
      </c>
      <c r="E80" t="s">
        <v>1917</v>
      </c>
      <c r="F80" t="s">
        <v>337</v>
      </c>
      <c r="G80">
        <v>2</v>
      </c>
      <c r="H80">
        <v>0</v>
      </c>
      <c r="I80">
        <v>0</v>
      </c>
      <c r="J80">
        <v>2</v>
      </c>
      <c r="K80">
        <v>0</v>
      </c>
      <c r="L80">
        <v>0</v>
      </c>
      <c r="M80">
        <v>0</v>
      </c>
      <c r="N80">
        <v>0</v>
      </c>
      <c r="O80" t="s">
        <v>338</v>
      </c>
      <c r="P80">
        <v>0</v>
      </c>
      <c r="Q80">
        <v>0</v>
      </c>
      <c r="R80">
        <v>0</v>
      </c>
      <c r="S80">
        <v>0</v>
      </c>
      <c r="T80" t="s">
        <v>351</v>
      </c>
      <c r="U80">
        <v>29.99</v>
      </c>
      <c r="V80">
        <v>0</v>
      </c>
      <c r="W80">
        <v>29.99</v>
      </c>
      <c r="X80">
        <v>0</v>
      </c>
      <c r="Y80" t="s">
        <v>613</v>
      </c>
      <c r="AA80">
        <v>0</v>
      </c>
      <c r="AB80">
        <v>0</v>
      </c>
      <c r="AC80">
        <v>0</v>
      </c>
      <c r="AD80">
        <v>99.18</v>
      </c>
      <c r="AE80">
        <v>0</v>
      </c>
      <c r="AF80">
        <v>0.144573</v>
      </c>
      <c r="AG80" t="s">
        <v>340</v>
      </c>
      <c r="AH80" t="s">
        <v>341</v>
      </c>
      <c r="AI80">
        <v>0.289146</v>
      </c>
      <c r="AJ80" t="s">
        <v>342</v>
      </c>
      <c r="AK80" t="s">
        <v>353</v>
      </c>
      <c r="AM80">
        <v>27</v>
      </c>
      <c r="AN80">
        <v>0</v>
      </c>
      <c r="AQ80">
        <v>29.99</v>
      </c>
      <c r="AR80">
        <v>0</v>
      </c>
      <c r="AS80">
        <v>0</v>
      </c>
      <c r="AT80">
        <v>0</v>
      </c>
      <c r="AU80">
        <v>0</v>
      </c>
      <c r="AV80">
        <v>0</v>
      </c>
      <c r="AW80">
        <v>0</v>
      </c>
      <c r="AX80">
        <v>0</v>
      </c>
      <c r="AY80">
        <v>0</v>
      </c>
      <c r="AZ80">
        <v>0</v>
      </c>
      <c r="BA80">
        <v>0.21</v>
      </c>
      <c r="BB80">
        <v>0</v>
      </c>
      <c r="BC80">
        <v>0</v>
      </c>
      <c r="BD80">
        <v>0</v>
      </c>
      <c r="BE80">
        <v>0</v>
      </c>
      <c r="BG80">
        <v>0</v>
      </c>
      <c r="BH80">
        <v>0</v>
      </c>
      <c r="BZ80">
        <v>7</v>
      </c>
      <c r="CA80" t="s">
        <v>344</v>
      </c>
      <c r="CB80">
        <v>8</v>
      </c>
      <c r="CC80" s="5">
        <v>46195</v>
      </c>
      <c r="CI80" s="5">
        <v>46186</v>
      </c>
      <c r="CJ80">
        <v>2</v>
      </c>
      <c r="CK80">
        <v>0</v>
      </c>
      <c r="CL80">
        <v>0</v>
      </c>
      <c r="CM80">
        <v>0</v>
      </c>
      <c r="CN80">
        <v>0</v>
      </c>
      <c r="CO80">
        <v>27</v>
      </c>
      <c r="CP80" t="s">
        <v>347</v>
      </c>
      <c r="CQ80" t="s">
        <v>348</v>
      </c>
    </row>
    <row r="81" spans="1:95">
      <c r="A81" s="5">
        <v>46189</v>
      </c>
      <c r="B81" t="s">
        <v>1550</v>
      </c>
      <c r="C81" t="s">
        <v>1551</v>
      </c>
      <c r="D81" t="s">
        <v>1549</v>
      </c>
      <c r="E81" t="s">
        <v>1918</v>
      </c>
      <c r="F81" t="s">
        <v>337</v>
      </c>
      <c r="G81">
        <v>16</v>
      </c>
      <c r="H81">
        <v>0</v>
      </c>
      <c r="I81">
        <v>15</v>
      </c>
      <c r="J81">
        <v>7</v>
      </c>
      <c r="K81">
        <v>0</v>
      </c>
      <c r="L81">
        <v>0</v>
      </c>
      <c r="M81">
        <v>0</v>
      </c>
      <c r="N81">
        <v>0</v>
      </c>
      <c r="O81" t="s">
        <v>338</v>
      </c>
      <c r="P81">
        <v>1</v>
      </c>
      <c r="Q81">
        <v>4</v>
      </c>
      <c r="R81">
        <v>10</v>
      </c>
      <c r="S81">
        <v>15</v>
      </c>
      <c r="T81" t="s">
        <v>351</v>
      </c>
      <c r="U81">
        <v>129.99</v>
      </c>
      <c r="V81">
        <v>99.99</v>
      </c>
      <c r="W81">
        <v>99.99</v>
      </c>
      <c r="X81">
        <v>0</v>
      </c>
      <c r="Y81" t="s">
        <v>359</v>
      </c>
      <c r="AA81">
        <v>0</v>
      </c>
      <c r="AB81">
        <v>0</v>
      </c>
      <c r="AC81">
        <v>0</v>
      </c>
      <c r="AD81">
        <v>183.13</v>
      </c>
      <c r="AE81">
        <v>0.83</v>
      </c>
      <c r="AF81">
        <v>1.597327</v>
      </c>
      <c r="AG81" t="s">
        <v>340</v>
      </c>
      <c r="AH81" t="s">
        <v>424</v>
      </c>
      <c r="AI81">
        <v>25.557232</v>
      </c>
      <c r="AJ81" t="s">
        <v>342</v>
      </c>
      <c r="AK81" t="s">
        <v>404</v>
      </c>
      <c r="AL81">
        <v>353349</v>
      </c>
      <c r="AM81">
        <v>178</v>
      </c>
      <c r="AN81">
        <v>14</v>
      </c>
      <c r="AO81">
        <v>16</v>
      </c>
      <c r="AP81">
        <v>13</v>
      </c>
      <c r="AQ81">
        <v>99.99</v>
      </c>
      <c r="AR81">
        <v>99.99</v>
      </c>
      <c r="AS81">
        <v>399.96</v>
      </c>
      <c r="AT81">
        <v>999.9</v>
      </c>
      <c r="AU81">
        <v>1498.65</v>
      </c>
      <c r="AV81">
        <v>15</v>
      </c>
      <c r="AW81">
        <v>0</v>
      </c>
      <c r="AX81">
        <v>0</v>
      </c>
      <c r="AY81">
        <v>0</v>
      </c>
      <c r="AZ81">
        <v>0</v>
      </c>
      <c r="BA81">
        <v>17.49</v>
      </c>
      <c r="BB81">
        <v>0</v>
      </c>
      <c r="BC81">
        <v>0</v>
      </c>
      <c r="BD81">
        <v>0</v>
      </c>
      <c r="BE81">
        <v>0</v>
      </c>
      <c r="BG81">
        <v>0</v>
      </c>
      <c r="BH81">
        <v>0</v>
      </c>
      <c r="BY81">
        <v>107.8</v>
      </c>
      <c r="BZ81">
        <v>3</v>
      </c>
      <c r="CA81" t="s">
        <v>354</v>
      </c>
      <c r="CD81" s="5">
        <v>46188</v>
      </c>
      <c r="CE81" t="s">
        <v>345</v>
      </c>
      <c r="CF81" t="s">
        <v>346</v>
      </c>
      <c r="CG81">
        <v>107.8</v>
      </c>
      <c r="CH81">
        <v>94.1</v>
      </c>
      <c r="CI81" s="5">
        <v>46186</v>
      </c>
      <c r="CJ81">
        <v>22</v>
      </c>
      <c r="CK81">
        <v>6</v>
      </c>
      <c r="CL81">
        <v>0</v>
      </c>
      <c r="CM81">
        <v>0</v>
      </c>
      <c r="CN81">
        <v>0</v>
      </c>
      <c r="CO81">
        <v>178</v>
      </c>
      <c r="CP81" t="s">
        <v>347</v>
      </c>
      <c r="CQ81" t="s">
        <v>348</v>
      </c>
    </row>
    <row r="82" spans="1:95">
      <c r="A82" s="5">
        <v>46189</v>
      </c>
      <c r="B82" t="s">
        <v>1919</v>
      </c>
      <c r="C82" t="s">
        <v>1920</v>
      </c>
      <c r="D82" t="s">
        <v>1921</v>
      </c>
      <c r="E82" t="s">
        <v>1922</v>
      </c>
      <c r="F82" t="s">
        <v>337</v>
      </c>
      <c r="G82">
        <v>6</v>
      </c>
      <c r="H82">
        <v>0</v>
      </c>
      <c r="I82">
        <v>0</v>
      </c>
      <c r="J82">
        <v>0</v>
      </c>
      <c r="K82">
        <v>0</v>
      </c>
      <c r="L82">
        <v>0</v>
      </c>
      <c r="M82">
        <v>6</v>
      </c>
      <c r="N82">
        <v>0</v>
      </c>
      <c r="O82" t="s">
        <v>338</v>
      </c>
      <c r="P82">
        <v>4</v>
      </c>
      <c r="Q82">
        <v>8</v>
      </c>
      <c r="R82">
        <v>10</v>
      </c>
      <c r="S82">
        <v>10</v>
      </c>
      <c r="T82" t="s">
        <v>351</v>
      </c>
      <c r="U82">
        <v>29.99</v>
      </c>
      <c r="V82">
        <v>0</v>
      </c>
      <c r="W82">
        <v>29.99</v>
      </c>
      <c r="X82">
        <v>0</v>
      </c>
      <c r="Y82" t="s">
        <v>464</v>
      </c>
      <c r="AA82">
        <v>0</v>
      </c>
      <c r="AB82">
        <v>0</v>
      </c>
      <c r="AC82">
        <v>0</v>
      </c>
      <c r="AD82">
        <v>440.08</v>
      </c>
      <c r="AE82">
        <v>0.67</v>
      </c>
      <c r="AF82">
        <v>0.22562</v>
      </c>
      <c r="AG82" t="s">
        <v>340</v>
      </c>
      <c r="AH82" t="s">
        <v>341</v>
      </c>
      <c r="AI82">
        <v>1.35372</v>
      </c>
      <c r="AJ82" t="s">
        <v>342</v>
      </c>
      <c r="AK82" t="s">
        <v>353</v>
      </c>
      <c r="AL82">
        <v>117152</v>
      </c>
      <c r="AM82">
        <v>63</v>
      </c>
      <c r="AN82">
        <v>0</v>
      </c>
      <c r="AO82">
        <v>3</v>
      </c>
      <c r="AP82">
        <v>7</v>
      </c>
      <c r="AQ82">
        <v>29.99</v>
      </c>
      <c r="AR82">
        <v>119.96</v>
      </c>
      <c r="AS82">
        <v>239.92</v>
      </c>
      <c r="AT82">
        <v>299.9</v>
      </c>
      <c r="AU82">
        <v>299.9</v>
      </c>
      <c r="AV82">
        <v>0</v>
      </c>
      <c r="AW82">
        <v>0</v>
      </c>
      <c r="AX82">
        <v>0</v>
      </c>
      <c r="AY82">
        <v>0</v>
      </c>
      <c r="AZ82">
        <v>0</v>
      </c>
      <c r="BA82">
        <v>10.22</v>
      </c>
      <c r="BB82">
        <v>0</v>
      </c>
      <c r="BC82">
        <v>0</v>
      </c>
      <c r="BD82">
        <v>0</v>
      </c>
      <c r="BE82">
        <v>0</v>
      </c>
      <c r="BG82">
        <v>0</v>
      </c>
      <c r="BH82">
        <v>1</v>
      </c>
      <c r="BI82">
        <v>0</v>
      </c>
      <c r="BJ82">
        <v>0</v>
      </c>
      <c r="BK82">
        <v>0</v>
      </c>
      <c r="BL82">
        <v>0</v>
      </c>
      <c r="BM82">
        <v>0</v>
      </c>
      <c r="BN82">
        <v>0</v>
      </c>
      <c r="BO82">
        <v>0</v>
      </c>
      <c r="BP82">
        <v>0</v>
      </c>
      <c r="BQ82">
        <v>0</v>
      </c>
      <c r="BR82">
        <v>0</v>
      </c>
      <c r="BS82">
        <v>0</v>
      </c>
      <c r="BT82">
        <v>0</v>
      </c>
      <c r="BU82">
        <v>6</v>
      </c>
      <c r="BV82">
        <v>9.34</v>
      </c>
      <c r="BW82">
        <v>0</v>
      </c>
      <c r="BX82">
        <v>0</v>
      </c>
      <c r="BY82">
        <v>160.8</v>
      </c>
      <c r="BZ82">
        <v>7</v>
      </c>
      <c r="CA82" t="s">
        <v>344</v>
      </c>
      <c r="CD82" s="5">
        <v>46188</v>
      </c>
      <c r="CE82" t="s">
        <v>345</v>
      </c>
      <c r="CF82" t="s">
        <v>346</v>
      </c>
      <c r="CG82">
        <v>59.7</v>
      </c>
      <c r="CH82">
        <v>160.8</v>
      </c>
      <c r="CI82" s="5">
        <v>46186</v>
      </c>
      <c r="CJ82">
        <v>6</v>
      </c>
      <c r="CK82">
        <v>0</v>
      </c>
      <c r="CL82">
        <v>0</v>
      </c>
      <c r="CM82">
        <v>0</v>
      </c>
      <c r="CN82">
        <v>0</v>
      </c>
      <c r="CO82">
        <v>63</v>
      </c>
      <c r="CQ82" t="s">
        <v>348</v>
      </c>
    </row>
    <row r="83" spans="1:95">
      <c r="A83" s="5">
        <v>46189</v>
      </c>
      <c r="B83" t="s">
        <v>1923</v>
      </c>
      <c r="C83" t="s">
        <v>1924</v>
      </c>
      <c r="D83" t="s">
        <v>1925</v>
      </c>
      <c r="E83" t="s">
        <v>1926</v>
      </c>
      <c r="G83">
        <v>0</v>
      </c>
      <c r="H83">
        <v>-1</v>
      </c>
      <c r="O83" t="s">
        <v>338</v>
      </c>
      <c r="U83">
        <v>0</v>
      </c>
      <c r="V83">
        <v>0</v>
      </c>
      <c r="W83">
        <v>0</v>
      </c>
      <c r="X83">
        <v>0</v>
      </c>
      <c r="Y83" t="s">
        <v>359</v>
      </c>
      <c r="AB83">
        <v>0</v>
      </c>
      <c r="AC83">
        <v>0</v>
      </c>
      <c r="AE83">
        <v>-1</v>
      </c>
      <c r="AH83" t="s">
        <v>341</v>
      </c>
      <c r="AJ83" t="s">
        <v>342</v>
      </c>
      <c r="AK83" t="s">
        <v>353</v>
      </c>
      <c r="AN83">
        <v>0</v>
      </c>
      <c r="AY83">
        <v>0</v>
      </c>
      <c r="BB83">
        <v>0</v>
      </c>
      <c r="BG83">
        <v>0</v>
      </c>
      <c r="BH83">
        <v>0</v>
      </c>
      <c r="CJ83">
        <v>0</v>
      </c>
      <c r="CK83">
        <v>0</v>
      </c>
      <c r="CL83">
        <v>0</v>
      </c>
      <c r="CM83">
        <v>0</v>
      </c>
      <c r="CN83">
        <v>0</v>
      </c>
      <c r="CP83" t="s">
        <v>347</v>
      </c>
      <c r="CQ83" t="s">
        <v>348</v>
      </c>
    </row>
    <row r="84" spans="1:95">
      <c r="A84" s="5">
        <v>46189</v>
      </c>
      <c r="B84" t="s">
        <v>1927</v>
      </c>
      <c r="C84" t="s">
        <v>1928</v>
      </c>
      <c r="D84" t="s">
        <v>1929</v>
      </c>
      <c r="E84" t="s">
        <v>1930</v>
      </c>
      <c r="G84">
        <v>0</v>
      </c>
      <c r="H84">
        <v>-1</v>
      </c>
      <c r="O84" t="s">
        <v>338</v>
      </c>
      <c r="U84">
        <v>0</v>
      </c>
      <c r="V84">
        <v>0</v>
      </c>
      <c r="W84">
        <v>0</v>
      </c>
      <c r="X84">
        <v>0</v>
      </c>
      <c r="Y84" t="s">
        <v>359</v>
      </c>
      <c r="AB84">
        <v>0</v>
      </c>
      <c r="AC84">
        <v>0</v>
      </c>
      <c r="AE84">
        <v>-1</v>
      </c>
      <c r="AH84" t="s">
        <v>341</v>
      </c>
      <c r="AJ84" t="s">
        <v>342</v>
      </c>
      <c r="AK84" t="s">
        <v>353</v>
      </c>
      <c r="AM84">
        <v>0</v>
      </c>
      <c r="AN84">
        <v>0</v>
      </c>
      <c r="AQ84">
        <v>27.99</v>
      </c>
      <c r="AY84">
        <v>0</v>
      </c>
      <c r="BB84">
        <v>0</v>
      </c>
      <c r="BC84">
        <v>0</v>
      </c>
      <c r="BD84">
        <v>0</v>
      </c>
      <c r="BE84">
        <v>0</v>
      </c>
      <c r="BG84">
        <v>0</v>
      </c>
      <c r="BH84">
        <v>0</v>
      </c>
      <c r="CJ84">
        <v>0</v>
      </c>
      <c r="CK84">
        <v>0</v>
      </c>
      <c r="CL84">
        <v>0</v>
      </c>
      <c r="CM84">
        <v>0</v>
      </c>
      <c r="CN84">
        <v>0</v>
      </c>
      <c r="CO84">
        <v>0</v>
      </c>
      <c r="CP84" t="s">
        <v>347</v>
      </c>
      <c r="CQ84" t="s">
        <v>348</v>
      </c>
    </row>
    <row r="85" spans="1:95">
      <c r="A85" s="5">
        <v>46189</v>
      </c>
      <c r="B85" t="s">
        <v>1554</v>
      </c>
      <c r="C85" t="s">
        <v>1555</v>
      </c>
      <c r="D85" t="s">
        <v>1553</v>
      </c>
      <c r="E85" t="s">
        <v>1931</v>
      </c>
      <c r="F85" t="s">
        <v>337</v>
      </c>
      <c r="G85">
        <v>16</v>
      </c>
      <c r="H85">
        <v>0</v>
      </c>
      <c r="I85">
        <v>0</v>
      </c>
      <c r="J85">
        <v>16</v>
      </c>
      <c r="K85">
        <v>0</v>
      </c>
      <c r="L85">
        <v>0</v>
      </c>
      <c r="M85">
        <v>0</v>
      </c>
      <c r="N85">
        <v>0</v>
      </c>
      <c r="O85" t="s">
        <v>338</v>
      </c>
      <c r="P85">
        <v>1</v>
      </c>
      <c r="Q85">
        <v>2</v>
      </c>
      <c r="R85">
        <v>3</v>
      </c>
      <c r="S85">
        <v>5</v>
      </c>
      <c r="T85" t="s">
        <v>351</v>
      </c>
      <c r="U85">
        <v>45.99</v>
      </c>
      <c r="V85">
        <v>38.99</v>
      </c>
      <c r="W85">
        <v>38.99</v>
      </c>
      <c r="X85">
        <v>0</v>
      </c>
      <c r="Y85" t="s">
        <v>359</v>
      </c>
      <c r="AA85">
        <v>0</v>
      </c>
      <c r="AB85">
        <v>0</v>
      </c>
      <c r="AC85">
        <v>0</v>
      </c>
      <c r="AD85">
        <v>1039.31</v>
      </c>
      <c r="AE85">
        <v>0.27</v>
      </c>
      <c r="AF85">
        <v>0.375499</v>
      </c>
      <c r="AG85" t="s">
        <v>340</v>
      </c>
      <c r="AH85" t="s">
        <v>341</v>
      </c>
      <c r="AI85">
        <v>6.007984</v>
      </c>
      <c r="AJ85" t="s">
        <v>342</v>
      </c>
      <c r="AK85" t="s">
        <v>343</v>
      </c>
      <c r="AL85">
        <v>215750</v>
      </c>
      <c r="AM85">
        <v>173</v>
      </c>
      <c r="AN85">
        <v>2</v>
      </c>
      <c r="AO85">
        <v>32</v>
      </c>
      <c r="AP85">
        <v>41</v>
      </c>
      <c r="AQ85">
        <v>38.99</v>
      </c>
      <c r="AR85">
        <v>38.99</v>
      </c>
      <c r="AS85">
        <v>77.98</v>
      </c>
      <c r="AT85">
        <v>116.97</v>
      </c>
      <c r="AU85">
        <v>180.79</v>
      </c>
      <c r="AV85">
        <v>0</v>
      </c>
      <c r="AW85">
        <v>0</v>
      </c>
      <c r="AX85">
        <v>0</v>
      </c>
      <c r="AY85">
        <v>0</v>
      </c>
      <c r="AZ85">
        <v>0</v>
      </c>
      <c r="BA85">
        <v>4.3</v>
      </c>
      <c r="BB85">
        <v>0</v>
      </c>
      <c r="BC85">
        <v>0</v>
      </c>
      <c r="BD85">
        <v>0</v>
      </c>
      <c r="BE85">
        <v>0</v>
      </c>
      <c r="BG85">
        <v>0</v>
      </c>
      <c r="BH85">
        <v>0</v>
      </c>
      <c r="BY85">
        <v>330.4</v>
      </c>
      <c r="BZ85">
        <v>3</v>
      </c>
      <c r="CA85" t="s">
        <v>354</v>
      </c>
      <c r="CD85" s="5">
        <v>46188</v>
      </c>
      <c r="CE85" t="s">
        <v>345</v>
      </c>
      <c r="CF85" t="s">
        <v>346</v>
      </c>
      <c r="CG85">
        <v>258.5</v>
      </c>
      <c r="CH85">
        <v>330.4</v>
      </c>
      <c r="CI85" s="5">
        <v>46186</v>
      </c>
      <c r="CJ85">
        <v>16</v>
      </c>
      <c r="CK85">
        <v>0</v>
      </c>
      <c r="CL85">
        <v>0</v>
      </c>
      <c r="CM85">
        <v>0</v>
      </c>
      <c r="CN85">
        <v>0</v>
      </c>
      <c r="CO85">
        <v>173</v>
      </c>
      <c r="CP85" t="s">
        <v>347</v>
      </c>
      <c r="CQ85" t="s">
        <v>348</v>
      </c>
    </row>
    <row r="86" spans="1:95">
      <c r="A86" s="5">
        <v>46189</v>
      </c>
      <c r="B86" t="s">
        <v>1557</v>
      </c>
      <c r="C86" t="s">
        <v>72</v>
      </c>
      <c r="D86" t="s">
        <v>81</v>
      </c>
      <c r="E86" t="s">
        <v>1932</v>
      </c>
      <c r="F86" t="s">
        <v>337</v>
      </c>
      <c r="G86">
        <v>22</v>
      </c>
      <c r="H86">
        <v>0</v>
      </c>
      <c r="I86">
        <v>22</v>
      </c>
      <c r="J86">
        <v>0</v>
      </c>
      <c r="K86">
        <v>0</v>
      </c>
      <c r="L86">
        <v>0</v>
      </c>
      <c r="M86">
        <v>0</v>
      </c>
      <c r="N86">
        <v>0</v>
      </c>
      <c r="O86" t="s">
        <v>338</v>
      </c>
      <c r="P86">
        <v>2</v>
      </c>
      <c r="Q86">
        <v>18</v>
      </c>
      <c r="R86">
        <v>30</v>
      </c>
      <c r="S86">
        <v>36</v>
      </c>
      <c r="T86" t="s">
        <v>351</v>
      </c>
      <c r="U86">
        <v>35.99</v>
      </c>
      <c r="V86">
        <v>23.99</v>
      </c>
      <c r="W86">
        <v>23.99</v>
      </c>
      <c r="X86">
        <v>0</v>
      </c>
      <c r="Y86" t="s">
        <v>359</v>
      </c>
      <c r="AA86">
        <v>0</v>
      </c>
      <c r="AB86">
        <v>0</v>
      </c>
      <c r="AC86">
        <v>0</v>
      </c>
      <c r="AD86">
        <v>0</v>
      </c>
      <c r="AE86">
        <v>1.92</v>
      </c>
      <c r="AF86">
        <v>0.1875</v>
      </c>
      <c r="AG86" t="s">
        <v>340</v>
      </c>
      <c r="AH86" t="s">
        <v>341</v>
      </c>
      <c r="AI86">
        <v>4.125</v>
      </c>
      <c r="AJ86" t="s">
        <v>342</v>
      </c>
      <c r="AK86" t="s">
        <v>353</v>
      </c>
      <c r="AM86">
        <v>63</v>
      </c>
      <c r="AN86">
        <v>0</v>
      </c>
      <c r="AO86">
        <v>15</v>
      </c>
      <c r="AP86">
        <v>25</v>
      </c>
      <c r="AQ86">
        <v>23.99</v>
      </c>
      <c r="AR86">
        <v>47.98</v>
      </c>
      <c r="AS86">
        <v>431.82</v>
      </c>
      <c r="AT86">
        <v>718.2</v>
      </c>
      <c r="AU86">
        <v>850.14</v>
      </c>
      <c r="AV86">
        <v>0</v>
      </c>
      <c r="AW86">
        <v>22</v>
      </c>
      <c r="AX86">
        <v>0</v>
      </c>
      <c r="AY86">
        <v>0</v>
      </c>
      <c r="AZ86">
        <v>0</v>
      </c>
      <c r="BA86">
        <v>3.91</v>
      </c>
      <c r="BB86">
        <v>48</v>
      </c>
      <c r="BC86">
        <v>38</v>
      </c>
      <c r="BD86">
        <v>10</v>
      </c>
      <c r="BE86">
        <v>0</v>
      </c>
      <c r="BG86">
        <v>0</v>
      </c>
      <c r="BH86">
        <v>0</v>
      </c>
      <c r="BY86">
        <v>54.8</v>
      </c>
      <c r="BZ86">
        <v>27</v>
      </c>
      <c r="CA86" t="s">
        <v>344</v>
      </c>
      <c r="CD86" s="5">
        <v>46188</v>
      </c>
      <c r="CE86" t="s">
        <v>345</v>
      </c>
      <c r="CF86" t="s">
        <v>346</v>
      </c>
      <c r="CG86">
        <v>46.9</v>
      </c>
      <c r="CH86">
        <v>54.8</v>
      </c>
      <c r="CI86" s="5">
        <v>46186</v>
      </c>
      <c r="CJ86">
        <v>70</v>
      </c>
      <c r="CK86">
        <v>0</v>
      </c>
      <c r="CL86">
        <v>0</v>
      </c>
      <c r="CM86">
        <v>0</v>
      </c>
      <c r="CN86">
        <v>0</v>
      </c>
      <c r="CO86">
        <v>140</v>
      </c>
      <c r="CP86" t="s">
        <v>347</v>
      </c>
      <c r="CQ86" t="s">
        <v>348</v>
      </c>
    </row>
    <row r="87" spans="1:95">
      <c r="A87" s="5">
        <v>46189</v>
      </c>
      <c r="B87" t="s">
        <v>1933</v>
      </c>
      <c r="C87" t="s">
        <v>985</v>
      </c>
      <c r="D87" t="s">
        <v>1934</v>
      </c>
      <c r="E87" t="s">
        <v>987</v>
      </c>
      <c r="G87">
        <v>0</v>
      </c>
      <c r="H87">
        <v>-1</v>
      </c>
      <c r="O87" t="s">
        <v>338</v>
      </c>
      <c r="U87">
        <v>0</v>
      </c>
      <c r="V87">
        <v>0</v>
      </c>
      <c r="W87">
        <v>0</v>
      </c>
      <c r="X87">
        <v>0</v>
      </c>
      <c r="Y87" t="s">
        <v>359</v>
      </c>
      <c r="AB87">
        <v>0</v>
      </c>
      <c r="AC87">
        <v>0</v>
      </c>
      <c r="AE87">
        <v>-1</v>
      </c>
      <c r="AJ87" t="s">
        <v>342</v>
      </c>
      <c r="AK87" t="s">
        <v>353</v>
      </c>
      <c r="AL87">
        <v>397496</v>
      </c>
      <c r="AN87">
        <v>0</v>
      </c>
      <c r="AQ87">
        <v>13.49</v>
      </c>
      <c r="AY87">
        <v>0</v>
      </c>
      <c r="BB87">
        <v>0</v>
      </c>
      <c r="BG87">
        <v>0</v>
      </c>
      <c r="BH87">
        <v>0</v>
      </c>
      <c r="CJ87">
        <v>0</v>
      </c>
      <c r="CK87">
        <v>0</v>
      </c>
      <c r="CL87">
        <v>0</v>
      </c>
      <c r="CM87">
        <v>0</v>
      </c>
      <c r="CN87">
        <v>0</v>
      </c>
      <c r="CP87" t="s">
        <v>347</v>
      </c>
      <c r="CQ87" t="s">
        <v>348</v>
      </c>
    </row>
    <row r="88" spans="1:95">
      <c r="A88" s="5">
        <v>46189</v>
      </c>
      <c r="B88" t="s">
        <v>1935</v>
      </c>
      <c r="C88" t="s">
        <v>1936</v>
      </c>
      <c r="D88" t="s">
        <v>1937</v>
      </c>
      <c r="E88" t="s">
        <v>1938</v>
      </c>
      <c r="F88" t="s">
        <v>337</v>
      </c>
      <c r="G88">
        <v>4</v>
      </c>
      <c r="H88">
        <v>-1</v>
      </c>
      <c r="O88" t="s">
        <v>338</v>
      </c>
      <c r="U88">
        <v>69.99</v>
      </c>
      <c r="V88">
        <v>0</v>
      </c>
      <c r="W88">
        <v>0</v>
      </c>
      <c r="X88">
        <v>0</v>
      </c>
      <c r="Y88" t="s">
        <v>372</v>
      </c>
      <c r="AA88">
        <v>0</v>
      </c>
      <c r="AB88">
        <v>0</v>
      </c>
      <c r="AC88">
        <v>0</v>
      </c>
      <c r="AD88">
        <v>393.5</v>
      </c>
      <c r="AE88">
        <v>-1</v>
      </c>
      <c r="AH88" t="s">
        <v>341</v>
      </c>
      <c r="AJ88" t="s">
        <v>342</v>
      </c>
      <c r="AK88" t="s">
        <v>353</v>
      </c>
      <c r="AL88">
        <v>192027</v>
      </c>
      <c r="AM88">
        <v>76</v>
      </c>
      <c r="AN88">
        <v>0</v>
      </c>
      <c r="AQ88">
        <v>69.99</v>
      </c>
      <c r="AY88">
        <v>0</v>
      </c>
      <c r="BA88">
        <v>1.22</v>
      </c>
      <c r="BB88">
        <v>0</v>
      </c>
      <c r="BC88">
        <v>0</v>
      </c>
      <c r="BD88">
        <v>0</v>
      </c>
      <c r="BE88">
        <v>0</v>
      </c>
      <c r="BG88">
        <v>0</v>
      </c>
      <c r="BH88">
        <v>0</v>
      </c>
      <c r="CJ88">
        <v>4</v>
      </c>
      <c r="CK88">
        <v>0</v>
      </c>
      <c r="CL88">
        <v>0</v>
      </c>
      <c r="CM88">
        <v>0</v>
      </c>
      <c r="CN88">
        <v>0</v>
      </c>
      <c r="CO88">
        <v>76</v>
      </c>
      <c r="CP88" t="s">
        <v>347</v>
      </c>
      <c r="CQ88" t="s">
        <v>348</v>
      </c>
    </row>
    <row r="89" spans="1:95">
      <c r="A89" s="5">
        <v>46189</v>
      </c>
      <c r="B89" t="s">
        <v>1939</v>
      </c>
      <c r="C89" t="s">
        <v>1940</v>
      </c>
      <c r="D89" t="s">
        <v>1941</v>
      </c>
      <c r="E89" t="s">
        <v>1942</v>
      </c>
      <c r="G89">
        <v>0</v>
      </c>
      <c r="H89">
        <v>-1</v>
      </c>
      <c r="O89" t="s">
        <v>338</v>
      </c>
      <c r="P89">
        <v>0</v>
      </c>
      <c r="Q89">
        <v>0</v>
      </c>
      <c r="R89">
        <v>0</v>
      </c>
      <c r="S89">
        <v>0</v>
      </c>
      <c r="U89">
        <v>0</v>
      </c>
      <c r="V89">
        <v>0</v>
      </c>
      <c r="W89">
        <v>0</v>
      </c>
      <c r="X89">
        <v>0</v>
      </c>
      <c r="Y89" t="s">
        <v>359</v>
      </c>
      <c r="AB89">
        <v>0</v>
      </c>
      <c r="AC89">
        <v>0</v>
      </c>
      <c r="AE89">
        <v>-1</v>
      </c>
      <c r="AH89" t="s">
        <v>341</v>
      </c>
      <c r="AJ89" t="s">
        <v>342</v>
      </c>
      <c r="AK89" t="s">
        <v>353</v>
      </c>
      <c r="AM89">
        <v>0</v>
      </c>
      <c r="AN89">
        <v>0</v>
      </c>
      <c r="AQ89">
        <v>36.99</v>
      </c>
      <c r="AR89">
        <v>0</v>
      </c>
      <c r="AS89">
        <v>0</v>
      </c>
      <c r="AT89">
        <v>0</v>
      </c>
      <c r="AU89">
        <v>0</v>
      </c>
      <c r="AY89">
        <v>0</v>
      </c>
      <c r="BB89">
        <v>0</v>
      </c>
      <c r="BC89">
        <v>0</v>
      </c>
      <c r="BD89">
        <v>0</v>
      </c>
      <c r="BE89">
        <v>0</v>
      </c>
      <c r="BG89">
        <v>0</v>
      </c>
      <c r="BH89">
        <v>0</v>
      </c>
      <c r="BZ89">
        <v>1</v>
      </c>
      <c r="CA89" t="s">
        <v>429</v>
      </c>
      <c r="CJ89">
        <v>0</v>
      </c>
      <c r="CK89">
        <v>0</v>
      </c>
      <c r="CL89">
        <v>0</v>
      </c>
      <c r="CM89">
        <v>0</v>
      </c>
      <c r="CN89">
        <v>0</v>
      </c>
      <c r="CO89">
        <v>0</v>
      </c>
      <c r="CP89" t="s">
        <v>347</v>
      </c>
      <c r="CQ89" t="s">
        <v>348</v>
      </c>
    </row>
    <row r="90" spans="1:95">
      <c r="A90" s="5">
        <v>46189</v>
      </c>
      <c r="B90" t="s">
        <v>1559</v>
      </c>
      <c r="C90" t="s">
        <v>1560</v>
      </c>
      <c r="D90" t="s">
        <v>1558</v>
      </c>
      <c r="E90" t="s">
        <v>1943</v>
      </c>
      <c r="G90">
        <v>0</v>
      </c>
      <c r="H90">
        <v>-1</v>
      </c>
      <c r="O90" t="s">
        <v>338</v>
      </c>
      <c r="P90">
        <v>0</v>
      </c>
      <c r="Q90">
        <v>0</v>
      </c>
      <c r="R90">
        <v>0</v>
      </c>
      <c r="S90">
        <v>0</v>
      </c>
      <c r="U90">
        <v>0</v>
      </c>
      <c r="V90">
        <v>0</v>
      </c>
      <c r="W90">
        <v>0</v>
      </c>
      <c r="X90">
        <v>0</v>
      </c>
      <c r="Y90" t="s">
        <v>359</v>
      </c>
      <c r="AB90">
        <v>0</v>
      </c>
      <c r="AC90">
        <v>0</v>
      </c>
      <c r="AE90">
        <v>-1</v>
      </c>
      <c r="AH90" t="s">
        <v>424</v>
      </c>
      <c r="AJ90" t="s">
        <v>342</v>
      </c>
      <c r="AK90" t="s">
        <v>353</v>
      </c>
      <c r="AM90">
        <v>0</v>
      </c>
      <c r="AN90">
        <v>0</v>
      </c>
      <c r="AQ90">
        <v>109.99</v>
      </c>
      <c r="AR90">
        <v>0</v>
      </c>
      <c r="AS90">
        <v>0</v>
      </c>
      <c r="AT90">
        <v>0</v>
      </c>
      <c r="AU90">
        <v>0</v>
      </c>
      <c r="AY90">
        <v>0</v>
      </c>
      <c r="BB90">
        <v>0</v>
      </c>
      <c r="BC90">
        <v>0</v>
      </c>
      <c r="BD90">
        <v>0</v>
      </c>
      <c r="BE90">
        <v>0</v>
      </c>
      <c r="BG90">
        <v>0</v>
      </c>
      <c r="BH90">
        <v>0</v>
      </c>
      <c r="BZ90">
        <v>1</v>
      </c>
      <c r="CA90" t="s">
        <v>429</v>
      </c>
      <c r="CJ90">
        <v>0</v>
      </c>
      <c r="CK90">
        <v>0</v>
      </c>
      <c r="CL90">
        <v>0</v>
      </c>
      <c r="CM90">
        <v>0</v>
      </c>
      <c r="CN90">
        <v>0</v>
      </c>
      <c r="CO90">
        <v>0</v>
      </c>
      <c r="CP90" t="s">
        <v>347</v>
      </c>
      <c r="CQ90" t="s">
        <v>348</v>
      </c>
    </row>
    <row r="91" spans="1:95">
      <c r="A91" s="5">
        <v>46189</v>
      </c>
      <c r="B91" t="s">
        <v>1562</v>
      </c>
      <c r="C91" t="s">
        <v>1563</v>
      </c>
      <c r="D91" t="s">
        <v>1561</v>
      </c>
      <c r="E91" t="s">
        <v>1944</v>
      </c>
      <c r="F91" t="s">
        <v>337</v>
      </c>
      <c r="G91">
        <v>10</v>
      </c>
      <c r="H91">
        <v>0</v>
      </c>
      <c r="I91">
        <v>1</v>
      </c>
      <c r="J91">
        <v>8</v>
      </c>
      <c r="K91">
        <v>1</v>
      </c>
      <c r="L91">
        <v>0</v>
      </c>
      <c r="M91">
        <v>0</v>
      </c>
      <c r="N91">
        <v>0</v>
      </c>
      <c r="O91" t="s">
        <v>338</v>
      </c>
      <c r="P91">
        <v>0</v>
      </c>
      <c r="Q91">
        <v>2</v>
      </c>
      <c r="R91">
        <v>3</v>
      </c>
      <c r="S91">
        <v>4</v>
      </c>
      <c r="T91" t="s">
        <v>351</v>
      </c>
      <c r="U91">
        <v>58.99</v>
      </c>
      <c r="V91">
        <v>44.99</v>
      </c>
      <c r="W91">
        <v>44.99</v>
      </c>
      <c r="X91">
        <v>0</v>
      </c>
      <c r="Y91" t="s">
        <v>359</v>
      </c>
      <c r="AA91">
        <v>0</v>
      </c>
      <c r="AB91">
        <v>0</v>
      </c>
      <c r="AC91">
        <v>0</v>
      </c>
      <c r="AD91">
        <v>355.75</v>
      </c>
      <c r="AE91">
        <v>0.33</v>
      </c>
      <c r="AF91">
        <v>0.051042</v>
      </c>
      <c r="AG91" t="s">
        <v>340</v>
      </c>
      <c r="AH91" t="s">
        <v>341</v>
      </c>
      <c r="AI91">
        <v>0.51042</v>
      </c>
      <c r="AJ91" t="s">
        <v>342</v>
      </c>
      <c r="AK91" t="s">
        <v>1827</v>
      </c>
      <c r="AL91">
        <v>354967</v>
      </c>
      <c r="AM91">
        <v>80</v>
      </c>
      <c r="AN91">
        <v>0</v>
      </c>
      <c r="AO91">
        <v>20</v>
      </c>
      <c r="AP91">
        <v>32</v>
      </c>
      <c r="AQ91">
        <v>44.99</v>
      </c>
      <c r="AR91">
        <v>0</v>
      </c>
      <c r="AS91">
        <v>89.98</v>
      </c>
      <c r="AT91">
        <v>134.97</v>
      </c>
      <c r="AU91">
        <v>179.96</v>
      </c>
      <c r="AV91">
        <v>0</v>
      </c>
      <c r="AW91">
        <v>0</v>
      </c>
      <c r="AX91">
        <v>1</v>
      </c>
      <c r="AY91">
        <v>1</v>
      </c>
      <c r="AZ91">
        <v>0</v>
      </c>
      <c r="BA91">
        <v>0.74</v>
      </c>
      <c r="BB91">
        <v>0</v>
      </c>
      <c r="BC91">
        <v>0</v>
      </c>
      <c r="BD91">
        <v>0</v>
      </c>
      <c r="BE91">
        <v>0</v>
      </c>
      <c r="BG91">
        <v>0</v>
      </c>
      <c r="BH91">
        <v>0</v>
      </c>
      <c r="BI91">
        <v>0</v>
      </c>
      <c r="BJ91">
        <v>0</v>
      </c>
      <c r="BK91">
        <v>0</v>
      </c>
      <c r="BL91">
        <v>0</v>
      </c>
      <c r="BM91">
        <v>1</v>
      </c>
      <c r="BN91">
        <v>0.08</v>
      </c>
      <c r="BO91">
        <v>0</v>
      </c>
      <c r="BP91">
        <v>0</v>
      </c>
      <c r="BQ91">
        <v>0</v>
      </c>
      <c r="BR91">
        <v>0</v>
      </c>
      <c r="BS91">
        <v>0</v>
      </c>
      <c r="BT91">
        <v>0</v>
      </c>
      <c r="BU91">
        <v>0</v>
      </c>
      <c r="BV91">
        <v>0</v>
      </c>
      <c r="BW91">
        <v>0</v>
      </c>
      <c r="BX91">
        <v>0</v>
      </c>
      <c r="BY91">
        <v>222.2</v>
      </c>
      <c r="BZ91">
        <v>4</v>
      </c>
      <c r="CA91" t="s">
        <v>360</v>
      </c>
      <c r="CD91" s="5">
        <v>46188</v>
      </c>
      <c r="CE91" t="s">
        <v>345</v>
      </c>
      <c r="CF91" t="s">
        <v>346</v>
      </c>
      <c r="CG91">
        <v>163.5</v>
      </c>
      <c r="CH91">
        <v>222.2</v>
      </c>
      <c r="CI91" s="5">
        <v>46186</v>
      </c>
      <c r="CJ91">
        <v>10</v>
      </c>
      <c r="CK91">
        <v>0</v>
      </c>
      <c r="CL91">
        <v>0</v>
      </c>
      <c r="CM91">
        <v>0</v>
      </c>
      <c r="CN91">
        <v>0</v>
      </c>
      <c r="CO91">
        <v>80</v>
      </c>
      <c r="CP91" t="s">
        <v>347</v>
      </c>
      <c r="CQ91" t="s">
        <v>348</v>
      </c>
    </row>
    <row r="92" spans="1:95">
      <c r="A92" s="5">
        <v>46189</v>
      </c>
      <c r="B92" t="s">
        <v>1945</v>
      </c>
      <c r="C92" t="s">
        <v>1946</v>
      </c>
      <c r="D92" t="s">
        <v>1947</v>
      </c>
      <c r="E92" t="s">
        <v>1948</v>
      </c>
      <c r="F92" t="s">
        <v>337</v>
      </c>
      <c r="G92">
        <v>8</v>
      </c>
      <c r="H92">
        <v>0</v>
      </c>
      <c r="I92">
        <v>8</v>
      </c>
      <c r="J92">
        <v>0</v>
      </c>
      <c r="K92">
        <v>0</v>
      </c>
      <c r="L92">
        <v>0</v>
      </c>
      <c r="M92">
        <v>0</v>
      </c>
      <c r="N92">
        <v>0</v>
      </c>
      <c r="O92" t="s">
        <v>338</v>
      </c>
      <c r="T92" t="s">
        <v>351</v>
      </c>
      <c r="U92">
        <v>109.99</v>
      </c>
      <c r="V92">
        <v>0</v>
      </c>
      <c r="W92">
        <v>95.99</v>
      </c>
      <c r="X92">
        <v>0</v>
      </c>
      <c r="Y92" t="s">
        <v>391</v>
      </c>
      <c r="AA92">
        <v>0</v>
      </c>
      <c r="AB92">
        <v>0</v>
      </c>
      <c r="AC92">
        <v>0</v>
      </c>
      <c r="AD92">
        <v>1874.05</v>
      </c>
      <c r="AE92">
        <v>0</v>
      </c>
      <c r="AF92">
        <v>1.29974</v>
      </c>
      <c r="AG92" t="s">
        <v>340</v>
      </c>
      <c r="AH92" t="s">
        <v>424</v>
      </c>
      <c r="AI92">
        <v>10.39792</v>
      </c>
      <c r="AJ92" t="s">
        <v>342</v>
      </c>
      <c r="AK92" t="s">
        <v>353</v>
      </c>
      <c r="AL92">
        <v>1140064</v>
      </c>
      <c r="AM92">
        <v>366</v>
      </c>
      <c r="AN92">
        <v>0</v>
      </c>
      <c r="AQ92">
        <v>95.99</v>
      </c>
      <c r="AV92">
        <v>4</v>
      </c>
      <c r="AW92">
        <v>4</v>
      </c>
      <c r="AX92">
        <v>0</v>
      </c>
      <c r="AY92">
        <v>0</v>
      </c>
      <c r="AZ92">
        <v>0</v>
      </c>
      <c r="BA92">
        <v>5.34</v>
      </c>
      <c r="BB92">
        <v>0</v>
      </c>
      <c r="BC92">
        <v>0</v>
      </c>
      <c r="BD92">
        <v>0</v>
      </c>
      <c r="BE92">
        <v>0</v>
      </c>
      <c r="BG92">
        <v>0</v>
      </c>
      <c r="BH92">
        <v>0</v>
      </c>
      <c r="CI92" s="5">
        <v>46186</v>
      </c>
      <c r="CJ92">
        <v>8</v>
      </c>
      <c r="CK92">
        <v>0</v>
      </c>
      <c r="CL92">
        <v>0</v>
      </c>
      <c r="CM92">
        <v>0</v>
      </c>
      <c r="CN92">
        <v>0</v>
      </c>
      <c r="CO92">
        <v>366</v>
      </c>
      <c r="CP92" t="s">
        <v>347</v>
      </c>
      <c r="CQ92" t="s">
        <v>348</v>
      </c>
    </row>
    <row r="93" spans="1:95">
      <c r="A93" s="5">
        <v>46189</v>
      </c>
      <c r="B93" t="s">
        <v>1949</v>
      </c>
      <c r="C93" t="s">
        <v>1950</v>
      </c>
      <c r="D93" t="s">
        <v>1951</v>
      </c>
      <c r="E93" t="s">
        <v>1952</v>
      </c>
      <c r="F93" t="s">
        <v>337</v>
      </c>
      <c r="G93">
        <v>3</v>
      </c>
      <c r="H93">
        <v>0</v>
      </c>
      <c r="I93">
        <v>0</v>
      </c>
      <c r="J93">
        <v>2</v>
      </c>
      <c r="K93">
        <v>0</v>
      </c>
      <c r="L93">
        <v>0</v>
      </c>
      <c r="M93">
        <v>1</v>
      </c>
      <c r="N93">
        <v>0</v>
      </c>
      <c r="O93" t="s">
        <v>338</v>
      </c>
      <c r="P93">
        <v>0</v>
      </c>
      <c r="Q93">
        <v>0</v>
      </c>
      <c r="R93">
        <v>1</v>
      </c>
      <c r="S93">
        <v>1</v>
      </c>
      <c r="T93" t="s">
        <v>351</v>
      </c>
      <c r="U93">
        <v>55.99</v>
      </c>
      <c r="V93">
        <v>0</v>
      </c>
      <c r="W93">
        <v>27.99</v>
      </c>
      <c r="X93">
        <v>0</v>
      </c>
      <c r="Y93" t="s">
        <v>464</v>
      </c>
      <c r="AA93">
        <v>0</v>
      </c>
      <c r="AB93">
        <v>0</v>
      </c>
      <c r="AC93">
        <v>0</v>
      </c>
      <c r="AD93">
        <v>123.32</v>
      </c>
      <c r="AE93">
        <v>0.4</v>
      </c>
      <c r="AF93">
        <v>0.123903</v>
      </c>
      <c r="AG93" t="s">
        <v>340</v>
      </c>
      <c r="AH93" t="s">
        <v>341</v>
      </c>
      <c r="AI93">
        <v>0.371709</v>
      </c>
      <c r="AJ93" t="s">
        <v>342</v>
      </c>
      <c r="AK93" t="s">
        <v>353</v>
      </c>
      <c r="AL93">
        <v>244622</v>
      </c>
      <c r="AM93">
        <v>65</v>
      </c>
      <c r="AN93">
        <v>0</v>
      </c>
      <c r="AP93">
        <v>39</v>
      </c>
      <c r="AQ93">
        <v>27.99</v>
      </c>
      <c r="AR93">
        <v>0</v>
      </c>
      <c r="AS93">
        <v>0</v>
      </c>
      <c r="AT93">
        <v>38.99</v>
      </c>
      <c r="AU93">
        <v>38.99</v>
      </c>
      <c r="AV93">
        <v>0</v>
      </c>
      <c r="AW93">
        <v>0</v>
      </c>
      <c r="AX93">
        <v>0</v>
      </c>
      <c r="AY93">
        <v>0</v>
      </c>
      <c r="AZ93">
        <v>0</v>
      </c>
      <c r="BA93">
        <v>1.17</v>
      </c>
      <c r="BB93">
        <v>0</v>
      </c>
      <c r="BC93">
        <v>0</v>
      </c>
      <c r="BD93">
        <v>0</v>
      </c>
      <c r="BE93">
        <v>0</v>
      </c>
      <c r="BG93">
        <v>0</v>
      </c>
      <c r="BH93">
        <v>0</v>
      </c>
      <c r="BI93">
        <v>0</v>
      </c>
      <c r="BJ93">
        <v>0</v>
      </c>
      <c r="BK93">
        <v>0</v>
      </c>
      <c r="BL93">
        <v>0</v>
      </c>
      <c r="BM93">
        <v>0</v>
      </c>
      <c r="BN93">
        <v>0</v>
      </c>
      <c r="BO93">
        <v>0</v>
      </c>
      <c r="BP93">
        <v>0</v>
      </c>
      <c r="BQ93">
        <v>0</v>
      </c>
      <c r="BR93">
        <v>0</v>
      </c>
      <c r="BS93">
        <v>0</v>
      </c>
      <c r="BT93">
        <v>0</v>
      </c>
      <c r="BU93">
        <v>1</v>
      </c>
      <c r="BV93">
        <v>0.85</v>
      </c>
      <c r="BW93">
        <v>0</v>
      </c>
      <c r="BX93">
        <v>0</v>
      </c>
      <c r="BZ93">
        <v>3</v>
      </c>
      <c r="CA93" t="s">
        <v>360</v>
      </c>
      <c r="CB93">
        <v>2</v>
      </c>
      <c r="CC93" s="5">
        <v>46193</v>
      </c>
      <c r="CH93">
        <v>214</v>
      </c>
      <c r="CI93" s="5">
        <v>46186</v>
      </c>
      <c r="CJ93">
        <v>3</v>
      </c>
      <c r="CK93">
        <v>0</v>
      </c>
      <c r="CL93">
        <v>0</v>
      </c>
      <c r="CM93">
        <v>0</v>
      </c>
      <c r="CN93">
        <v>0</v>
      </c>
      <c r="CO93">
        <v>65</v>
      </c>
      <c r="CP93" t="s">
        <v>347</v>
      </c>
      <c r="CQ93" t="s">
        <v>348</v>
      </c>
    </row>
    <row r="94" spans="1:95">
      <c r="A94" s="5">
        <v>46189</v>
      </c>
      <c r="B94" t="s">
        <v>1566</v>
      </c>
      <c r="C94" t="s">
        <v>1567</v>
      </c>
      <c r="D94" t="s">
        <v>1565</v>
      </c>
      <c r="E94" t="s">
        <v>1953</v>
      </c>
      <c r="F94" t="s">
        <v>337</v>
      </c>
      <c r="G94">
        <v>20</v>
      </c>
      <c r="H94">
        <v>0</v>
      </c>
      <c r="I94">
        <v>0</v>
      </c>
      <c r="J94">
        <v>20</v>
      </c>
      <c r="K94">
        <v>0</v>
      </c>
      <c r="L94">
        <v>0</v>
      </c>
      <c r="M94">
        <v>0</v>
      </c>
      <c r="N94">
        <v>0</v>
      </c>
      <c r="O94" t="s">
        <v>338</v>
      </c>
      <c r="T94" t="s">
        <v>351</v>
      </c>
      <c r="U94">
        <v>79.99</v>
      </c>
      <c r="V94">
        <v>39.99</v>
      </c>
      <c r="W94">
        <v>39.99</v>
      </c>
      <c r="X94">
        <v>0</v>
      </c>
      <c r="Y94" t="s">
        <v>613</v>
      </c>
      <c r="AA94">
        <v>0</v>
      </c>
      <c r="AB94">
        <v>0</v>
      </c>
      <c r="AC94">
        <v>0</v>
      </c>
      <c r="AD94">
        <v>2002.27</v>
      </c>
      <c r="AE94">
        <v>0</v>
      </c>
      <c r="AF94">
        <v>0.374411</v>
      </c>
      <c r="AG94" t="s">
        <v>340</v>
      </c>
      <c r="AH94" t="s">
        <v>341</v>
      </c>
      <c r="AI94">
        <v>7.48822</v>
      </c>
      <c r="AJ94" t="s">
        <v>342</v>
      </c>
      <c r="AK94" t="s">
        <v>343</v>
      </c>
      <c r="AL94">
        <v>215750</v>
      </c>
      <c r="AM94">
        <v>346</v>
      </c>
      <c r="AN94">
        <v>20</v>
      </c>
      <c r="AQ94">
        <v>39.99</v>
      </c>
      <c r="AV94">
        <v>0</v>
      </c>
      <c r="AW94">
        <v>0</v>
      </c>
      <c r="AX94">
        <v>0</v>
      </c>
      <c r="AY94">
        <v>0</v>
      </c>
      <c r="AZ94">
        <v>0</v>
      </c>
      <c r="BA94">
        <v>5.35</v>
      </c>
      <c r="BB94">
        <v>0</v>
      </c>
      <c r="BC94">
        <v>0</v>
      </c>
      <c r="BD94">
        <v>0</v>
      </c>
      <c r="BE94">
        <v>0</v>
      </c>
      <c r="BG94">
        <v>0</v>
      </c>
      <c r="BH94">
        <v>0</v>
      </c>
      <c r="BZ94">
        <v>3</v>
      </c>
      <c r="CA94" t="s">
        <v>354</v>
      </c>
      <c r="CI94" s="5">
        <v>46186</v>
      </c>
      <c r="CJ94">
        <v>20</v>
      </c>
      <c r="CK94">
        <v>0</v>
      </c>
      <c r="CL94">
        <v>0</v>
      </c>
      <c r="CM94">
        <v>0</v>
      </c>
      <c r="CN94">
        <v>0</v>
      </c>
      <c r="CO94">
        <v>346</v>
      </c>
      <c r="CQ94" t="s">
        <v>348</v>
      </c>
    </row>
    <row r="95" spans="1:95">
      <c r="A95" s="5">
        <v>46189</v>
      </c>
      <c r="B95" t="s">
        <v>1954</v>
      </c>
      <c r="C95" t="s">
        <v>1955</v>
      </c>
      <c r="D95" t="s">
        <v>1956</v>
      </c>
      <c r="E95" t="s">
        <v>1957</v>
      </c>
      <c r="G95">
        <v>0</v>
      </c>
      <c r="H95">
        <v>-1</v>
      </c>
      <c r="O95" t="s">
        <v>338</v>
      </c>
      <c r="U95">
        <v>0</v>
      </c>
      <c r="V95">
        <v>0</v>
      </c>
      <c r="W95">
        <v>0</v>
      </c>
      <c r="X95">
        <v>0</v>
      </c>
      <c r="Y95" t="s">
        <v>359</v>
      </c>
      <c r="AB95">
        <v>0</v>
      </c>
      <c r="AC95">
        <v>0</v>
      </c>
      <c r="AE95">
        <v>-1</v>
      </c>
      <c r="AH95" t="s">
        <v>377</v>
      </c>
      <c r="AJ95" t="s">
        <v>342</v>
      </c>
      <c r="AK95" t="s">
        <v>353</v>
      </c>
      <c r="AM95">
        <v>0</v>
      </c>
      <c r="AN95">
        <v>0</v>
      </c>
      <c r="AQ95">
        <v>7.99</v>
      </c>
      <c r="AY95">
        <v>0</v>
      </c>
      <c r="BB95">
        <v>0</v>
      </c>
      <c r="BG95">
        <v>0</v>
      </c>
      <c r="BH95">
        <v>0</v>
      </c>
      <c r="CJ95">
        <v>0</v>
      </c>
      <c r="CK95">
        <v>0</v>
      </c>
      <c r="CL95">
        <v>0</v>
      </c>
      <c r="CM95">
        <v>0</v>
      </c>
      <c r="CN95">
        <v>0</v>
      </c>
      <c r="CO95">
        <v>0</v>
      </c>
      <c r="CP95" t="s">
        <v>347</v>
      </c>
      <c r="CQ95" t="s">
        <v>348</v>
      </c>
    </row>
    <row r="96" spans="1:95">
      <c r="A96" s="5">
        <v>46189</v>
      </c>
      <c r="B96" t="s">
        <v>1958</v>
      </c>
      <c r="C96" t="s">
        <v>108</v>
      </c>
      <c r="D96" t="s">
        <v>1959</v>
      </c>
      <c r="E96" t="s">
        <v>497</v>
      </c>
      <c r="G96">
        <v>0</v>
      </c>
      <c r="H96">
        <v>-1</v>
      </c>
      <c r="O96" t="s">
        <v>338</v>
      </c>
      <c r="P96">
        <v>0</v>
      </c>
      <c r="Q96">
        <v>0</v>
      </c>
      <c r="R96">
        <v>0</v>
      </c>
      <c r="S96">
        <v>0</v>
      </c>
      <c r="U96">
        <v>0</v>
      </c>
      <c r="V96">
        <v>0</v>
      </c>
      <c r="W96">
        <v>0</v>
      </c>
      <c r="X96">
        <v>0</v>
      </c>
      <c r="Y96" t="s">
        <v>359</v>
      </c>
      <c r="AB96">
        <v>0</v>
      </c>
      <c r="AC96">
        <v>0</v>
      </c>
      <c r="AE96">
        <v>-1</v>
      </c>
      <c r="AH96" t="s">
        <v>341</v>
      </c>
      <c r="AJ96" t="s">
        <v>342</v>
      </c>
      <c r="AK96" t="s">
        <v>343</v>
      </c>
      <c r="AL96">
        <v>32209</v>
      </c>
      <c r="AN96">
        <v>0</v>
      </c>
      <c r="AQ96">
        <v>34.99</v>
      </c>
      <c r="AR96">
        <v>0</v>
      </c>
      <c r="AS96">
        <v>0</v>
      </c>
      <c r="AT96">
        <v>0</v>
      </c>
      <c r="AU96">
        <v>0</v>
      </c>
      <c r="AY96">
        <v>0</v>
      </c>
      <c r="BB96">
        <v>0</v>
      </c>
      <c r="BC96">
        <v>0</v>
      </c>
      <c r="BD96">
        <v>0</v>
      </c>
      <c r="BE96">
        <v>0</v>
      </c>
      <c r="BG96">
        <v>0</v>
      </c>
      <c r="BH96">
        <v>0</v>
      </c>
      <c r="CJ96">
        <v>0</v>
      </c>
      <c r="CK96">
        <v>0</v>
      </c>
      <c r="CL96">
        <v>0</v>
      </c>
      <c r="CM96">
        <v>0</v>
      </c>
      <c r="CN96">
        <v>0</v>
      </c>
      <c r="CP96" t="s">
        <v>347</v>
      </c>
      <c r="CQ96" t="s">
        <v>348</v>
      </c>
    </row>
    <row r="97" spans="1:95">
      <c r="A97" s="5">
        <v>46189</v>
      </c>
      <c r="B97" t="s">
        <v>1960</v>
      </c>
      <c r="C97" t="s">
        <v>1961</v>
      </c>
      <c r="D97" t="s">
        <v>1962</v>
      </c>
      <c r="E97" t="s">
        <v>1963</v>
      </c>
      <c r="G97">
        <v>0</v>
      </c>
      <c r="H97">
        <v>-1</v>
      </c>
      <c r="O97" t="s">
        <v>338</v>
      </c>
      <c r="U97">
        <v>0</v>
      </c>
      <c r="V97">
        <v>0</v>
      </c>
      <c r="W97">
        <v>0</v>
      </c>
      <c r="X97">
        <v>0</v>
      </c>
      <c r="Y97" t="s">
        <v>359</v>
      </c>
      <c r="AB97">
        <v>0</v>
      </c>
      <c r="AC97">
        <v>0</v>
      </c>
      <c r="AE97">
        <v>-1</v>
      </c>
      <c r="AH97" t="s">
        <v>341</v>
      </c>
      <c r="AJ97" t="s">
        <v>342</v>
      </c>
      <c r="AK97" t="s">
        <v>353</v>
      </c>
      <c r="AN97">
        <v>0</v>
      </c>
      <c r="AY97">
        <v>0</v>
      </c>
      <c r="BB97">
        <v>0</v>
      </c>
      <c r="BG97">
        <v>0</v>
      </c>
      <c r="BH97">
        <v>0</v>
      </c>
      <c r="CJ97">
        <v>0</v>
      </c>
      <c r="CK97">
        <v>0</v>
      </c>
      <c r="CL97">
        <v>0</v>
      </c>
      <c r="CM97">
        <v>0</v>
      </c>
      <c r="CN97">
        <v>0</v>
      </c>
      <c r="CP97" t="s">
        <v>347</v>
      </c>
      <c r="CQ97" t="s">
        <v>348</v>
      </c>
    </row>
    <row r="98" spans="1:95">
      <c r="A98" s="5">
        <v>46189</v>
      </c>
      <c r="B98" t="s">
        <v>1964</v>
      </c>
      <c r="C98" t="s">
        <v>1965</v>
      </c>
      <c r="D98" t="s">
        <v>1966</v>
      </c>
      <c r="E98" t="s">
        <v>1967</v>
      </c>
      <c r="G98">
        <v>0</v>
      </c>
      <c r="H98">
        <v>-1</v>
      </c>
      <c r="O98" t="s">
        <v>338</v>
      </c>
      <c r="P98">
        <v>0</v>
      </c>
      <c r="Q98">
        <v>0</v>
      </c>
      <c r="R98">
        <v>0</v>
      </c>
      <c r="S98">
        <v>0</v>
      </c>
      <c r="U98">
        <v>0</v>
      </c>
      <c r="V98">
        <v>0</v>
      </c>
      <c r="W98">
        <v>0</v>
      </c>
      <c r="X98">
        <v>0</v>
      </c>
      <c r="Y98" t="s">
        <v>359</v>
      </c>
      <c r="AB98">
        <v>0</v>
      </c>
      <c r="AC98">
        <v>0</v>
      </c>
      <c r="AE98">
        <v>-1</v>
      </c>
      <c r="AH98" t="s">
        <v>341</v>
      </c>
      <c r="AJ98" t="s">
        <v>342</v>
      </c>
      <c r="AK98" t="s">
        <v>353</v>
      </c>
      <c r="AM98">
        <v>0</v>
      </c>
      <c r="AN98">
        <v>0</v>
      </c>
      <c r="AQ98">
        <v>21.99</v>
      </c>
      <c r="AR98">
        <v>0</v>
      </c>
      <c r="AS98">
        <v>0</v>
      </c>
      <c r="AT98">
        <v>0</v>
      </c>
      <c r="AU98">
        <v>0</v>
      </c>
      <c r="AY98">
        <v>0</v>
      </c>
      <c r="BB98">
        <v>0</v>
      </c>
      <c r="BC98">
        <v>0</v>
      </c>
      <c r="BD98">
        <v>0</v>
      </c>
      <c r="BE98">
        <v>0</v>
      </c>
      <c r="BG98">
        <v>0</v>
      </c>
      <c r="BH98">
        <v>1</v>
      </c>
      <c r="BZ98">
        <v>1</v>
      </c>
      <c r="CA98" t="s">
        <v>429</v>
      </c>
      <c r="CJ98">
        <v>0</v>
      </c>
      <c r="CK98">
        <v>0</v>
      </c>
      <c r="CL98">
        <v>0</v>
      </c>
      <c r="CM98">
        <v>0</v>
      </c>
      <c r="CN98">
        <v>0</v>
      </c>
      <c r="CO98">
        <v>0</v>
      </c>
      <c r="CQ98" t="s">
        <v>348</v>
      </c>
    </row>
    <row r="99" spans="1:95">
      <c r="A99" s="5">
        <v>46189</v>
      </c>
      <c r="B99" t="s">
        <v>1968</v>
      </c>
      <c r="C99" t="s">
        <v>1969</v>
      </c>
      <c r="D99" t="s">
        <v>1970</v>
      </c>
      <c r="E99" t="s">
        <v>1971</v>
      </c>
      <c r="F99" t="s">
        <v>337</v>
      </c>
      <c r="G99">
        <v>18</v>
      </c>
      <c r="H99">
        <v>0</v>
      </c>
      <c r="I99">
        <v>0</v>
      </c>
      <c r="J99">
        <v>10</v>
      </c>
      <c r="K99">
        <v>8</v>
      </c>
      <c r="L99">
        <v>0</v>
      </c>
      <c r="M99">
        <v>0</v>
      </c>
      <c r="N99">
        <v>0</v>
      </c>
      <c r="O99" t="s">
        <v>338</v>
      </c>
      <c r="P99">
        <v>1</v>
      </c>
      <c r="Q99">
        <v>1</v>
      </c>
      <c r="R99">
        <v>3</v>
      </c>
      <c r="S99">
        <v>4</v>
      </c>
      <c r="T99" t="s">
        <v>351</v>
      </c>
      <c r="U99">
        <v>42.99</v>
      </c>
      <c r="V99">
        <v>34.99</v>
      </c>
      <c r="W99">
        <v>34.99</v>
      </c>
      <c r="X99">
        <v>0</v>
      </c>
      <c r="Y99" t="s">
        <v>613</v>
      </c>
      <c r="AA99">
        <v>0</v>
      </c>
      <c r="AB99">
        <v>0</v>
      </c>
      <c r="AC99">
        <v>0</v>
      </c>
      <c r="AD99">
        <v>534.15</v>
      </c>
      <c r="AE99">
        <v>0.2</v>
      </c>
      <c r="AF99">
        <v>0.088542</v>
      </c>
      <c r="AG99" t="s">
        <v>340</v>
      </c>
      <c r="AH99" t="s">
        <v>341</v>
      </c>
      <c r="AI99">
        <v>1.593756</v>
      </c>
      <c r="AJ99" t="s">
        <v>342</v>
      </c>
      <c r="AK99" t="s">
        <v>353</v>
      </c>
      <c r="AL99">
        <v>420629</v>
      </c>
      <c r="AM99">
        <v>185</v>
      </c>
      <c r="AN99">
        <v>18</v>
      </c>
      <c r="AO99">
        <v>72</v>
      </c>
      <c r="AP99">
        <v>58</v>
      </c>
      <c r="AQ99">
        <v>34.99</v>
      </c>
      <c r="AR99">
        <v>34.99</v>
      </c>
      <c r="AS99">
        <v>34.99</v>
      </c>
      <c r="AT99">
        <v>104.97</v>
      </c>
      <c r="AU99">
        <v>139.96</v>
      </c>
      <c r="AV99">
        <v>0</v>
      </c>
      <c r="AW99">
        <v>0</v>
      </c>
      <c r="AX99">
        <v>0</v>
      </c>
      <c r="AY99">
        <v>8</v>
      </c>
      <c r="AZ99">
        <v>0</v>
      </c>
      <c r="BA99">
        <v>4.96</v>
      </c>
      <c r="BB99">
        <v>0</v>
      </c>
      <c r="BC99">
        <v>0</v>
      </c>
      <c r="BD99">
        <v>0</v>
      </c>
      <c r="BE99">
        <v>0</v>
      </c>
      <c r="BG99">
        <v>0</v>
      </c>
      <c r="BH99">
        <v>0</v>
      </c>
      <c r="BI99">
        <v>0</v>
      </c>
      <c r="BJ99">
        <v>0</v>
      </c>
      <c r="BK99">
        <v>0</v>
      </c>
      <c r="BL99">
        <v>0</v>
      </c>
      <c r="BM99">
        <v>8</v>
      </c>
      <c r="BN99">
        <v>1.05</v>
      </c>
      <c r="BO99">
        <v>0</v>
      </c>
      <c r="BP99">
        <v>0</v>
      </c>
      <c r="BQ99">
        <v>0</v>
      </c>
      <c r="BR99">
        <v>0</v>
      </c>
      <c r="BS99">
        <v>0</v>
      </c>
      <c r="BT99">
        <v>0</v>
      </c>
      <c r="BU99">
        <v>0</v>
      </c>
      <c r="BV99">
        <v>0</v>
      </c>
      <c r="BW99">
        <v>0</v>
      </c>
      <c r="BX99">
        <v>0</v>
      </c>
      <c r="BY99">
        <v>566</v>
      </c>
      <c r="BZ99">
        <v>2</v>
      </c>
      <c r="CA99" t="s">
        <v>354</v>
      </c>
      <c r="CD99" s="5">
        <v>46188</v>
      </c>
      <c r="CE99" t="s">
        <v>345</v>
      </c>
      <c r="CF99" t="s">
        <v>346</v>
      </c>
      <c r="CG99">
        <v>566</v>
      </c>
      <c r="CH99">
        <v>454.3</v>
      </c>
      <c r="CI99" s="5">
        <v>46186</v>
      </c>
      <c r="CJ99">
        <v>18</v>
      </c>
      <c r="CK99">
        <v>0</v>
      </c>
      <c r="CL99">
        <v>0</v>
      </c>
      <c r="CM99">
        <v>0</v>
      </c>
      <c r="CN99">
        <v>0</v>
      </c>
      <c r="CO99">
        <v>185</v>
      </c>
      <c r="CP99" t="s">
        <v>347</v>
      </c>
      <c r="CQ99" t="s">
        <v>348</v>
      </c>
    </row>
    <row r="100" spans="1:95">
      <c r="A100" s="5">
        <v>46189</v>
      </c>
      <c r="B100" t="s">
        <v>1972</v>
      </c>
      <c r="C100" t="s">
        <v>1973</v>
      </c>
      <c r="D100" t="s">
        <v>1974</v>
      </c>
      <c r="E100" t="s">
        <v>1975</v>
      </c>
      <c r="G100">
        <v>0</v>
      </c>
      <c r="H100">
        <v>-1</v>
      </c>
      <c r="O100" t="s">
        <v>338</v>
      </c>
      <c r="U100">
        <v>0</v>
      </c>
      <c r="V100">
        <v>0</v>
      </c>
      <c r="W100">
        <v>0</v>
      </c>
      <c r="X100">
        <v>0</v>
      </c>
      <c r="Y100" t="s">
        <v>359</v>
      </c>
      <c r="AB100">
        <v>0</v>
      </c>
      <c r="AC100">
        <v>0</v>
      </c>
      <c r="AE100">
        <v>-1</v>
      </c>
      <c r="AH100" t="s">
        <v>341</v>
      </c>
      <c r="AJ100" t="s">
        <v>342</v>
      </c>
      <c r="AK100" t="s">
        <v>353</v>
      </c>
      <c r="AN100">
        <v>0</v>
      </c>
      <c r="AQ100">
        <v>11.99</v>
      </c>
      <c r="AY100">
        <v>0</v>
      </c>
      <c r="BB100">
        <v>0</v>
      </c>
      <c r="BG100">
        <v>0</v>
      </c>
      <c r="BH100">
        <v>0</v>
      </c>
      <c r="CJ100">
        <v>0</v>
      </c>
      <c r="CK100">
        <v>0</v>
      </c>
      <c r="CL100">
        <v>0</v>
      </c>
      <c r="CM100">
        <v>0</v>
      </c>
      <c r="CN100">
        <v>0</v>
      </c>
      <c r="CP100" t="s">
        <v>347</v>
      </c>
      <c r="CQ100" t="s">
        <v>348</v>
      </c>
    </row>
    <row r="101" spans="1:95">
      <c r="A101" s="5">
        <v>46189</v>
      </c>
      <c r="B101" t="s">
        <v>1569</v>
      </c>
      <c r="C101" t="s">
        <v>1570</v>
      </c>
      <c r="D101" t="s">
        <v>1568</v>
      </c>
      <c r="E101" t="s">
        <v>1976</v>
      </c>
      <c r="F101" t="s">
        <v>337</v>
      </c>
      <c r="G101">
        <v>11</v>
      </c>
      <c r="H101">
        <v>0</v>
      </c>
      <c r="I101">
        <v>10</v>
      </c>
      <c r="J101">
        <v>2</v>
      </c>
      <c r="K101">
        <v>0</v>
      </c>
      <c r="L101">
        <v>0</v>
      </c>
      <c r="M101">
        <v>0</v>
      </c>
      <c r="N101">
        <v>0</v>
      </c>
      <c r="O101" t="s">
        <v>338</v>
      </c>
      <c r="P101">
        <v>2</v>
      </c>
      <c r="Q101">
        <v>4</v>
      </c>
      <c r="R101">
        <v>11</v>
      </c>
      <c r="S101">
        <v>15</v>
      </c>
      <c r="T101" t="s">
        <v>351</v>
      </c>
      <c r="U101">
        <v>28.99</v>
      </c>
      <c r="V101">
        <v>0</v>
      </c>
      <c r="W101">
        <v>28.99</v>
      </c>
      <c r="X101">
        <v>0</v>
      </c>
      <c r="Y101" t="s">
        <v>359</v>
      </c>
      <c r="AA101">
        <v>23.99</v>
      </c>
      <c r="AB101">
        <v>52</v>
      </c>
      <c r="AC101">
        <v>0</v>
      </c>
      <c r="AD101">
        <v>733.42</v>
      </c>
      <c r="AE101">
        <v>1.24</v>
      </c>
      <c r="AF101">
        <v>0.061721</v>
      </c>
      <c r="AG101" t="s">
        <v>340</v>
      </c>
      <c r="AH101" t="s">
        <v>341</v>
      </c>
      <c r="AI101">
        <v>0.678931</v>
      </c>
      <c r="AJ101" t="s">
        <v>342</v>
      </c>
      <c r="AK101" t="s">
        <v>353</v>
      </c>
      <c r="AL101">
        <v>190233</v>
      </c>
      <c r="AM101">
        <v>282</v>
      </c>
      <c r="AN101">
        <v>31</v>
      </c>
      <c r="AO101">
        <v>11</v>
      </c>
      <c r="AP101">
        <v>9</v>
      </c>
      <c r="AQ101">
        <v>28.99</v>
      </c>
      <c r="AR101">
        <v>57.98</v>
      </c>
      <c r="AS101">
        <v>110.96</v>
      </c>
      <c r="AT101">
        <v>272.89</v>
      </c>
      <c r="AU101">
        <v>367.65</v>
      </c>
      <c r="AV101">
        <v>10</v>
      </c>
      <c r="AW101">
        <v>0</v>
      </c>
      <c r="AX101">
        <v>0</v>
      </c>
      <c r="AY101">
        <v>0</v>
      </c>
      <c r="AZ101">
        <v>0</v>
      </c>
      <c r="BA101">
        <v>1.37</v>
      </c>
      <c r="BB101">
        <v>0</v>
      </c>
      <c r="BC101">
        <v>0</v>
      </c>
      <c r="BD101">
        <v>0</v>
      </c>
      <c r="BE101">
        <v>0</v>
      </c>
      <c r="BG101">
        <v>0</v>
      </c>
      <c r="BH101">
        <v>0</v>
      </c>
      <c r="BY101">
        <v>107.7</v>
      </c>
      <c r="BZ101">
        <v>5</v>
      </c>
      <c r="CA101" t="s">
        <v>354</v>
      </c>
      <c r="CD101" s="5">
        <v>46188</v>
      </c>
      <c r="CE101" t="s">
        <v>345</v>
      </c>
      <c r="CF101" t="s">
        <v>346</v>
      </c>
      <c r="CG101">
        <v>107.7</v>
      </c>
      <c r="CH101">
        <v>71.1</v>
      </c>
      <c r="CI101" s="5">
        <v>46186</v>
      </c>
      <c r="CJ101">
        <v>31</v>
      </c>
      <c r="CK101">
        <v>20</v>
      </c>
      <c r="CL101">
        <v>0</v>
      </c>
      <c r="CM101">
        <v>0</v>
      </c>
      <c r="CN101">
        <v>0</v>
      </c>
      <c r="CO101">
        <v>282</v>
      </c>
      <c r="CP101" t="s">
        <v>347</v>
      </c>
      <c r="CQ101" t="s">
        <v>348</v>
      </c>
    </row>
    <row r="102" spans="1:95">
      <c r="A102" s="5">
        <v>46189</v>
      </c>
      <c r="B102" t="s">
        <v>1977</v>
      </c>
      <c r="C102" t="s">
        <v>1978</v>
      </c>
      <c r="D102" t="s">
        <v>1979</v>
      </c>
      <c r="E102" t="s">
        <v>1980</v>
      </c>
      <c r="G102">
        <v>0</v>
      </c>
      <c r="H102">
        <v>-1</v>
      </c>
      <c r="O102" t="s">
        <v>338</v>
      </c>
      <c r="U102">
        <v>0</v>
      </c>
      <c r="V102">
        <v>0</v>
      </c>
      <c r="W102">
        <v>0</v>
      </c>
      <c r="X102">
        <v>0</v>
      </c>
      <c r="Y102" t="s">
        <v>359</v>
      </c>
      <c r="AB102">
        <v>0</v>
      </c>
      <c r="AC102">
        <v>0</v>
      </c>
      <c r="AE102">
        <v>-1</v>
      </c>
      <c r="AH102" t="s">
        <v>341</v>
      </c>
      <c r="AJ102" t="s">
        <v>342</v>
      </c>
      <c r="AK102" t="s">
        <v>353</v>
      </c>
      <c r="AN102">
        <v>0</v>
      </c>
      <c r="AY102">
        <v>0</v>
      </c>
      <c r="BB102">
        <v>0</v>
      </c>
      <c r="BG102">
        <v>0</v>
      </c>
      <c r="BH102">
        <v>0</v>
      </c>
      <c r="CJ102">
        <v>0</v>
      </c>
      <c r="CK102">
        <v>0</v>
      </c>
      <c r="CL102">
        <v>0</v>
      </c>
      <c r="CM102">
        <v>0</v>
      </c>
      <c r="CN102">
        <v>0</v>
      </c>
      <c r="CP102" t="s">
        <v>347</v>
      </c>
      <c r="CQ102" t="s">
        <v>348</v>
      </c>
    </row>
    <row r="103" spans="1:95">
      <c r="A103" s="5">
        <v>46189</v>
      </c>
      <c r="B103" t="s">
        <v>1573</v>
      </c>
      <c r="C103" t="s">
        <v>1574</v>
      </c>
      <c r="D103" t="s">
        <v>1572</v>
      </c>
      <c r="E103" t="s">
        <v>1981</v>
      </c>
      <c r="F103" t="s">
        <v>337</v>
      </c>
      <c r="G103">
        <v>28</v>
      </c>
      <c r="H103">
        <v>0</v>
      </c>
      <c r="I103">
        <v>10</v>
      </c>
      <c r="J103">
        <v>0</v>
      </c>
      <c r="K103">
        <v>18</v>
      </c>
      <c r="L103">
        <v>0</v>
      </c>
      <c r="M103">
        <v>0</v>
      </c>
      <c r="N103">
        <v>0</v>
      </c>
      <c r="O103" t="s">
        <v>338</v>
      </c>
      <c r="P103">
        <v>0</v>
      </c>
      <c r="Q103">
        <v>3</v>
      </c>
      <c r="R103">
        <v>7</v>
      </c>
      <c r="S103">
        <v>12</v>
      </c>
      <c r="T103" t="s">
        <v>351</v>
      </c>
      <c r="U103">
        <v>86.99</v>
      </c>
      <c r="V103">
        <v>65.99</v>
      </c>
      <c r="W103">
        <v>65.99</v>
      </c>
      <c r="X103">
        <v>39.08</v>
      </c>
      <c r="Y103" t="s">
        <v>359</v>
      </c>
      <c r="AA103">
        <v>0</v>
      </c>
      <c r="AB103">
        <v>0</v>
      </c>
      <c r="AC103">
        <v>0</v>
      </c>
      <c r="AD103">
        <v>2888.58</v>
      </c>
      <c r="AE103">
        <v>0.46</v>
      </c>
      <c r="AF103">
        <v>0.583333</v>
      </c>
      <c r="AG103" t="s">
        <v>340</v>
      </c>
      <c r="AH103" t="s">
        <v>1733</v>
      </c>
      <c r="AI103">
        <v>16.333324</v>
      </c>
      <c r="AJ103" t="s">
        <v>342</v>
      </c>
      <c r="AK103" t="s">
        <v>1734</v>
      </c>
      <c r="AL103">
        <v>760704</v>
      </c>
      <c r="AM103">
        <v>185</v>
      </c>
      <c r="AN103">
        <v>28</v>
      </c>
      <c r="AO103">
        <v>37</v>
      </c>
      <c r="AP103">
        <v>30</v>
      </c>
      <c r="AQ103">
        <v>65.99</v>
      </c>
      <c r="AR103">
        <v>0</v>
      </c>
      <c r="AS103">
        <v>197.97</v>
      </c>
      <c r="AT103">
        <v>461.93</v>
      </c>
      <c r="AU103">
        <v>791.88</v>
      </c>
      <c r="AV103">
        <v>9</v>
      </c>
      <c r="AW103">
        <v>1</v>
      </c>
      <c r="AX103">
        <v>0</v>
      </c>
      <c r="AY103">
        <v>18</v>
      </c>
      <c r="AZ103">
        <v>0</v>
      </c>
      <c r="BA103">
        <v>16.02</v>
      </c>
      <c r="BB103">
        <v>0</v>
      </c>
      <c r="BC103">
        <v>0</v>
      </c>
      <c r="BD103">
        <v>0</v>
      </c>
      <c r="BE103">
        <v>0</v>
      </c>
      <c r="BG103">
        <v>0</v>
      </c>
      <c r="BH103">
        <v>0</v>
      </c>
      <c r="BY103">
        <v>154.4</v>
      </c>
      <c r="BZ103">
        <v>6</v>
      </c>
      <c r="CA103" t="s">
        <v>354</v>
      </c>
      <c r="CD103" s="5">
        <v>46188</v>
      </c>
      <c r="CE103" t="s">
        <v>345</v>
      </c>
      <c r="CF103" t="s">
        <v>346</v>
      </c>
      <c r="CG103">
        <v>154.4</v>
      </c>
      <c r="CH103">
        <v>153.3</v>
      </c>
      <c r="CI103" s="5">
        <v>46186</v>
      </c>
      <c r="CJ103">
        <v>28</v>
      </c>
      <c r="CK103">
        <v>0</v>
      </c>
      <c r="CL103">
        <v>0</v>
      </c>
      <c r="CM103">
        <v>0</v>
      </c>
      <c r="CN103">
        <v>0</v>
      </c>
      <c r="CO103">
        <v>185</v>
      </c>
      <c r="CP103" t="s">
        <v>347</v>
      </c>
      <c r="CQ103" t="s">
        <v>348</v>
      </c>
    </row>
    <row r="104" spans="1:95">
      <c r="A104" s="5">
        <v>46189</v>
      </c>
      <c r="B104" t="s">
        <v>1982</v>
      </c>
      <c r="C104" t="s">
        <v>1983</v>
      </c>
      <c r="D104" t="s">
        <v>1984</v>
      </c>
      <c r="E104" t="s">
        <v>1985</v>
      </c>
      <c r="G104">
        <v>0</v>
      </c>
      <c r="H104">
        <v>-1</v>
      </c>
      <c r="O104" t="s">
        <v>338</v>
      </c>
      <c r="P104">
        <v>0</v>
      </c>
      <c r="Q104">
        <v>0</v>
      </c>
      <c r="R104">
        <v>0</v>
      </c>
      <c r="S104">
        <v>0</v>
      </c>
      <c r="U104">
        <v>0</v>
      </c>
      <c r="V104">
        <v>0</v>
      </c>
      <c r="W104">
        <v>0</v>
      </c>
      <c r="X104">
        <v>0</v>
      </c>
      <c r="Y104" t="s">
        <v>359</v>
      </c>
      <c r="AB104">
        <v>0</v>
      </c>
      <c r="AC104">
        <v>0</v>
      </c>
      <c r="AE104">
        <v>-1</v>
      </c>
      <c r="AH104" t="s">
        <v>341</v>
      </c>
      <c r="AJ104" t="s">
        <v>342</v>
      </c>
      <c r="AK104" t="s">
        <v>353</v>
      </c>
      <c r="AM104">
        <v>0</v>
      </c>
      <c r="AN104">
        <v>0</v>
      </c>
      <c r="AQ104">
        <v>18.04</v>
      </c>
      <c r="AR104">
        <v>0</v>
      </c>
      <c r="AS104">
        <v>0</v>
      </c>
      <c r="AT104">
        <v>0</v>
      </c>
      <c r="AU104">
        <v>0</v>
      </c>
      <c r="AY104">
        <v>0</v>
      </c>
      <c r="BB104">
        <v>0</v>
      </c>
      <c r="BC104">
        <v>0</v>
      </c>
      <c r="BD104">
        <v>0</v>
      </c>
      <c r="BE104">
        <v>0</v>
      </c>
      <c r="BG104">
        <v>0</v>
      </c>
      <c r="BH104">
        <v>0</v>
      </c>
      <c r="BZ104">
        <v>1</v>
      </c>
      <c r="CA104" t="s">
        <v>429</v>
      </c>
      <c r="CJ104">
        <v>0</v>
      </c>
      <c r="CK104">
        <v>0</v>
      </c>
      <c r="CL104">
        <v>0</v>
      </c>
      <c r="CM104">
        <v>0</v>
      </c>
      <c r="CN104">
        <v>0</v>
      </c>
      <c r="CO104">
        <v>0</v>
      </c>
      <c r="CP104" t="s">
        <v>347</v>
      </c>
      <c r="CQ104" t="s">
        <v>348</v>
      </c>
    </row>
    <row r="105" spans="1:95">
      <c r="A105" s="5">
        <v>46189</v>
      </c>
      <c r="B105" t="s">
        <v>1986</v>
      </c>
      <c r="C105" t="s">
        <v>1987</v>
      </c>
      <c r="D105" t="s">
        <v>1988</v>
      </c>
      <c r="E105" t="s">
        <v>1989</v>
      </c>
      <c r="F105" t="s">
        <v>337</v>
      </c>
      <c r="G105">
        <v>19</v>
      </c>
      <c r="H105">
        <v>0</v>
      </c>
      <c r="I105">
        <v>20</v>
      </c>
      <c r="J105">
        <v>0</v>
      </c>
      <c r="K105">
        <v>0</v>
      </c>
      <c r="L105">
        <v>0</v>
      </c>
      <c r="M105">
        <v>0</v>
      </c>
      <c r="N105">
        <v>0</v>
      </c>
      <c r="O105" t="s">
        <v>338</v>
      </c>
      <c r="P105">
        <v>0</v>
      </c>
      <c r="Q105">
        <v>0</v>
      </c>
      <c r="R105">
        <v>0</v>
      </c>
      <c r="S105">
        <v>0</v>
      </c>
      <c r="T105" t="s">
        <v>351</v>
      </c>
      <c r="U105">
        <v>87.99</v>
      </c>
      <c r="V105">
        <v>0</v>
      </c>
      <c r="W105">
        <v>83.59</v>
      </c>
      <c r="X105">
        <v>0</v>
      </c>
      <c r="Y105" t="s">
        <v>391</v>
      </c>
      <c r="AA105">
        <v>0</v>
      </c>
      <c r="AB105">
        <v>0</v>
      </c>
      <c r="AC105">
        <v>0</v>
      </c>
      <c r="AD105">
        <v>5105.21</v>
      </c>
      <c r="AE105">
        <v>0</v>
      </c>
      <c r="AF105">
        <v>1.29974</v>
      </c>
      <c r="AG105" t="s">
        <v>340</v>
      </c>
      <c r="AH105" t="s">
        <v>424</v>
      </c>
      <c r="AI105">
        <v>24.69506</v>
      </c>
      <c r="AJ105" t="s">
        <v>342</v>
      </c>
      <c r="AK105" t="s">
        <v>353</v>
      </c>
      <c r="AL105">
        <v>844643</v>
      </c>
      <c r="AM105">
        <v>366</v>
      </c>
      <c r="AN105">
        <v>0</v>
      </c>
      <c r="AQ105">
        <v>83.59</v>
      </c>
      <c r="AR105">
        <v>0</v>
      </c>
      <c r="AS105">
        <v>0</v>
      </c>
      <c r="AT105">
        <v>0</v>
      </c>
      <c r="AU105">
        <v>0</v>
      </c>
      <c r="AV105">
        <v>0</v>
      </c>
      <c r="AW105">
        <v>20</v>
      </c>
      <c r="AX105">
        <v>0</v>
      </c>
      <c r="AY105">
        <v>0</v>
      </c>
      <c r="AZ105">
        <v>0</v>
      </c>
      <c r="BA105">
        <v>12.67</v>
      </c>
      <c r="BB105">
        <v>0</v>
      </c>
      <c r="BC105">
        <v>0</v>
      </c>
      <c r="BD105">
        <v>0</v>
      </c>
      <c r="BE105">
        <v>0</v>
      </c>
      <c r="BG105">
        <v>0</v>
      </c>
      <c r="BH105">
        <v>4</v>
      </c>
      <c r="BZ105">
        <v>3</v>
      </c>
      <c r="CA105" t="s">
        <v>360</v>
      </c>
      <c r="CI105" s="5">
        <v>46186</v>
      </c>
      <c r="CJ105">
        <v>19</v>
      </c>
      <c r="CK105">
        <v>0</v>
      </c>
      <c r="CL105">
        <v>0</v>
      </c>
      <c r="CM105">
        <v>0</v>
      </c>
      <c r="CN105">
        <v>0</v>
      </c>
      <c r="CO105">
        <v>366</v>
      </c>
      <c r="CQ105" t="s">
        <v>348</v>
      </c>
    </row>
    <row r="106" spans="1:95">
      <c r="A106" s="5">
        <v>46189</v>
      </c>
      <c r="B106" t="s">
        <v>1575</v>
      </c>
      <c r="C106" t="s">
        <v>71</v>
      </c>
      <c r="D106" t="s">
        <v>80</v>
      </c>
      <c r="E106" t="s">
        <v>1990</v>
      </c>
      <c r="F106" t="s">
        <v>337</v>
      </c>
      <c r="G106">
        <v>29</v>
      </c>
      <c r="H106">
        <v>0</v>
      </c>
      <c r="I106">
        <v>29</v>
      </c>
      <c r="J106">
        <v>0</v>
      </c>
      <c r="K106">
        <v>0</v>
      </c>
      <c r="L106">
        <v>0</v>
      </c>
      <c r="M106">
        <v>0</v>
      </c>
      <c r="N106">
        <v>0</v>
      </c>
      <c r="O106" t="s">
        <v>338</v>
      </c>
      <c r="P106">
        <v>5</v>
      </c>
      <c r="Q106">
        <v>17</v>
      </c>
      <c r="R106">
        <v>33</v>
      </c>
      <c r="S106">
        <v>53</v>
      </c>
      <c r="T106" t="s">
        <v>351</v>
      </c>
      <c r="U106">
        <v>34.99</v>
      </c>
      <c r="V106">
        <v>29.99</v>
      </c>
      <c r="W106">
        <v>29.99</v>
      </c>
      <c r="X106">
        <v>0</v>
      </c>
      <c r="Y106" t="s">
        <v>359</v>
      </c>
      <c r="AA106">
        <v>0</v>
      </c>
      <c r="AB106">
        <v>0</v>
      </c>
      <c r="AC106">
        <v>0</v>
      </c>
      <c r="AD106">
        <v>0</v>
      </c>
      <c r="AE106">
        <v>2.41</v>
      </c>
      <c r="AF106">
        <v>0.1875</v>
      </c>
      <c r="AG106" t="s">
        <v>340</v>
      </c>
      <c r="AH106" t="s">
        <v>341</v>
      </c>
      <c r="AI106">
        <v>5.4375</v>
      </c>
      <c r="AJ106" t="s">
        <v>342</v>
      </c>
      <c r="AK106" t="s">
        <v>353</v>
      </c>
      <c r="AL106">
        <v>228154</v>
      </c>
      <c r="AM106">
        <v>113</v>
      </c>
      <c r="AN106">
        <v>0</v>
      </c>
      <c r="AO106">
        <v>12</v>
      </c>
      <c r="AP106">
        <v>13</v>
      </c>
      <c r="AQ106">
        <v>29.99</v>
      </c>
      <c r="AR106">
        <v>149.95</v>
      </c>
      <c r="AS106">
        <v>509.83</v>
      </c>
      <c r="AT106">
        <v>989.67</v>
      </c>
      <c r="AU106">
        <v>1589.47</v>
      </c>
      <c r="AV106">
        <v>29</v>
      </c>
      <c r="AW106">
        <v>0</v>
      </c>
      <c r="AX106">
        <v>0</v>
      </c>
      <c r="AY106">
        <v>0</v>
      </c>
      <c r="AZ106">
        <v>0</v>
      </c>
      <c r="BA106">
        <v>3.84</v>
      </c>
      <c r="BB106">
        <v>24</v>
      </c>
      <c r="BC106">
        <v>0</v>
      </c>
      <c r="BD106">
        <v>0</v>
      </c>
      <c r="BE106">
        <v>24</v>
      </c>
      <c r="BG106">
        <v>0</v>
      </c>
      <c r="BH106">
        <v>0</v>
      </c>
      <c r="BY106">
        <v>50</v>
      </c>
      <c r="BZ106">
        <v>32</v>
      </c>
      <c r="CA106" t="s">
        <v>360</v>
      </c>
      <c r="CD106" s="5">
        <v>46188</v>
      </c>
      <c r="CE106" t="s">
        <v>345</v>
      </c>
      <c r="CF106" t="s">
        <v>346</v>
      </c>
      <c r="CG106">
        <v>50</v>
      </c>
      <c r="CH106">
        <v>37</v>
      </c>
      <c r="CI106" s="5">
        <v>46186</v>
      </c>
      <c r="CJ106">
        <v>57</v>
      </c>
      <c r="CK106">
        <v>4</v>
      </c>
      <c r="CL106">
        <v>0</v>
      </c>
      <c r="CM106">
        <v>0</v>
      </c>
      <c r="CN106">
        <v>0</v>
      </c>
      <c r="CO106">
        <v>113</v>
      </c>
      <c r="CP106" t="s">
        <v>347</v>
      </c>
      <c r="CQ106" t="s">
        <v>348</v>
      </c>
    </row>
    <row r="107" spans="1:95">
      <c r="A107" s="5">
        <v>46189</v>
      </c>
      <c r="B107" t="s">
        <v>1991</v>
      </c>
      <c r="C107" t="s">
        <v>1992</v>
      </c>
      <c r="D107" t="s">
        <v>1993</v>
      </c>
      <c r="E107" t="s">
        <v>1994</v>
      </c>
      <c r="F107" t="s">
        <v>337</v>
      </c>
      <c r="G107">
        <v>9</v>
      </c>
      <c r="H107">
        <v>0</v>
      </c>
      <c r="I107">
        <v>0</v>
      </c>
      <c r="J107">
        <v>0</v>
      </c>
      <c r="K107">
        <v>0</v>
      </c>
      <c r="L107">
        <v>9</v>
      </c>
      <c r="M107">
        <v>0</v>
      </c>
      <c r="N107">
        <v>0</v>
      </c>
      <c r="O107" t="s">
        <v>338</v>
      </c>
      <c r="P107">
        <v>0</v>
      </c>
      <c r="Q107">
        <v>2</v>
      </c>
      <c r="R107">
        <v>4</v>
      </c>
      <c r="S107">
        <v>6</v>
      </c>
      <c r="T107" t="s">
        <v>351</v>
      </c>
      <c r="U107">
        <v>21.99</v>
      </c>
      <c r="V107">
        <v>11.99</v>
      </c>
      <c r="W107">
        <v>11.99</v>
      </c>
      <c r="X107">
        <v>0</v>
      </c>
      <c r="Y107" t="s">
        <v>359</v>
      </c>
      <c r="AA107">
        <v>0</v>
      </c>
      <c r="AB107">
        <v>0</v>
      </c>
      <c r="AC107">
        <v>0</v>
      </c>
      <c r="AD107">
        <v>0.12</v>
      </c>
      <c r="AE107">
        <v>0.49</v>
      </c>
      <c r="AF107">
        <v>0.139703</v>
      </c>
      <c r="AG107" t="s">
        <v>340</v>
      </c>
      <c r="AH107" t="s">
        <v>341</v>
      </c>
      <c r="AI107">
        <v>1.257327</v>
      </c>
      <c r="AJ107" t="s">
        <v>342</v>
      </c>
      <c r="AK107" t="s">
        <v>353</v>
      </c>
      <c r="AL107">
        <v>540063</v>
      </c>
      <c r="AM107">
        <v>24</v>
      </c>
      <c r="AN107">
        <v>0</v>
      </c>
      <c r="AO107">
        <v>18</v>
      </c>
      <c r="AP107">
        <v>19</v>
      </c>
      <c r="AQ107">
        <v>11.99</v>
      </c>
      <c r="AR107">
        <v>0</v>
      </c>
      <c r="AS107">
        <v>23.98</v>
      </c>
      <c r="AT107">
        <v>47.96</v>
      </c>
      <c r="AU107">
        <v>71.94</v>
      </c>
      <c r="AV107">
        <v>0</v>
      </c>
      <c r="AW107">
        <v>0</v>
      </c>
      <c r="AX107">
        <v>0</v>
      </c>
      <c r="AY107">
        <v>9</v>
      </c>
      <c r="AZ107">
        <v>0</v>
      </c>
      <c r="BA107">
        <v>6.54</v>
      </c>
      <c r="BB107">
        <v>0</v>
      </c>
      <c r="BC107">
        <v>0</v>
      </c>
      <c r="BD107">
        <v>0</v>
      </c>
      <c r="BE107">
        <v>0</v>
      </c>
      <c r="BG107">
        <v>0</v>
      </c>
      <c r="BH107">
        <v>0</v>
      </c>
      <c r="BI107">
        <v>0</v>
      </c>
      <c r="BJ107">
        <v>0</v>
      </c>
      <c r="BK107">
        <v>0</v>
      </c>
      <c r="BL107">
        <v>0</v>
      </c>
      <c r="BM107">
        <v>0</v>
      </c>
      <c r="BN107">
        <v>0</v>
      </c>
      <c r="BO107">
        <v>0</v>
      </c>
      <c r="BP107">
        <v>0</v>
      </c>
      <c r="BQ107">
        <v>9</v>
      </c>
      <c r="BR107">
        <v>7.18</v>
      </c>
      <c r="BS107">
        <v>0</v>
      </c>
      <c r="BT107">
        <v>0</v>
      </c>
      <c r="BU107">
        <v>0</v>
      </c>
      <c r="BV107">
        <v>0</v>
      </c>
      <c r="BW107">
        <v>0</v>
      </c>
      <c r="BX107">
        <v>0</v>
      </c>
      <c r="BY107">
        <v>185.8</v>
      </c>
      <c r="BZ107">
        <v>12</v>
      </c>
      <c r="CA107" t="s">
        <v>344</v>
      </c>
      <c r="CB107">
        <v>10</v>
      </c>
      <c r="CC107" s="5">
        <v>46193</v>
      </c>
      <c r="CD107" s="5">
        <v>46188</v>
      </c>
      <c r="CE107" t="s">
        <v>345</v>
      </c>
      <c r="CF107" t="s">
        <v>346</v>
      </c>
      <c r="CG107">
        <v>101.7</v>
      </c>
      <c r="CH107">
        <v>185.8</v>
      </c>
      <c r="CI107" s="5">
        <v>46186</v>
      </c>
      <c r="CJ107">
        <v>9</v>
      </c>
      <c r="CK107">
        <v>0</v>
      </c>
      <c r="CL107">
        <v>0</v>
      </c>
      <c r="CM107">
        <v>0</v>
      </c>
      <c r="CN107">
        <v>0</v>
      </c>
      <c r="CO107">
        <v>24</v>
      </c>
      <c r="CP107" t="s">
        <v>347</v>
      </c>
      <c r="CQ107" t="s">
        <v>348</v>
      </c>
    </row>
    <row r="108" spans="1:95">
      <c r="A108" s="5">
        <v>46189</v>
      </c>
      <c r="B108" t="s">
        <v>1995</v>
      </c>
      <c r="C108" t="s">
        <v>1936</v>
      </c>
      <c r="D108" t="s">
        <v>1996</v>
      </c>
      <c r="E108" t="s">
        <v>1938</v>
      </c>
      <c r="G108">
        <v>0</v>
      </c>
      <c r="H108">
        <v>-1</v>
      </c>
      <c r="O108" t="s">
        <v>338</v>
      </c>
      <c r="U108">
        <v>0</v>
      </c>
      <c r="V108">
        <v>0</v>
      </c>
      <c r="W108">
        <v>0</v>
      </c>
      <c r="X108">
        <v>0</v>
      </c>
      <c r="Y108" t="s">
        <v>359</v>
      </c>
      <c r="AB108">
        <v>0</v>
      </c>
      <c r="AC108">
        <v>0</v>
      </c>
      <c r="AE108">
        <v>-1</v>
      </c>
      <c r="AH108" t="s">
        <v>341</v>
      </c>
      <c r="AJ108" t="s">
        <v>342</v>
      </c>
      <c r="AK108" t="s">
        <v>353</v>
      </c>
      <c r="AL108">
        <v>192027</v>
      </c>
      <c r="AM108">
        <v>0</v>
      </c>
      <c r="AN108">
        <v>0</v>
      </c>
      <c r="AQ108">
        <v>69.99</v>
      </c>
      <c r="AY108">
        <v>0</v>
      </c>
      <c r="BB108">
        <v>0</v>
      </c>
      <c r="BG108">
        <v>0</v>
      </c>
      <c r="BH108">
        <v>0</v>
      </c>
      <c r="CJ108">
        <v>0</v>
      </c>
      <c r="CK108">
        <v>0</v>
      </c>
      <c r="CL108">
        <v>0</v>
      </c>
      <c r="CM108">
        <v>0</v>
      </c>
      <c r="CN108">
        <v>0</v>
      </c>
      <c r="CO108">
        <v>0</v>
      </c>
      <c r="CP108" t="s">
        <v>347</v>
      </c>
      <c r="CQ108" t="s">
        <v>348</v>
      </c>
    </row>
    <row r="109" spans="1:95">
      <c r="A109" s="5">
        <v>46189</v>
      </c>
      <c r="B109" t="s">
        <v>1577</v>
      </c>
      <c r="C109" t="s">
        <v>1578</v>
      </c>
      <c r="D109" t="s">
        <v>1576</v>
      </c>
      <c r="E109" t="s">
        <v>1997</v>
      </c>
      <c r="F109" t="s">
        <v>337</v>
      </c>
      <c r="G109">
        <v>35</v>
      </c>
      <c r="H109">
        <v>0</v>
      </c>
      <c r="I109">
        <v>0</v>
      </c>
      <c r="J109">
        <v>35</v>
      </c>
      <c r="K109">
        <v>0</v>
      </c>
      <c r="L109">
        <v>0</v>
      </c>
      <c r="M109">
        <v>0</v>
      </c>
      <c r="N109">
        <v>0</v>
      </c>
      <c r="O109" t="s">
        <v>338</v>
      </c>
      <c r="P109">
        <v>1</v>
      </c>
      <c r="Q109">
        <v>5</v>
      </c>
      <c r="R109">
        <v>9</v>
      </c>
      <c r="S109">
        <v>15</v>
      </c>
      <c r="T109" t="s">
        <v>351</v>
      </c>
      <c r="U109">
        <v>46.99</v>
      </c>
      <c r="V109">
        <v>39.99</v>
      </c>
      <c r="W109">
        <v>39.99</v>
      </c>
      <c r="X109">
        <v>0</v>
      </c>
      <c r="Y109" t="s">
        <v>359</v>
      </c>
      <c r="AA109">
        <v>0</v>
      </c>
      <c r="AB109">
        <v>0</v>
      </c>
      <c r="AC109">
        <v>0</v>
      </c>
      <c r="AD109">
        <v>1645.57</v>
      </c>
      <c r="AE109">
        <v>0.31</v>
      </c>
      <c r="AF109">
        <v>0.363543</v>
      </c>
      <c r="AG109" t="s">
        <v>340</v>
      </c>
      <c r="AH109" t="s">
        <v>341</v>
      </c>
      <c r="AI109">
        <v>12.724005</v>
      </c>
      <c r="AJ109" t="s">
        <v>342</v>
      </c>
      <c r="AK109" t="s">
        <v>353</v>
      </c>
      <c r="AL109">
        <v>475568</v>
      </c>
      <c r="AM109">
        <v>196</v>
      </c>
      <c r="AN109">
        <v>26</v>
      </c>
      <c r="AO109">
        <v>28</v>
      </c>
      <c r="AP109">
        <v>30</v>
      </c>
      <c r="AQ109">
        <v>37.99</v>
      </c>
      <c r="AR109">
        <v>37.99</v>
      </c>
      <c r="AS109">
        <v>189.95</v>
      </c>
      <c r="AT109">
        <v>347.91</v>
      </c>
      <c r="AU109">
        <v>587.85</v>
      </c>
      <c r="AV109">
        <v>0</v>
      </c>
      <c r="AW109">
        <v>0</v>
      </c>
      <c r="AX109">
        <v>0</v>
      </c>
      <c r="AY109">
        <v>0</v>
      </c>
      <c r="AZ109">
        <v>0</v>
      </c>
      <c r="BA109">
        <v>9.1</v>
      </c>
      <c r="BB109">
        <v>0</v>
      </c>
      <c r="BC109">
        <v>0</v>
      </c>
      <c r="BD109">
        <v>0</v>
      </c>
      <c r="BE109">
        <v>0</v>
      </c>
      <c r="BG109">
        <v>6</v>
      </c>
      <c r="BH109">
        <v>0</v>
      </c>
      <c r="BY109">
        <v>327.3</v>
      </c>
      <c r="BZ109">
        <v>14</v>
      </c>
      <c r="CA109" t="s">
        <v>354</v>
      </c>
      <c r="CD109" s="5">
        <v>46188</v>
      </c>
      <c r="CE109" t="s">
        <v>345</v>
      </c>
      <c r="CF109" t="s">
        <v>346</v>
      </c>
      <c r="CG109">
        <v>327.3</v>
      </c>
      <c r="CH109">
        <v>308.5</v>
      </c>
      <c r="CI109" s="5">
        <v>46186</v>
      </c>
      <c r="CJ109">
        <v>35</v>
      </c>
      <c r="CK109">
        <v>0</v>
      </c>
      <c r="CL109">
        <v>6</v>
      </c>
      <c r="CM109">
        <v>0</v>
      </c>
      <c r="CN109">
        <v>0</v>
      </c>
      <c r="CO109">
        <v>206</v>
      </c>
      <c r="CP109" t="s">
        <v>347</v>
      </c>
      <c r="CQ109" t="s">
        <v>348</v>
      </c>
    </row>
    <row r="110" spans="1:95">
      <c r="A110" s="5">
        <v>46189</v>
      </c>
      <c r="B110" t="s">
        <v>1998</v>
      </c>
      <c r="C110" t="s">
        <v>1999</v>
      </c>
      <c r="D110" t="s">
        <v>2000</v>
      </c>
      <c r="E110" t="s">
        <v>2001</v>
      </c>
      <c r="G110">
        <v>0</v>
      </c>
      <c r="H110">
        <v>-1</v>
      </c>
      <c r="O110" t="s">
        <v>338</v>
      </c>
      <c r="P110">
        <v>0</v>
      </c>
      <c r="Q110">
        <v>0</v>
      </c>
      <c r="R110">
        <v>0</v>
      </c>
      <c r="S110">
        <v>0</v>
      </c>
      <c r="U110">
        <v>0</v>
      </c>
      <c r="V110">
        <v>0</v>
      </c>
      <c r="W110">
        <v>0</v>
      </c>
      <c r="X110">
        <v>0</v>
      </c>
      <c r="Y110" t="s">
        <v>359</v>
      </c>
      <c r="AB110">
        <v>0</v>
      </c>
      <c r="AC110">
        <v>0</v>
      </c>
      <c r="AE110">
        <v>-1</v>
      </c>
      <c r="AH110" t="s">
        <v>341</v>
      </c>
      <c r="AJ110" t="s">
        <v>342</v>
      </c>
      <c r="AK110" t="s">
        <v>353</v>
      </c>
      <c r="AM110">
        <v>0</v>
      </c>
      <c r="AN110">
        <v>0</v>
      </c>
      <c r="AQ110">
        <v>23.99</v>
      </c>
      <c r="AR110">
        <v>0</v>
      </c>
      <c r="AS110">
        <v>0</v>
      </c>
      <c r="AT110">
        <v>0</v>
      </c>
      <c r="AU110">
        <v>0</v>
      </c>
      <c r="AY110">
        <v>0</v>
      </c>
      <c r="BB110">
        <v>0</v>
      </c>
      <c r="BC110">
        <v>0</v>
      </c>
      <c r="BD110">
        <v>0</v>
      </c>
      <c r="BE110">
        <v>0</v>
      </c>
      <c r="BG110">
        <v>0</v>
      </c>
      <c r="BH110">
        <v>0</v>
      </c>
      <c r="BZ110">
        <v>1</v>
      </c>
      <c r="CA110" t="s">
        <v>429</v>
      </c>
      <c r="CJ110">
        <v>0</v>
      </c>
      <c r="CK110">
        <v>0</v>
      </c>
      <c r="CL110">
        <v>0</v>
      </c>
      <c r="CM110">
        <v>0</v>
      </c>
      <c r="CN110">
        <v>0</v>
      </c>
      <c r="CO110">
        <v>0</v>
      </c>
      <c r="CP110" t="s">
        <v>347</v>
      </c>
      <c r="CQ110" t="s">
        <v>348</v>
      </c>
    </row>
    <row r="111" spans="1:95">
      <c r="A111" s="5">
        <v>46189</v>
      </c>
      <c r="B111" t="s">
        <v>2002</v>
      </c>
      <c r="C111" t="s">
        <v>2003</v>
      </c>
      <c r="D111" t="s">
        <v>2004</v>
      </c>
      <c r="E111" t="s">
        <v>2005</v>
      </c>
      <c r="G111">
        <v>0</v>
      </c>
      <c r="H111">
        <v>-1</v>
      </c>
      <c r="O111" t="s">
        <v>338</v>
      </c>
      <c r="U111">
        <v>0</v>
      </c>
      <c r="V111">
        <v>0</v>
      </c>
      <c r="W111">
        <v>0</v>
      </c>
      <c r="X111">
        <v>0</v>
      </c>
      <c r="Y111" t="s">
        <v>359</v>
      </c>
      <c r="AB111">
        <v>0</v>
      </c>
      <c r="AC111">
        <v>0</v>
      </c>
      <c r="AE111">
        <v>-1</v>
      </c>
      <c r="AH111" t="s">
        <v>341</v>
      </c>
      <c r="AJ111" t="s">
        <v>342</v>
      </c>
      <c r="AK111" t="s">
        <v>595</v>
      </c>
      <c r="AN111">
        <v>0</v>
      </c>
      <c r="AY111">
        <v>0</v>
      </c>
      <c r="BB111">
        <v>0</v>
      </c>
      <c r="BG111">
        <v>0</v>
      </c>
      <c r="BH111">
        <v>0</v>
      </c>
      <c r="CJ111">
        <v>0</v>
      </c>
      <c r="CK111">
        <v>0</v>
      </c>
      <c r="CL111">
        <v>0</v>
      </c>
      <c r="CM111">
        <v>0</v>
      </c>
      <c r="CN111">
        <v>0</v>
      </c>
      <c r="CP111" t="s">
        <v>347</v>
      </c>
      <c r="CQ111" t="s">
        <v>348</v>
      </c>
    </row>
    <row r="112" spans="1:95">
      <c r="A112" s="5">
        <v>46189</v>
      </c>
      <c r="B112" t="s">
        <v>2006</v>
      </c>
      <c r="C112" t="s">
        <v>2007</v>
      </c>
      <c r="D112" t="s">
        <v>2008</v>
      </c>
      <c r="E112" t="s">
        <v>2009</v>
      </c>
      <c r="G112">
        <v>0</v>
      </c>
      <c r="H112">
        <v>-1</v>
      </c>
      <c r="O112" t="s">
        <v>338</v>
      </c>
      <c r="U112">
        <v>0</v>
      </c>
      <c r="V112">
        <v>0</v>
      </c>
      <c r="W112">
        <v>0</v>
      </c>
      <c r="X112">
        <v>0</v>
      </c>
      <c r="Y112" t="s">
        <v>359</v>
      </c>
      <c r="AB112">
        <v>0</v>
      </c>
      <c r="AC112">
        <v>0</v>
      </c>
      <c r="AE112">
        <v>-1</v>
      </c>
      <c r="AH112" t="s">
        <v>341</v>
      </c>
      <c r="AJ112" t="s">
        <v>342</v>
      </c>
      <c r="AK112" t="s">
        <v>353</v>
      </c>
      <c r="AN112">
        <v>0</v>
      </c>
      <c r="AY112">
        <v>0</v>
      </c>
      <c r="BB112">
        <v>0</v>
      </c>
      <c r="BG112">
        <v>0</v>
      </c>
      <c r="BH112">
        <v>0</v>
      </c>
      <c r="CJ112">
        <v>0</v>
      </c>
      <c r="CK112">
        <v>0</v>
      </c>
      <c r="CL112">
        <v>0</v>
      </c>
      <c r="CM112">
        <v>0</v>
      </c>
      <c r="CN112">
        <v>0</v>
      </c>
      <c r="CP112" t="s">
        <v>347</v>
      </c>
      <c r="CQ112" t="s">
        <v>348</v>
      </c>
    </row>
    <row r="113" spans="1:95">
      <c r="A113" s="5">
        <v>46189</v>
      </c>
      <c r="B113" t="s">
        <v>1580</v>
      </c>
      <c r="C113" t="s">
        <v>1581</v>
      </c>
      <c r="D113" t="s">
        <v>1579</v>
      </c>
      <c r="E113" t="s">
        <v>2010</v>
      </c>
      <c r="F113" t="s">
        <v>337</v>
      </c>
      <c r="G113">
        <v>58</v>
      </c>
      <c r="H113">
        <v>0</v>
      </c>
      <c r="I113">
        <v>0</v>
      </c>
      <c r="J113">
        <v>0</v>
      </c>
      <c r="K113">
        <v>40</v>
      </c>
      <c r="L113">
        <v>18</v>
      </c>
      <c r="M113">
        <v>0</v>
      </c>
      <c r="N113">
        <v>0</v>
      </c>
      <c r="O113" t="s">
        <v>338</v>
      </c>
      <c r="P113">
        <v>0</v>
      </c>
      <c r="Q113">
        <v>0</v>
      </c>
      <c r="R113">
        <v>0</v>
      </c>
      <c r="S113">
        <v>0</v>
      </c>
      <c r="T113" t="s">
        <v>351</v>
      </c>
      <c r="U113">
        <v>39.99</v>
      </c>
      <c r="V113">
        <v>28.99</v>
      </c>
      <c r="W113">
        <v>28.99</v>
      </c>
      <c r="X113">
        <v>0</v>
      </c>
      <c r="Y113" t="s">
        <v>613</v>
      </c>
      <c r="AA113">
        <v>0</v>
      </c>
      <c r="AB113">
        <v>0</v>
      </c>
      <c r="AC113">
        <v>0</v>
      </c>
      <c r="AD113">
        <v>2070.11</v>
      </c>
      <c r="AE113">
        <v>0</v>
      </c>
      <c r="AF113">
        <v>0.12963</v>
      </c>
      <c r="AG113" t="s">
        <v>340</v>
      </c>
      <c r="AH113" t="s">
        <v>341</v>
      </c>
      <c r="AI113">
        <v>7.51854</v>
      </c>
      <c r="AJ113" t="s">
        <v>342</v>
      </c>
      <c r="AK113" t="s">
        <v>353</v>
      </c>
      <c r="AL113">
        <v>752770</v>
      </c>
      <c r="AM113">
        <v>366</v>
      </c>
      <c r="AN113">
        <v>58</v>
      </c>
      <c r="AQ113">
        <v>28.99</v>
      </c>
      <c r="AR113">
        <v>0</v>
      </c>
      <c r="AS113">
        <v>0</v>
      </c>
      <c r="AT113">
        <v>0</v>
      </c>
      <c r="AU113">
        <v>0</v>
      </c>
      <c r="AV113">
        <v>0</v>
      </c>
      <c r="AW113">
        <v>0</v>
      </c>
      <c r="AX113">
        <v>0</v>
      </c>
      <c r="AY113">
        <v>58</v>
      </c>
      <c r="AZ113">
        <v>0</v>
      </c>
      <c r="BA113">
        <v>23.69</v>
      </c>
      <c r="BB113">
        <v>0</v>
      </c>
      <c r="BC113">
        <v>0</v>
      </c>
      <c r="BD113">
        <v>0</v>
      </c>
      <c r="BE113">
        <v>0</v>
      </c>
      <c r="BG113">
        <v>0</v>
      </c>
      <c r="BH113">
        <v>0</v>
      </c>
      <c r="BI113">
        <v>40</v>
      </c>
      <c r="BJ113">
        <v>2.59</v>
      </c>
      <c r="BK113">
        <v>0</v>
      </c>
      <c r="BL113">
        <v>0</v>
      </c>
      <c r="BM113">
        <v>0</v>
      </c>
      <c r="BN113">
        <v>0</v>
      </c>
      <c r="BO113">
        <v>18</v>
      </c>
      <c r="BP113">
        <v>12.71</v>
      </c>
      <c r="BQ113">
        <v>0</v>
      </c>
      <c r="BR113">
        <v>0</v>
      </c>
      <c r="BS113">
        <v>0</v>
      </c>
      <c r="BT113">
        <v>0</v>
      </c>
      <c r="BU113">
        <v>0</v>
      </c>
      <c r="BV113">
        <v>0</v>
      </c>
      <c r="BW113">
        <v>0</v>
      </c>
      <c r="BX113">
        <v>0</v>
      </c>
      <c r="BZ113">
        <v>3</v>
      </c>
      <c r="CA113" t="s">
        <v>354</v>
      </c>
      <c r="CI113" s="5">
        <v>46186</v>
      </c>
      <c r="CJ113">
        <v>58</v>
      </c>
      <c r="CK113">
        <v>0</v>
      </c>
      <c r="CL113">
        <v>0</v>
      </c>
      <c r="CM113">
        <v>0</v>
      </c>
      <c r="CN113">
        <v>0</v>
      </c>
      <c r="CO113">
        <v>366</v>
      </c>
      <c r="CP113" t="s">
        <v>347</v>
      </c>
      <c r="CQ113" t="s">
        <v>348</v>
      </c>
    </row>
    <row r="114" spans="1:95">
      <c r="A114" s="5">
        <v>46189</v>
      </c>
      <c r="B114" t="s">
        <v>2011</v>
      </c>
      <c r="C114" t="s">
        <v>2012</v>
      </c>
      <c r="D114" t="s">
        <v>2013</v>
      </c>
      <c r="E114" t="s">
        <v>2014</v>
      </c>
      <c r="G114">
        <v>0</v>
      </c>
      <c r="H114">
        <v>-1</v>
      </c>
      <c r="O114" t="s">
        <v>338</v>
      </c>
      <c r="P114">
        <v>0</v>
      </c>
      <c r="Q114">
        <v>0</v>
      </c>
      <c r="R114">
        <v>0</v>
      </c>
      <c r="S114">
        <v>0</v>
      </c>
      <c r="U114">
        <v>0</v>
      </c>
      <c r="V114">
        <v>0</v>
      </c>
      <c r="W114">
        <v>0</v>
      </c>
      <c r="X114">
        <v>0</v>
      </c>
      <c r="Y114" t="s">
        <v>359</v>
      </c>
      <c r="AB114">
        <v>0</v>
      </c>
      <c r="AC114">
        <v>0</v>
      </c>
      <c r="AE114">
        <v>-1</v>
      </c>
      <c r="AH114" t="s">
        <v>424</v>
      </c>
      <c r="AJ114" t="s">
        <v>342</v>
      </c>
      <c r="AK114" t="s">
        <v>353</v>
      </c>
      <c r="AM114">
        <v>0</v>
      </c>
      <c r="AN114">
        <v>0</v>
      </c>
      <c r="AQ114">
        <v>87.99</v>
      </c>
      <c r="AR114">
        <v>0</v>
      </c>
      <c r="AS114">
        <v>0</v>
      </c>
      <c r="AT114">
        <v>0</v>
      </c>
      <c r="AU114">
        <v>0</v>
      </c>
      <c r="AY114">
        <v>0</v>
      </c>
      <c r="BB114">
        <v>0</v>
      </c>
      <c r="BC114">
        <v>0</v>
      </c>
      <c r="BD114">
        <v>0</v>
      </c>
      <c r="BE114">
        <v>0</v>
      </c>
      <c r="BG114">
        <v>0</v>
      </c>
      <c r="BH114">
        <v>0</v>
      </c>
      <c r="BZ114">
        <v>1</v>
      </c>
      <c r="CA114" t="s">
        <v>429</v>
      </c>
      <c r="CJ114">
        <v>0</v>
      </c>
      <c r="CK114">
        <v>0</v>
      </c>
      <c r="CL114">
        <v>0</v>
      </c>
      <c r="CM114">
        <v>0</v>
      </c>
      <c r="CN114">
        <v>0</v>
      </c>
      <c r="CO114">
        <v>0</v>
      </c>
      <c r="CP114" t="s">
        <v>347</v>
      </c>
      <c r="CQ114" t="s">
        <v>348</v>
      </c>
    </row>
    <row r="115" spans="1:95">
      <c r="A115" s="5">
        <v>46189</v>
      </c>
      <c r="B115" t="s">
        <v>2015</v>
      </c>
      <c r="C115" t="s">
        <v>2016</v>
      </c>
      <c r="D115" t="s">
        <v>2017</v>
      </c>
      <c r="E115" t="s">
        <v>2018</v>
      </c>
      <c r="G115">
        <v>0</v>
      </c>
      <c r="H115">
        <v>-1</v>
      </c>
      <c r="O115" t="s">
        <v>338</v>
      </c>
      <c r="U115">
        <v>0</v>
      </c>
      <c r="V115">
        <v>0</v>
      </c>
      <c r="W115">
        <v>0</v>
      </c>
      <c r="X115">
        <v>0</v>
      </c>
      <c r="Y115" t="s">
        <v>359</v>
      </c>
      <c r="AB115">
        <v>0</v>
      </c>
      <c r="AC115">
        <v>0</v>
      </c>
      <c r="AE115">
        <v>-1</v>
      </c>
      <c r="AH115" t="s">
        <v>341</v>
      </c>
      <c r="AJ115" t="s">
        <v>342</v>
      </c>
      <c r="AK115" t="s">
        <v>353</v>
      </c>
      <c r="AN115">
        <v>0</v>
      </c>
      <c r="AQ115">
        <v>9.99</v>
      </c>
      <c r="AY115">
        <v>0</v>
      </c>
      <c r="BB115">
        <v>0</v>
      </c>
      <c r="BG115">
        <v>0</v>
      </c>
      <c r="BH115">
        <v>0</v>
      </c>
      <c r="CJ115">
        <v>0</v>
      </c>
      <c r="CK115">
        <v>0</v>
      </c>
      <c r="CL115">
        <v>0</v>
      </c>
      <c r="CM115">
        <v>0</v>
      </c>
      <c r="CN115">
        <v>0</v>
      </c>
      <c r="CP115" t="s">
        <v>347</v>
      </c>
      <c r="CQ115" t="s">
        <v>348</v>
      </c>
    </row>
    <row r="116" spans="1:95">
      <c r="A116" s="5">
        <v>46189</v>
      </c>
      <c r="B116" t="s">
        <v>2019</v>
      </c>
      <c r="C116" t="s">
        <v>2020</v>
      </c>
      <c r="D116" t="s">
        <v>2021</v>
      </c>
      <c r="E116" t="s">
        <v>2022</v>
      </c>
      <c r="G116">
        <v>0</v>
      </c>
      <c r="H116">
        <v>-1</v>
      </c>
      <c r="O116" t="s">
        <v>338</v>
      </c>
      <c r="U116">
        <v>0</v>
      </c>
      <c r="V116">
        <v>0</v>
      </c>
      <c r="W116">
        <v>0</v>
      </c>
      <c r="X116">
        <v>0</v>
      </c>
      <c r="Y116" t="s">
        <v>359</v>
      </c>
      <c r="AB116">
        <v>0</v>
      </c>
      <c r="AC116">
        <v>0</v>
      </c>
      <c r="AE116">
        <v>-1</v>
      </c>
      <c r="AH116" t="s">
        <v>341</v>
      </c>
      <c r="AJ116" t="s">
        <v>342</v>
      </c>
      <c r="AK116" t="s">
        <v>353</v>
      </c>
      <c r="AN116">
        <v>0</v>
      </c>
      <c r="AY116">
        <v>0</v>
      </c>
      <c r="BB116">
        <v>0</v>
      </c>
      <c r="BC116">
        <v>0</v>
      </c>
      <c r="BD116">
        <v>0</v>
      </c>
      <c r="BE116">
        <v>0</v>
      </c>
      <c r="BG116">
        <v>0</v>
      </c>
      <c r="BH116">
        <v>0</v>
      </c>
      <c r="CJ116">
        <v>0</v>
      </c>
      <c r="CK116">
        <v>0</v>
      </c>
      <c r="CL116">
        <v>0</v>
      </c>
      <c r="CM116">
        <v>0</v>
      </c>
      <c r="CN116">
        <v>0</v>
      </c>
      <c r="CP116" t="s">
        <v>347</v>
      </c>
      <c r="CQ116" t="s">
        <v>348</v>
      </c>
    </row>
    <row r="117" spans="1:95">
      <c r="A117" s="5">
        <v>46189</v>
      </c>
      <c r="B117" t="s">
        <v>2023</v>
      </c>
      <c r="C117" t="s">
        <v>74</v>
      </c>
      <c r="D117" t="s">
        <v>83</v>
      </c>
      <c r="E117" t="s">
        <v>2024</v>
      </c>
      <c r="F117" t="s">
        <v>337</v>
      </c>
      <c r="G117">
        <v>29</v>
      </c>
      <c r="H117">
        <v>0</v>
      </c>
      <c r="I117">
        <v>29</v>
      </c>
      <c r="J117">
        <v>0</v>
      </c>
      <c r="K117">
        <v>0</v>
      </c>
      <c r="L117">
        <v>0</v>
      </c>
      <c r="M117">
        <v>0</v>
      </c>
      <c r="N117">
        <v>0</v>
      </c>
      <c r="O117" t="s">
        <v>338</v>
      </c>
      <c r="P117">
        <v>0</v>
      </c>
      <c r="Q117">
        <v>6</v>
      </c>
      <c r="R117">
        <v>7</v>
      </c>
      <c r="S117">
        <v>7</v>
      </c>
      <c r="T117" t="s">
        <v>351</v>
      </c>
      <c r="U117">
        <v>38.99</v>
      </c>
      <c r="V117">
        <v>29.99</v>
      </c>
      <c r="W117">
        <v>29.99</v>
      </c>
      <c r="X117">
        <v>0</v>
      </c>
      <c r="Y117" t="s">
        <v>359</v>
      </c>
      <c r="AA117">
        <v>0</v>
      </c>
      <c r="AB117">
        <v>0</v>
      </c>
      <c r="AC117">
        <v>0</v>
      </c>
      <c r="AD117">
        <v>0</v>
      </c>
      <c r="AE117">
        <v>0.44</v>
      </c>
      <c r="AF117">
        <v>0.140917</v>
      </c>
      <c r="AG117" t="s">
        <v>340</v>
      </c>
      <c r="AH117" t="s">
        <v>341</v>
      </c>
      <c r="AI117">
        <v>4.086593</v>
      </c>
      <c r="AJ117" t="s">
        <v>342</v>
      </c>
      <c r="AK117" t="s">
        <v>353</v>
      </c>
      <c r="AL117">
        <v>511375</v>
      </c>
      <c r="AM117">
        <v>178</v>
      </c>
      <c r="AN117">
        <v>0</v>
      </c>
      <c r="AO117">
        <v>19</v>
      </c>
      <c r="AP117">
        <v>53</v>
      </c>
      <c r="AQ117">
        <v>29.99</v>
      </c>
      <c r="AR117">
        <v>0</v>
      </c>
      <c r="AS117">
        <v>179.94</v>
      </c>
      <c r="AT117">
        <v>209.93</v>
      </c>
      <c r="AU117">
        <v>209.93</v>
      </c>
      <c r="AV117">
        <v>0</v>
      </c>
      <c r="AW117">
        <v>29</v>
      </c>
      <c r="AX117">
        <v>0</v>
      </c>
      <c r="AY117">
        <v>0</v>
      </c>
      <c r="AZ117">
        <v>0</v>
      </c>
      <c r="BA117">
        <v>2.76</v>
      </c>
      <c r="BB117">
        <v>0</v>
      </c>
      <c r="BC117">
        <v>0</v>
      </c>
      <c r="BD117">
        <v>0</v>
      </c>
      <c r="BE117">
        <v>0</v>
      </c>
      <c r="BG117">
        <v>0</v>
      </c>
      <c r="BH117">
        <v>0</v>
      </c>
      <c r="BY117">
        <v>190.3</v>
      </c>
      <c r="BZ117">
        <v>8</v>
      </c>
      <c r="CA117" t="s">
        <v>360</v>
      </c>
      <c r="CD117" s="5">
        <v>46188</v>
      </c>
      <c r="CE117" t="s">
        <v>345</v>
      </c>
      <c r="CF117" t="s">
        <v>346</v>
      </c>
      <c r="CG117">
        <v>151.8</v>
      </c>
      <c r="CH117">
        <v>190.3</v>
      </c>
      <c r="CI117" s="5">
        <v>46186</v>
      </c>
      <c r="CJ117">
        <v>29</v>
      </c>
      <c r="CK117">
        <v>0</v>
      </c>
      <c r="CL117">
        <v>0</v>
      </c>
      <c r="CM117">
        <v>0</v>
      </c>
      <c r="CN117">
        <v>0</v>
      </c>
      <c r="CO117">
        <v>178</v>
      </c>
      <c r="CP117" t="s">
        <v>347</v>
      </c>
      <c r="CQ117" t="s">
        <v>348</v>
      </c>
    </row>
    <row r="118" spans="1:95">
      <c r="A118" s="5">
        <v>46189</v>
      </c>
      <c r="B118" t="s">
        <v>1583</v>
      </c>
      <c r="C118" t="s">
        <v>1584</v>
      </c>
      <c r="D118" t="s">
        <v>1582</v>
      </c>
      <c r="E118" t="s">
        <v>2025</v>
      </c>
      <c r="F118" t="s">
        <v>337</v>
      </c>
      <c r="G118">
        <v>3</v>
      </c>
      <c r="H118">
        <v>0</v>
      </c>
      <c r="I118">
        <v>0</v>
      </c>
      <c r="J118">
        <v>3</v>
      </c>
      <c r="K118">
        <v>0</v>
      </c>
      <c r="L118">
        <v>0</v>
      </c>
      <c r="M118">
        <v>0</v>
      </c>
      <c r="N118">
        <v>0</v>
      </c>
      <c r="O118" t="s">
        <v>338</v>
      </c>
      <c r="P118">
        <v>0</v>
      </c>
      <c r="Q118">
        <v>0</v>
      </c>
      <c r="R118">
        <v>2</v>
      </c>
      <c r="S118">
        <v>4</v>
      </c>
      <c r="T118" t="s">
        <v>351</v>
      </c>
      <c r="U118">
        <v>49.99</v>
      </c>
      <c r="V118">
        <v>0</v>
      </c>
      <c r="W118">
        <v>49.99</v>
      </c>
      <c r="X118">
        <v>0</v>
      </c>
      <c r="Y118" t="s">
        <v>359</v>
      </c>
      <c r="AA118">
        <v>0</v>
      </c>
      <c r="AB118">
        <v>0</v>
      </c>
      <c r="AC118">
        <v>0</v>
      </c>
      <c r="AD118">
        <v>318.5</v>
      </c>
      <c r="AE118">
        <v>0.89</v>
      </c>
      <c r="AF118">
        <v>0.374411</v>
      </c>
      <c r="AG118" t="s">
        <v>340</v>
      </c>
      <c r="AH118" t="s">
        <v>341</v>
      </c>
      <c r="AI118">
        <v>1.123233</v>
      </c>
      <c r="AJ118" t="s">
        <v>342</v>
      </c>
      <c r="AK118" t="s">
        <v>343</v>
      </c>
      <c r="AL118">
        <v>215750</v>
      </c>
      <c r="AM118">
        <v>56</v>
      </c>
      <c r="AN118">
        <v>0</v>
      </c>
      <c r="AP118">
        <v>9</v>
      </c>
      <c r="AQ118">
        <v>49.99</v>
      </c>
      <c r="AR118">
        <v>0</v>
      </c>
      <c r="AS118">
        <v>0</v>
      </c>
      <c r="AT118">
        <v>87.98</v>
      </c>
      <c r="AU118">
        <v>163.96</v>
      </c>
      <c r="AV118">
        <v>0</v>
      </c>
      <c r="AW118">
        <v>0</v>
      </c>
      <c r="AX118">
        <v>0</v>
      </c>
      <c r="AY118">
        <v>0</v>
      </c>
      <c r="AZ118">
        <v>0</v>
      </c>
      <c r="BA118">
        <v>0.8</v>
      </c>
      <c r="BB118">
        <v>0</v>
      </c>
      <c r="BC118">
        <v>0</v>
      </c>
      <c r="BD118">
        <v>0</v>
      </c>
      <c r="BE118">
        <v>0</v>
      </c>
      <c r="BG118">
        <v>0</v>
      </c>
      <c r="BH118">
        <v>0</v>
      </c>
      <c r="BZ118">
        <v>3</v>
      </c>
      <c r="CA118" t="s">
        <v>360</v>
      </c>
      <c r="CB118">
        <v>1</v>
      </c>
      <c r="CC118" s="5">
        <v>46194</v>
      </c>
      <c r="CH118">
        <v>79</v>
      </c>
      <c r="CI118" s="5">
        <v>46186</v>
      </c>
      <c r="CJ118">
        <v>3</v>
      </c>
      <c r="CK118">
        <v>0</v>
      </c>
      <c r="CL118">
        <v>0</v>
      </c>
      <c r="CM118">
        <v>0</v>
      </c>
      <c r="CN118">
        <v>0</v>
      </c>
      <c r="CO118">
        <v>56</v>
      </c>
      <c r="CP118" t="s">
        <v>347</v>
      </c>
      <c r="CQ118" t="s">
        <v>348</v>
      </c>
    </row>
    <row r="119" spans="1:95">
      <c r="A119" s="5">
        <v>46189</v>
      </c>
      <c r="B119" t="s">
        <v>2026</v>
      </c>
      <c r="C119" t="s">
        <v>1316</v>
      </c>
      <c r="D119" t="s">
        <v>2027</v>
      </c>
      <c r="E119" t="s">
        <v>1318</v>
      </c>
      <c r="G119">
        <v>0</v>
      </c>
      <c r="H119">
        <v>-1</v>
      </c>
      <c r="O119" t="s">
        <v>338</v>
      </c>
      <c r="U119">
        <v>0</v>
      </c>
      <c r="V119">
        <v>0</v>
      </c>
      <c r="W119">
        <v>0</v>
      </c>
      <c r="X119">
        <v>0</v>
      </c>
      <c r="Y119" t="s">
        <v>359</v>
      </c>
      <c r="AB119">
        <v>0</v>
      </c>
      <c r="AC119">
        <v>0</v>
      </c>
      <c r="AE119">
        <v>-1</v>
      </c>
      <c r="AJ119" t="s">
        <v>342</v>
      </c>
      <c r="AK119" t="s">
        <v>353</v>
      </c>
      <c r="AL119">
        <v>397496</v>
      </c>
      <c r="AN119">
        <v>0</v>
      </c>
      <c r="AQ119">
        <v>13.49</v>
      </c>
      <c r="AY119">
        <v>0</v>
      </c>
      <c r="BB119">
        <v>0</v>
      </c>
      <c r="BG119">
        <v>0</v>
      </c>
      <c r="BH119">
        <v>0</v>
      </c>
      <c r="CJ119">
        <v>0</v>
      </c>
      <c r="CK119">
        <v>0</v>
      </c>
      <c r="CL119">
        <v>0</v>
      </c>
      <c r="CM119">
        <v>0</v>
      </c>
      <c r="CN119">
        <v>0</v>
      </c>
      <c r="CP119" t="s">
        <v>347</v>
      </c>
      <c r="CQ119" t="s">
        <v>348</v>
      </c>
    </row>
    <row r="120" spans="1:95">
      <c r="A120" s="5">
        <v>46189</v>
      </c>
      <c r="B120" t="s">
        <v>2028</v>
      </c>
      <c r="C120" t="s">
        <v>885</v>
      </c>
      <c r="D120" t="s">
        <v>2029</v>
      </c>
      <c r="E120" t="s">
        <v>887</v>
      </c>
      <c r="G120">
        <v>0</v>
      </c>
      <c r="H120">
        <v>-1</v>
      </c>
      <c r="O120" t="s">
        <v>338</v>
      </c>
      <c r="P120">
        <v>0</v>
      </c>
      <c r="Q120">
        <v>0</v>
      </c>
      <c r="R120">
        <v>0</v>
      </c>
      <c r="S120">
        <v>0</v>
      </c>
      <c r="U120">
        <v>0</v>
      </c>
      <c r="V120">
        <v>0</v>
      </c>
      <c r="W120">
        <v>0</v>
      </c>
      <c r="X120">
        <v>0</v>
      </c>
      <c r="Y120" t="s">
        <v>359</v>
      </c>
      <c r="AB120">
        <v>0</v>
      </c>
      <c r="AC120">
        <v>0</v>
      </c>
      <c r="AE120">
        <v>-1</v>
      </c>
      <c r="AH120" t="s">
        <v>424</v>
      </c>
      <c r="AJ120" t="s">
        <v>342</v>
      </c>
      <c r="AK120" t="s">
        <v>353</v>
      </c>
      <c r="AM120">
        <v>0</v>
      </c>
      <c r="AN120">
        <v>0</v>
      </c>
      <c r="AQ120">
        <v>59.99</v>
      </c>
      <c r="AR120">
        <v>0</v>
      </c>
      <c r="AS120">
        <v>0</v>
      </c>
      <c r="AT120">
        <v>0</v>
      </c>
      <c r="AU120">
        <v>0</v>
      </c>
      <c r="AY120">
        <v>0</v>
      </c>
      <c r="BB120">
        <v>0</v>
      </c>
      <c r="BC120">
        <v>0</v>
      </c>
      <c r="BD120">
        <v>0</v>
      </c>
      <c r="BE120">
        <v>0</v>
      </c>
      <c r="BG120">
        <v>0</v>
      </c>
      <c r="BH120">
        <v>0</v>
      </c>
      <c r="BZ120">
        <v>1</v>
      </c>
      <c r="CA120" t="s">
        <v>429</v>
      </c>
      <c r="CJ120">
        <v>0</v>
      </c>
      <c r="CK120">
        <v>0</v>
      </c>
      <c r="CL120">
        <v>0</v>
      </c>
      <c r="CM120">
        <v>0</v>
      </c>
      <c r="CN120">
        <v>0</v>
      </c>
      <c r="CO120">
        <v>0</v>
      </c>
      <c r="CP120" t="s">
        <v>347</v>
      </c>
      <c r="CQ120" t="s">
        <v>348</v>
      </c>
    </row>
    <row r="121" spans="1:95">
      <c r="A121" s="5">
        <v>46189</v>
      </c>
      <c r="B121" t="s">
        <v>2030</v>
      </c>
      <c r="C121" t="s">
        <v>2031</v>
      </c>
      <c r="D121" t="s">
        <v>2032</v>
      </c>
      <c r="E121" t="s">
        <v>2033</v>
      </c>
      <c r="F121" t="s">
        <v>337</v>
      </c>
      <c r="G121">
        <v>27</v>
      </c>
      <c r="H121">
        <v>0</v>
      </c>
      <c r="I121">
        <v>0</v>
      </c>
      <c r="J121">
        <v>20</v>
      </c>
      <c r="K121">
        <v>7</v>
      </c>
      <c r="L121">
        <v>0</v>
      </c>
      <c r="M121">
        <v>0</v>
      </c>
      <c r="N121">
        <v>0</v>
      </c>
      <c r="O121" t="s">
        <v>338</v>
      </c>
      <c r="P121">
        <v>0</v>
      </c>
      <c r="Q121">
        <v>0</v>
      </c>
      <c r="R121">
        <v>0</v>
      </c>
      <c r="S121">
        <v>0</v>
      </c>
      <c r="T121" t="s">
        <v>351</v>
      </c>
      <c r="U121">
        <v>34.99</v>
      </c>
      <c r="V121">
        <v>19.99</v>
      </c>
      <c r="W121">
        <v>19.99</v>
      </c>
      <c r="X121">
        <v>0</v>
      </c>
      <c r="Y121" t="s">
        <v>613</v>
      </c>
      <c r="AA121">
        <v>0</v>
      </c>
      <c r="AB121">
        <v>0</v>
      </c>
      <c r="AC121">
        <v>0</v>
      </c>
      <c r="AD121">
        <v>673.78</v>
      </c>
      <c r="AE121">
        <v>0</v>
      </c>
      <c r="AF121">
        <v>0.074514</v>
      </c>
      <c r="AG121" t="s">
        <v>340</v>
      </c>
      <c r="AH121" t="s">
        <v>341</v>
      </c>
      <c r="AI121">
        <v>2.011878</v>
      </c>
      <c r="AJ121" t="s">
        <v>342</v>
      </c>
      <c r="AK121" t="s">
        <v>353</v>
      </c>
      <c r="AL121">
        <v>752770</v>
      </c>
      <c r="AM121">
        <v>359</v>
      </c>
      <c r="AN121">
        <v>27</v>
      </c>
      <c r="AQ121">
        <v>19.99</v>
      </c>
      <c r="AR121">
        <v>0</v>
      </c>
      <c r="AS121">
        <v>0</v>
      </c>
      <c r="AT121">
        <v>0</v>
      </c>
      <c r="AU121">
        <v>0</v>
      </c>
      <c r="AV121">
        <v>0</v>
      </c>
      <c r="AW121">
        <v>0</v>
      </c>
      <c r="AX121">
        <v>0</v>
      </c>
      <c r="AY121">
        <v>7</v>
      </c>
      <c r="AZ121">
        <v>0</v>
      </c>
      <c r="BA121">
        <v>2.21</v>
      </c>
      <c r="BB121">
        <v>0</v>
      </c>
      <c r="BC121">
        <v>0</v>
      </c>
      <c r="BD121">
        <v>0</v>
      </c>
      <c r="BE121">
        <v>0</v>
      </c>
      <c r="BG121">
        <v>0</v>
      </c>
      <c r="BH121">
        <v>0</v>
      </c>
      <c r="BI121">
        <v>0</v>
      </c>
      <c r="BJ121">
        <v>0</v>
      </c>
      <c r="BK121">
        <v>7</v>
      </c>
      <c r="BL121">
        <v>0.52</v>
      </c>
      <c r="BM121">
        <v>0</v>
      </c>
      <c r="BN121">
        <v>0</v>
      </c>
      <c r="BO121">
        <v>0</v>
      </c>
      <c r="BP121">
        <v>0</v>
      </c>
      <c r="BQ121">
        <v>0</v>
      </c>
      <c r="BR121">
        <v>0</v>
      </c>
      <c r="BS121">
        <v>0</v>
      </c>
      <c r="BT121">
        <v>0</v>
      </c>
      <c r="BU121">
        <v>0</v>
      </c>
      <c r="BV121">
        <v>0</v>
      </c>
      <c r="BW121">
        <v>0</v>
      </c>
      <c r="BX121">
        <v>0</v>
      </c>
      <c r="BZ121">
        <v>3</v>
      </c>
      <c r="CA121" t="s">
        <v>354</v>
      </c>
      <c r="CI121" s="5">
        <v>46186</v>
      </c>
      <c r="CJ121">
        <v>27</v>
      </c>
      <c r="CK121">
        <v>0</v>
      </c>
      <c r="CL121">
        <v>0</v>
      </c>
      <c r="CM121">
        <v>0</v>
      </c>
      <c r="CN121">
        <v>0</v>
      </c>
      <c r="CO121">
        <v>359</v>
      </c>
      <c r="CP121" t="s">
        <v>347</v>
      </c>
      <c r="CQ121" t="s">
        <v>348</v>
      </c>
    </row>
    <row r="122" spans="1:95">
      <c r="A122" s="5">
        <v>46189</v>
      </c>
      <c r="B122" t="s">
        <v>2034</v>
      </c>
      <c r="C122" t="s">
        <v>2035</v>
      </c>
      <c r="D122" t="s">
        <v>2036</v>
      </c>
      <c r="E122" t="s">
        <v>2037</v>
      </c>
      <c r="F122" t="s">
        <v>337</v>
      </c>
      <c r="G122">
        <v>10</v>
      </c>
      <c r="H122">
        <v>0</v>
      </c>
      <c r="I122">
        <v>0</v>
      </c>
      <c r="J122">
        <v>0</v>
      </c>
      <c r="K122">
        <v>0</v>
      </c>
      <c r="L122">
        <v>0</v>
      </c>
      <c r="M122">
        <v>11</v>
      </c>
      <c r="N122">
        <v>0</v>
      </c>
      <c r="O122" t="s">
        <v>338</v>
      </c>
      <c r="P122">
        <v>0</v>
      </c>
      <c r="Q122">
        <v>0</v>
      </c>
      <c r="R122">
        <v>0</v>
      </c>
      <c r="S122">
        <v>0</v>
      </c>
      <c r="T122" t="s">
        <v>351</v>
      </c>
      <c r="U122">
        <v>26.99</v>
      </c>
      <c r="V122">
        <v>0</v>
      </c>
      <c r="W122">
        <v>25.49</v>
      </c>
      <c r="X122">
        <v>0</v>
      </c>
      <c r="Y122" t="s">
        <v>516</v>
      </c>
      <c r="AA122">
        <v>0</v>
      </c>
      <c r="AB122">
        <v>0</v>
      </c>
      <c r="AC122">
        <v>0</v>
      </c>
      <c r="AD122">
        <v>700.87</v>
      </c>
      <c r="AE122">
        <v>0</v>
      </c>
      <c r="AF122">
        <v>0.22562</v>
      </c>
      <c r="AG122" t="s">
        <v>340</v>
      </c>
      <c r="AH122" t="s">
        <v>341</v>
      </c>
      <c r="AI122">
        <v>2.2562</v>
      </c>
      <c r="AJ122" t="s">
        <v>342</v>
      </c>
      <c r="AK122" t="s">
        <v>353</v>
      </c>
      <c r="AL122">
        <v>117152</v>
      </c>
      <c r="AM122">
        <v>280</v>
      </c>
      <c r="AN122">
        <v>10</v>
      </c>
      <c r="AQ122">
        <v>25.49</v>
      </c>
      <c r="AR122">
        <v>0</v>
      </c>
      <c r="AS122">
        <v>0</v>
      </c>
      <c r="AT122">
        <v>0</v>
      </c>
      <c r="AU122">
        <v>0</v>
      </c>
      <c r="AV122">
        <v>0</v>
      </c>
      <c r="AW122">
        <v>0</v>
      </c>
      <c r="AX122">
        <v>0</v>
      </c>
      <c r="AY122">
        <v>0</v>
      </c>
      <c r="AZ122">
        <v>0</v>
      </c>
      <c r="BA122">
        <v>17.04</v>
      </c>
      <c r="BB122">
        <v>0</v>
      </c>
      <c r="BC122">
        <v>0</v>
      </c>
      <c r="BD122">
        <v>0</v>
      </c>
      <c r="BE122">
        <v>0</v>
      </c>
      <c r="BG122">
        <v>0</v>
      </c>
      <c r="BH122">
        <v>0</v>
      </c>
      <c r="BI122">
        <v>0</v>
      </c>
      <c r="BJ122">
        <v>0</v>
      </c>
      <c r="BK122">
        <v>0</v>
      </c>
      <c r="BL122">
        <v>0</v>
      </c>
      <c r="BM122">
        <v>0</v>
      </c>
      <c r="BN122">
        <v>0</v>
      </c>
      <c r="BO122">
        <v>0</v>
      </c>
      <c r="BP122">
        <v>0</v>
      </c>
      <c r="BQ122">
        <v>0</v>
      </c>
      <c r="BR122">
        <v>0</v>
      </c>
      <c r="BS122">
        <v>0</v>
      </c>
      <c r="BT122">
        <v>0</v>
      </c>
      <c r="BU122">
        <v>11</v>
      </c>
      <c r="BV122">
        <v>17.12</v>
      </c>
      <c r="BW122">
        <v>0</v>
      </c>
      <c r="BX122">
        <v>0</v>
      </c>
      <c r="BZ122">
        <v>4</v>
      </c>
      <c r="CA122" t="s">
        <v>354</v>
      </c>
      <c r="CI122" s="5">
        <v>46186</v>
      </c>
      <c r="CJ122">
        <v>10</v>
      </c>
      <c r="CK122">
        <v>0</v>
      </c>
      <c r="CL122">
        <v>0</v>
      </c>
      <c r="CM122">
        <v>0</v>
      </c>
      <c r="CN122">
        <v>0</v>
      </c>
      <c r="CO122">
        <v>280</v>
      </c>
      <c r="CP122" t="s">
        <v>347</v>
      </c>
      <c r="CQ122" t="s">
        <v>348</v>
      </c>
    </row>
    <row r="123" spans="1:95">
      <c r="A123" s="5">
        <v>46189</v>
      </c>
      <c r="B123" t="s">
        <v>2038</v>
      </c>
      <c r="C123" t="s">
        <v>2039</v>
      </c>
      <c r="D123" t="s">
        <v>2040</v>
      </c>
      <c r="E123" t="s">
        <v>2041</v>
      </c>
      <c r="G123">
        <v>0</v>
      </c>
      <c r="H123">
        <v>-1</v>
      </c>
      <c r="O123" t="s">
        <v>338</v>
      </c>
      <c r="U123">
        <v>0</v>
      </c>
      <c r="V123">
        <v>0</v>
      </c>
      <c r="W123">
        <v>0</v>
      </c>
      <c r="X123">
        <v>0</v>
      </c>
      <c r="Y123" t="s">
        <v>359</v>
      </c>
      <c r="AB123">
        <v>0</v>
      </c>
      <c r="AC123">
        <v>0</v>
      </c>
      <c r="AE123">
        <v>-1</v>
      </c>
      <c r="AH123" t="s">
        <v>341</v>
      </c>
      <c r="AJ123" t="s">
        <v>342</v>
      </c>
      <c r="AK123" t="s">
        <v>353</v>
      </c>
      <c r="AN123">
        <v>0</v>
      </c>
      <c r="AQ123">
        <v>99</v>
      </c>
      <c r="AY123">
        <v>0</v>
      </c>
      <c r="BB123">
        <v>0</v>
      </c>
      <c r="BC123">
        <v>0</v>
      </c>
      <c r="BD123">
        <v>0</v>
      </c>
      <c r="BE123">
        <v>0</v>
      </c>
      <c r="BG123">
        <v>0</v>
      </c>
      <c r="BH123">
        <v>0</v>
      </c>
      <c r="CJ123">
        <v>0</v>
      </c>
      <c r="CK123">
        <v>0</v>
      </c>
      <c r="CL123">
        <v>0</v>
      </c>
      <c r="CM123">
        <v>0</v>
      </c>
      <c r="CN123">
        <v>0</v>
      </c>
      <c r="CP123" t="s">
        <v>347</v>
      </c>
      <c r="CQ123" t="s">
        <v>348</v>
      </c>
    </row>
    <row r="124" spans="1:95">
      <c r="A124" s="5">
        <v>46189</v>
      </c>
      <c r="B124" t="s">
        <v>2042</v>
      </c>
      <c r="C124" t="s">
        <v>2043</v>
      </c>
      <c r="D124" t="s">
        <v>2044</v>
      </c>
      <c r="E124" t="s">
        <v>2045</v>
      </c>
      <c r="F124" t="s">
        <v>337</v>
      </c>
      <c r="G124">
        <v>20</v>
      </c>
      <c r="H124">
        <v>0</v>
      </c>
      <c r="I124">
        <v>20</v>
      </c>
      <c r="J124">
        <v>0</v>
      </c>
      <c r="K124">
        <v>0</v>
      </c>
      <c r="L124">
        <v>0</v>
      </c>
      <c r="M124">
        <v>0</v>
      </c>
      <c r="N124">
        <v>0</v>
      </c>
      <c r="O124" t="s">
        <v>338</v>
      </c>
      <c r="T124" t="s">
        <v>351</v>
      </c>
      <c r="U124">
        <v>34.99</v>
      </c>
      <c r="V124">
        <v>0</v>
      </c>
      <c r="W124">
        <v>34.99</v>
      </c>
      <c r="X124">
        <v>0</v>
      </c>
      <c r="Y124" t="s">
        <v>613</v>
      </c>
      <c r="AA124">
        <v>17.99</v>
      </c>
      <c r="AB124">
        <v>9</v>
      </c>
      <c r="AC124">
        <v>0</v>
      </c>
      <c r="AD124">
        <v>326.58</v>
      </c>
      <c r="AE124">
        <v>0</v>
      </c>
      <c r="AF124">
        <v>0.074514</v>
      </c>
      <c r="AG124" t="s">
        <v>340</v>
      </c>
      <c r="AH124" t="s">
        <v>2046</v>
      </c>
      <c r="AI124">
        <v>1.49028</v>
      </c>
      <c r="AJ124" t="s">
        <v>342</v>
      </c>
      <c r="AK124" t="s">
        <v>353</v>
      </c>
      <c r="AN124">
        <v>0</v>
      </c>
      <c r="AQ124">
        <v>34.99</v>
      </c>
      <c r="AV124">
        <v>20</v>
      </c>
      <c r="AW124">
        <v>0</v>
      </c>
      <c r="AX124">
        <v>0</v>
      </c>
      <c r="AY124">
        <v>0</v>
      </c>
      <c r="AZ124">
        <v>0</v>
      </c>
      <c r="BA124">
        <v>1.72</v>
      </c>
      <c r="BB124">
        <v>0</v>
      </c>
      <c r="BC124">
        <v>0</v>
      </c>
      <c r="BD124">
        <v>0</v>
      </c>
      <c r="BE124">
        <v>0</v>
      </c>
      <c r="BG124">
        <v>0</v>
      </c>
      <c r="BH124">
        <v>0</v>
      </c>
      <c r="CI124" s="5">
        <v>46186</v>
      </c>
      <c r="CJ124">
        <v>20</v>
      </c>
      <c r="CK124">
        <v>0</v>
      </c>
      <c r="CL124">
        <v>0</v>
      </c>
      <c r="CM124">
        <v>0</v>
      </c>
      <c r="CN124">
        <v>0</v>
      </c>
      <c r="CP124" t="s">
        <v>347</v>
      </c>
      <c r="CQ124" t="s">
        <v>348</v>
      </c>
    </row>
    <row r="125" spans="1:95">
      <c r="A125" s="5">
        <v>46189</v>
      </c>
      <c r="B125" t="s">
        <v>2047</v>
      </c>
      <c r="C125" t="s">
        <v>2048</v>
      </c>
      <c r="D125" t="s">
        <v>2049</v>
      </c>
      <c r="E125" t="s">
        <v>2050</v>
      </c>
      <c r="F125" t="s">
        <v>337</v>
      </c>
      <c r="G125">
        <v>27</v>
      </c>
      <c r="H125">
        <v>0</v>
      </c>
      <c r="I125">
        <v>12</v>
      </c>
      <c r="J125">
        <v>0</v>
      </c>
      <c r="K125">
        <v>15</v>
      </c>
      <c r="L125">
        <v>0</v>
      </c>
      <c r="M125">
        <v>0</v>
      </c>
      <c r="N125">
        <v>0</v>
      </c>
      <c r="O125" t="s">
        <v>338</v>
      </c>
      <c r="P125">
        <v>0</v>
      </c>
      <c r="Q125">
        <v>0</v>
      </c>
      <c r="R125">
        <v>1</v>
      </c>
      <c r="S125">
        <v>1</v>
      </c>
      <c r="T125" t="s">
        <v>351</v>
      </c>
      <c r="U125">
        <v>45.99</v>
      </c>
      <c r="V125">
        <v>25.99</v>
      </c>
      <c r="W125">
        <v>25.99</v>
      </c>
      <c r="X125">
        <v>0</v>
      </c>
      <c r="Y125" t="s">
        <v>516</v>
      </c>
      <c r="AA125">
        <v>0</v>
      </c>
      <c r="AB125">
        <v>0</v>
      </c>
      <c r="AC125">
        <v>0</v>
      </c>
      <c r="AD125">
        <v>599.2</v>
      </c>
      <c r="AE125">
        <v>0.04</v>
      </c>
      <c r="AF125">
        <v>0.041759</v>
      </c>
      <c r="AG125" t="s">
        <v>340</v>
      </c>
      <c r="AH125" t="s">
        <v>341</v>
      </c>
      <c r="AI125">
        <v>1.127493</v>
      </c>
      <c r="AJ125" t="s">
        <v>342</v>
      </c>
      <c r="AK125" t="s">
        <v>404</v>
      </c>
      <c r="AL125">
        <v>1205074</v>
      </c>
      <c r="AM125">
        <v>366</v>
      </c>
      <c r="AN125">
        <v>27</v>
      </c>
      <c r="AP125">
        <v>351</v>
      </c>
      <c r="AQ125">
        <v>25.99</v>
      </c>
      <c r="AR125">
        <v>0</v>
      </c>
      <c r="AS125">
        <v>0</v>
      </c>
      <c r="AT125">
        <v>25.99</v>
      </c>
      <c r="AU125">
        <v>25.99</v>
      </c>
      <c r="AV125">
        <v>0</v>
      </c>
      <c r="AW125">
        <v>2</v>
      </c>
      <c r="AX125">
        <v>10</v>
      </c>
      <c r="AY125">
        <v>15</v>
      </c>
      <c r="AZ125">
        <v>0</v>
      </c>
      <c r="BA125">
        <v>1.43</v>
      </c>
      <c r="BB125">
        <v>0</v>
      </c>
      <c r="BC125">
        <v>0</v>
      </c>
      <c r="BD125">
        <v>0</v>
      </c>
      <c r="BE125">
        <v>0</v>
      </c>
      <c r="BG125">
        <v>0</v>
      </c>
      <c r="BH125">
        <v>0</v>
      </c>
      <c r="BI125">
        <v>15</v>
      </c>
      <c r="BJ125">
        <v>0.3</v>
      </c>
      <c r="BK125">
        <v>0</v>
      </c>
      <c r="BL125">
        <v>0</v>
      </c>
      <c r="BM125">
        <v>0</v>
      </c>
      <c r="BN125">
        <v>0</v>
      </c>
      <c r="BO125">
        <v>0</v>
      </c>
      <c r="BP125">
        <v>0</v>
      </c>
      <c r="BQ125">
        <v>0</v>
      </c>
      <c r="BR125">
        <v>0</v>
      </c>
      <c r="BS125">
        <v>0</v>
      </c>
      <c r="BT125">
        <v>0</v>
      </c>
      <c r="BU125">
        <v>0</v>
      </c>
      <c r="BV125">
        <v>0</v>
      </c>
      <c r="BW125">
        <v>0</v>
      </c>
      <c r="BX125">
        <v>0</v>
      </c>
      <c r="BZ125">
        <v>3</v>
      </c>
      <c r="CA125" t="s">
        <v>354</v>
      </c>
      <c r="CH125">
        <v>2200</v>
      </c>
      <c r="CI125" s="5">
        <v>46186</v>
      </c>
      <c r="CJ125">
        <v>27</v>
      </c>
      <c r="CK125">
        <v>0</v>
      </c>
      <c r="CL125">
        <v>0</v>
      </c>
      <c r="CM125">
        <v>0</v>
      </c>
      <c r="CN125">
        <v>0</v>
      </c>
      <c r="CO125">
        <v>366</v>
      </c>
      <c r="CP125" t="s">
        <v>347</v>
      </c>
      <c r="CQ125" t="s">
        <v>348</v>
      </c>
    </row>
    <row r="126" spans="1:95">
      <c r="A126" s="5">
        <v>46189</v>
      </c>
      <c r="B126" t="s">
        <v>2051</v>
      </c>
      <c r="C126" t="s">
        <v>2052</v>
      </c>
      <c r="D126" t="s">
        <v>2053</v>
      </c>
      <c r="E126" t="s">
        <v>2054</v>
      </c>
      <c r="G126">
        <v>0</v>
      </c>
      <c r="H126">
        <v>-1</v>
      </c>
      <c r="O126" t="s">
        <v>338</v>
      </c>
      <c r="U126">
        <v>0</v>
      </c>
      <c r="V126">
        <v>0</v>
      </c>
      <c r="W126">
        <v>0</v>
      </c>
      <c r="X126">
        <v>0</v>
      </c>
      <c r="Y126" t="s">
        <v>359</v>
      </c>
      <c r="AB126">
        <v>0</v>
      </c>
      <c r="AC126">
        <v>0</v>
      </c>
      <c r="AE126">
        <v>-1</v>
      </c>
      <c r="AH126" t="s">
        <v>341</v>
      </c>
      <c r="AJ126" t="s">
        <v>342</v>
      </c>
      <c r="AK126" t="s">
        <v>353</v>
      </c>
      <c r="AN126">
        <v>0</v>
      </c>
      <c r="AY126">
        <v>0</v>
      </c>
      <c r="BB126">
        <v>0</v>
      </c>
      <c r="BG126">
        <v>0</v>
      </c>
      <c r="BH126">
        <v>0</v>
      </c>
      <c r="CJ126">
        <v>0</v>
      </c>
      <c r="CK126">
        <v>0</v>
      </c>
      <c r="CL126">
        <v>0</v>
      </c>
      <c r="CM126">
        <v>0</v>
      </c>
      <c r="CN126">
        <v>0</v>
      </c>
      <c r="CP126" t="s">
        <v>347</v>
      </c>
      <c r="CQ126" t="s">
        <v>348</v>
      </c>
    </row>
    <row r="127" spans="1:95">
      <c r="A127" s="5">
        <v>46189</v>
      </c>
      <c r="B127" t="s">
        <v>2055</v>
      </c>
      <c r="C127" t="s">
        <v>2056</v>
      </c>
      <c r="D127" t="s">
        <v>2057</v>
      </c>
      <c r="E127" t="s">
        <v>2058</v>
      </c>
      <c r="G127">
        <v>0</v>
      </c>
      <c r="H127">
        <v>-1</v>
      </c>
      <c r="O127" t="s">
        <v>338</v>
      </c>
      <c r="U127">
        <v>0</v>
      </c>
      <c r="V127">
        <v>0</v>
      </c>
      <c r="W127">
        <v>0</v>
      </c>
      <c r="X127">
        <v>0</v>
      </c>
      <c r="Y127" t="s">
        <v>359</v>
      </c>
      <c r="AB127">
        <v>0</v>
      </c>
      <c r="AC127">
        <v>0</v>
      </c>
      <c r="AE127">
        <v>-1</v>
      </c>
      <c r="AH127" t="s">
        <v>341</v>
      </c>
      <c r="AJ127" t="s">
        <v>342</v>
      </c>
      <c r="AK127" t="s">
        <v>353</v>
      </c>
      <c r="AN127">
        <v>0</v>
      </c>
      <c r="AY127">
        <v>0</v>
      </c>
      <c r="BB127">
        <v>0</v>
      </c>
      <c r="BG127">
        <v>0</v>
      </c>
      <c r="BH127">
        <v>0</v>
      </c>
      <c r="CJ127">
        <v>0</v>
      </c>
      <c r="CK127">
        <v>0</v>
      </c>
      <c r="CL127">
        <v>0</v>
      </c>
      <c r="CM127">
        <v>0</v>
      </c>
      <c r="CN127">
        <v>0</v>
      </c>
      <c r="CP127" t="s">
        <v>347</v>
      </c>
      <c r="CQ127" t="s">
        <v>348</v>
      </c>
    </row>
    <row r="128" spans="1:95">
      <c r="A128" s="5">
        <v>46189</v>
      </c>
      <c r="B128" t="s">
        <v>2059</v>
      </c>
      <c r="C128" t="s">
        <v>2060</v>
      </c>
      <c r="D128" t="s">
        <v>2061</v>
      </c>
      <c r="E128" t="s">
        <v>2062</v>
      </c>
      <c r="F128" t="s">
        <v>337</v>
      </c>
      <c r="G128">
        <v>13</v>
      </c>
      <c r="H128">
        <v>0</v>
      </c>
      <c r="I128">
        <v>0</v>
      </c>
      <c r="J128">
        <v>0</v>
      </c>
      <c r="K128">
        <v>0</v>
      </c>
      <c r="L128">
        <v>0</v>
      </c>
      <c r="M128">
        <v>13</v>
      </c>
      <c r="N128">
        <v>0</v>
      </c>
      <c r="O128" t="s">
        <v>338</v>
      </c>
      <c r="P128">
        <v>1</v>
      </c>
      <c r="Q128">
        <v>1</v>
      </c>
      <c r="R128">
        <v>2</v>
      </c>
      <c r="S128">
        <v>2</v>
      </c>
      <c r="T128" t="s">
        <v>351</v>
      </c>
      <c r="U128">
        <v>29.99</v>
      </c>
      <c r="V128">
        <v>0</v>
      </c>
      <c r="W128">
        <v>26.99</v>
      </c>
      <c r="X128">
        <v>0</v>
      </c>
      <c r="Y128" t="s">
        <v>516</v>
      </c>
      <c r="AA128">
        <v>0</v>
      </c>
      <c r="AB128">
        <v>0</v>
      </c>
      <c r="AC128">
        <v>0</v>
      </c>
      <c r="AD128">
        <v>954.96</v>
      </c>
      <c r="AE128">
        <v>0.14</v>
      </c>
      <c r="AF128">
        <v>0.239089</v>
      </c>
      <c r="AG128" t="s">
        <v>340</v>
      </c>
      <c r="AH128" t="s">
        <v>341</v>
      </c>
      <c r="AI128">
        <v>3.108157</v>
      </c>
      <c r="AJ128" t="s">
        <v>342</v>
      </c>
      <c r="AK128" t="s">
        <v>353</v>
      </c>
      <c r="AL128">
        <v>117152</v>
      </c>
      <c r="AM128">
        <v>315</v>
      </c>
      <c r="AN128">
        <v>13</v>
      </c>
      <c r="AO128">
        <v>52</v>
      </c>
      <c r="AP128">
        <v>84</v>
      </c>
      <c r="AQ128">
        <v>26.99</v>
      </c>
      <c r="AR128">
        <v>26.99</v>
      </c>
      <c r="AS128">
        <v>26.99</v>
      </c>
      <c r="AT128">
        <v>53.98</v>
      </c>
      <c r="AU128">
        <v>53.98</v>
      </c>
      <c r="AV128">
        <v>0</v>
      </c>
      <c r="AW128">
        <v>0</v>
      </c>
      <c r="AX128">
        <v>0</v>
      </c>
      <c r="AY128">
        <v>0</v>
      </c>
      <c r="AZ128">
        <v>0</v>
      </c>
      <c r="BA128">
        <v>23.47</v>
      </c>
      <c r="BB128">
        <v>0</v>
      </c>
      <c r="BC128">
        <v>0</v>
      </c>
      <c r="BD128">
        <v>0</v>
      </c>
      <c r="BE128">
        <v>0</v>
      </c>
      <c r="BG128">
        <v>0</v>
      </c>
      <c r="BH128">
        <v>0</v>
      </c>
      <c r="BI128">
        <v>0</v>
      </c>
      <c r="BJ128">
        <v>0</v>
      </c>
      <c r="BK128">
        <v>0</v>
      </c>
      <c r="BL128">
        <v>0</v>
      </c>
      <c r="BM128">
        <v>0</v>
      </c>
      <c r="BN128">
        <v>0</v>
      </c>
      <c r="BO128">
        <v>0</v>
      </c>
      <c r="BP128">
        <v>0</v>
      </c>
      <c r="BQ128">
        <v>0</v>
      </c>
      <c r="BR128">
        <v>0</v>
      </c>
      <c r="BS128">
        <v>0</v>
      </c>
      <c r="BT128">
        <v>0</v>
      </c>
      <c r="BU128">
        <v>13</v>
      </c>
      <c r="BV128">
        <v>21.45</v>
      </c>
      <c r="BW128">
        <v>0</v>
      </c>
      <c r="BX128">
        <v>0</v>
      </c>
      <c r="BY128">
        <v>651</v>
      </c>
      <c r="BZ128">
        <v>2</v>
      </c>
      <c r="CA128" t="s">
        <v>354</v>
      </c>
      <c r="CD128" s="5">
        <v>46188</v>
      </c>
      <c r="CE128" t="s">
        <v>345</v>
      </c>
      <c r="CF128" t="s">
        <v>346</v>
      </c>
      <c r="CG128">
        <v>418</v>
      </c>
      <c r="CH128">
        <v>651</v>
      </c>
      <c r="CI128" s="5">
        <v>46186</v>
      </c>
      <c r="CJ128">
        <v>13</v>
      </c>
      <c r="CK128">
        <v>0</v>
      </c>
      <c r="CL128">
        <v>0</v>
      </c>
      <c r="CM128">
        <v>0</v>
      </c>
      <c r="CN128">
        <v>0</v>
      </c>
      <c r="CO128">
        <v>315</v>
      </c>
      <c r="CP128" t="s">
        <v>347</v>
      </c>
      <c r="CQ128" t="s">
        <v>348</v>
      </c>
    </row>
    <row r="129" spans="1:95">
      <c r="A129" s="5">
        <v>46189</v>
      </c>
      <c r="B129" t="s">
        <v>1586</v>
      </c>
      <c r="C129" t="s">
        <v>1587</v>
      </c>
      <c r="D129" t="s">
        <v>1585</v>
      </c>
      <c r="E129" t="s">
        <v>2063</v>
      </c>
      <c r="F129" t="s">
        <v>337</v>
      </c>
      <c r="G129">
        <v>61</v>
      </c>
      <c r="H129">
        <v>0</v>
      </c>
      <c r="I129">
        <v>80</v>
      </c>
      <c r="J129">
        <v>0</v>
      </c>
      <c r="K129">
        <v>0</v>
      </c>
      <c r="L129">
        <v>0</v>
      </c>
      <c r="M129">
        <v>0</v>
      </c>
      <c r="N129">
        <v>0</v>
      </c>
      <c r="O129" t="s">
        <v>338</v>
      </c>
      <c r="P129">
        <v>9</v>
      </c>
      <c r="Q129">
        <v>32</v>
      </c>
      <c r="R129">
        <v>112</v>
      </c>
      <c r="S129">
        <v>182</v>
      </c>
      <c r="U129">
        <v>39.99</v>
      </c>
      <c r="V129">
        <v>31.99</v>
      </c>
      <c r="W129">
        <v>31.99</v>
      </c>
      <c r="X129">
        <v>0</v>
      </c>
      <c r="Y129" t="s">
        <v>359</v>
      </c>
      <c r="AA129">
        <v>0</v>
      </c>
      <c r="AB129">
        <v>0</v>
      </c>
      <c r="AC129">
        <v>0</v>
      </c>
      <c r="AD129">
        <v>0</v>
      </c>
      <c r="AE129">
        <v>1.91</v>
      </c>
      <c r="AF129">
        <v>0.267586</v>
      </c>
      <c r="AG129" t="s">
        <v>340</v>
      </c>
      <c r="AH129" t="s">
        <v>341</v>
      </c>
      <c r="AI129">
        <v>16.322746</v>
      </c>
      <c r="AJ129" t="s">
        <v>342</v>
      </c>
      <c r="AK129" t="s">
        <v>353</v>
      </c>
      <c r="AL129">
        <v>133442</v>
      </c>
      <c r="AM129">
        <v>106</v>
      </c>
      <c r="AN129">
        <v>0</v>
      </c>
      <c r="AO129">
        <v>22</v>
      </c>
      <c r="AP129">
        <v>12</v>
      </c>
      <c r="AQ129">
        <v>31.99</v>
      </c>
      <c r="AR129">
        <v>287.91</v>
      </c>
      <c r="AS129">
        <v>1023.68</v>
      </c>
      <c r="AT129">
        <v>3435.38</v>
      </c>
      <c r="AU129">
        <v>5255.18</v>
      </c>
      <c r="AV129">
        <v>48</v>
      </c>
      <c r="AW129">
        <v>32</v>
      </c>
      <c r="AX129">
        <v>0</v>
      </c>
      <c r="AY129">
        <v>0</v>
      </c>
      <c r="AZ129">
        <v>0</v>
      </c>
      <c r="BA129">
        <v>28.61</v>
      </c>
      <c r="BB129">
        <v>118</v>
      </c>
      <c r="BC129">
        <v>16</v>
      </c>
      <c r="BD129">
        <v>102</v>
      </c>
      <c r="BE129">
        <v>0</v>
      </c>
      <c r="BG129">
        <v>1</v>
      </c>
      <c r="BH129">
        <v>0</v>
      </c>
      <c r="BY129">
        <v>60.1</v>
      </c>
      <c r="BZ129">
        <v>109</v>
      </c>
      <c r="CA129" t="s">
        <v>344</v>
      </c>
      <c r="CB129">
        <v>23</v>
      </c>
      <c r="CC129" s="5">
        <v>46195</v>
      </c>
      <c r="CD129" s="5">
        <v>46188</v>
      </c>
      <c r="CE129" t="s">
        <v>345</v>
      </c>
      <c r="CF129" t="s">
        <v>346</v>
      </c>
      <c r="CG129">
        <v>60.1</v>
      </c>
      <c r="CH129">
        <v>37.3</v>
      </c>
      <c r="CI129" s="5">
        <v>46186</v>
      </c>
      <c r="CJ129">
        <v>195</v>
      </c>
      <c r="CK129">
        <v>16</v>
      </c>
      <c r="CL129">
        <v>1</v>
      </c>
      <c r="CM129">
        <v>0</v>
      </c>
      <c r="CN129">
        <v>0</v>
      </c>
      <c r="CO129">
        <v>115</v>
      </c>
      <c r="CP129" t="s">
        <v>347</v>
      </c>
      <c r="CQ129" t="s">
        <v>348</v>
      </c>
    </row>
    <row r="130" spans="1:95">
      <c r="A130" s="5">
        <v>46189</v>
      </c>
      <c r="B130" t="s">
        <v>2064</v>
      </c>
      <c r="C130" t="s">
        <v>2065</v>
      </c>
      <c r="D130" t="s">
        <v>2066</v>
      </c>
      <c r="E130" t="s">
        <v>2067</v>
      </c>
      <c r="G130">
        <v>0</v>
      </c>
      <c r="H130">
        <v>-1</v>
      </c>
      <c r="O130" t="s">
        <v>338</v>
      </c>
      <c r="P130">
        <v>0</v>
      </c>
      <c r="Q130">
        <v>0</v>
      </c>
      <c r="R130">
        <v>0</v>
      </c>
      <c r="S130">
        <v>0</v>
      </c>
      <c r="U130">
        <v>0</v>
      </c>
      <c r="V130">
        <v>0</v>
      </c>
      <c r="W130">
        <v>0</v>
      </c>
      <c r="X130">
        <v>0</v>
      </c>
      <c r="Y130" t="s">
        <v>359</v>
      </c>
      <c r="AB130">
        <v>0</v>
      </c>
      <c r="AC130">
        <v>0</v>
      </c>
      <c r="AE130">
        <v>-1</v>
      </c>
      <c r="AH130" t="s">
        <v>341</v>
      </c>
      <c r="AJ130" t="s">
        <v>342</v>
      </c>
      <c r="AK130" t="s">
        <v>353</v>
      </c>
      <c r="AM130">
        <v>0</v>
      </c>
      <c r="AN130">
        <v>0</v>
      </c>
      <c r="AQ130">
        <v>41.99</v>
      </c>
      <c r="AR130">
        <v>0</v>
      </c>
      <c r="AS130">
        <v>0</v>
      </c>
      <c r="AT130">
        <v>0</v>
      </c>
      <c r="AU130">
        <v>0</v>
      </c>
      <c r="AY130">
        <v>0</v>
      </c>
      <c r="BB130">
        <v>0</v>
      </c>
      <c r="BC130">
        <v>0</v>
      </c>
      <c r="BD130">
        <v>0</v>
      </c>
      <c r="BE130">
        <v>0</v>
      </c>
      <c r="BG130">
        <v>0</v>
      </c>
      <c r="BH130">
        <v>0</v>
      </c>
      <c r="BZ130">
        <v>1</v>
      </c>
      <c r="CA130" t="s">
        <v>429</v>
      </c>
      <c r="CJ130">
        <v>0</v>
      </c>
      <c r="CK130">
        <v>0</v>
      </c>
      <c r="CL130">
        <v>0</v>
      </c>
      <c r="CM130">
        <v>0</v>
      </c>
      <c r="CN130">
        <v>0</v>
      </c>
      <c r="CO130">
        <v>0</v>
      </c>
      <c r="CP130" t="s">
        <v>347</v>
      </c>
      <c r="CQ130" t="s">
        <v>348</v>
      </c>
    </row>
    <row r="131" spans="1:95">
      <c r="A131" s="5">
        <v>46189</v>
      </c>
      <c r="B131" t="s">
        <v>2068</v>
      </c>
      <c r="C131" t="s">
        <v>2020</v>
      </c>
      <c r="D131" t="s">
        <v>2069</v>
      </c>
      <c r="E131" t="s">
        <v>2022</v>
      </c>
      <c r="G131">
        <v>0</v>
      </c>
      <c r="H131">
        <v>-1</v>
      </c>
      <c r="O131" t="s">
        <v>338</v>
      </c>
      <c r="U131">
        <v>0</v>
      </c>
      <c r="V131">
        <v>0</v>
      </c>
      <c r="W131">
        <v>0</v>
      </c>
      <c r="X131">
        <v>0</v>
      </c>
      <c r="Y131" t="s">
        <v>359</v>
      </c>
      <c r="AB131">
        <v>0</v>
      </c>
      <c r="AC131">
        <v>0</v>
      </c>
      <c r="AE131">
        <v>-1</v>
      </c>
      <c r="AJ131" t="s">
        <v>342</v>
      </c>
      <c r="AK131" t="s">
        <v>353</v>
      </c>
      <c r="AN131">
        <v>0</v>
      </c>
      <c r="AY131">
        <v>0</v>
      </c>
      <c r="BB131">
        <v>0</v>
      </c>
      <c r="BG131">
        <v>0</v>
      </c>
      <c r="BH131">
        <v>0</v>
      </c>
      <c r="CJ131">
        <v>0</v>
      </c>
      <c r="CK131">
        <v>0</v>
      </c>
      <c r="CL131">
        <v>0</v>
      </c>
      <c r="CM131">
        <v>0</v>
      </c>
      <c r="CN131">
        <v>0</v>
      </c>
      <c r="CP131" t="s">
        <v>347</v>
      </c>
      <c r="CQ131" t="s">
        <v>348</v>
      </c>
    </row>
    <row r="132" spans="1:95">
      <c r="A132" s="5">
        <v>46189</v>
      </c>
      <c r="B132" t="s">
        <v>2070</v>
      </c>
      <c r="C132" t="s">
        <v>2071</v>
      </c>
      <c r="D132" t="s">
        <v>2072</v>
      </c>
      <c r="E132" t="s">
        <v>2073</v>
      </c>
      <c r="G132">
        <v>0</v>
      </c>
      <c r="H132">
        <v>-1</v>
      </c>
      <c r="O132" t="s">
        <v>338</v>
      </c>
      <c r="P132">
        <v>0</v>
      </c>
      <c r="Q132">
        <v>0</v>
      </c>
      <c r="R132">
        <v>0</v>
      </c>
      <c r="S132">
        <v>0</v>
      </c>
      <c r="U132">
        <v>0</v>
      </c>
      <c r="V132">
        <v>0</v>
      </c>
      <c r="W132">
        <v>0</v>
      </c>
      <c r="X132">
        <v>0</v>
      </c>
      <c r="Y132" t="s">
        <v>359</v>
      </c>
      <c r="AB132">
        <v>0</v>
      </c>
      <c r="AC132">
        <v>0</v>
      </c>
      <c r="AE132">
        <v>-1</v>
      </c>
      <c r="AH132" t="s">
        <v>341</v>
      </c>
      <c r="AJ132" t="s">
        <v>342</v>
      </c>
      <c r="AK132" t="s">
        <v>353</v>
      </c>
      <c r="AM132">
        <v>0</v>
      </c>
      <c r="AN132">
        <v>0</v>
      </c>
      <c r="AQ132">
        <v>26.99</v>
      </c>
      <c r="AR132">
        <v>0</v>
      </c>
      <c r="AS132">
        <v>0</v>
      </c>
      <c r="AT132">
        <v>0</v>
      </c>
      <c r="AU132">
        <v>0</v>
      </c>
      <c r="AY132">
        <v>0</v>
      </c>
      <c r="BB132">
        <v>0</v>
      </c>
      <c r="BC132">
        <v>0</v>
      </c>
      <c r="BD132">
        <v>0</v>
      </c>
      <c r="BE132">
        <v>0</v>
      </c>
      <c r="BG132">
        <v>0</v>
      </c>
      <c r="BH132">
        <v>0</v>
      </c>
      <c r="BZ132">
        <v>1</v>
      </c>
      <c r="CA132" t="s">
        <v>429</v>
      </c>
      <c r="CJ132">
        <v>0</v>
      </c>
      <c r="CK132">
        <v>0</v>
      </c>
      <c r="CL132">
        <v>0</v>
      </c>
      <c r="CM132">
        <v>0</v>
      </c>
      <c r="CN132">
        <v>0</v>
      </c>
      <c r="CO132">
        <v>0</v>
      </c>
      <c r="CP132" t="s">
        <v>347</v>
      </c>
      <c r="CQ132" t="s">
        <v>348</v>
      </c>
    </row>
    <row r="133" spans="1:95">
      <c r="A133" s="5">
        <v>46189</v>
      </c>
      <c r="B133" t="s">
        <v>2074</v>
      </c>
      <c r="C133" t="s">
        <v>908</v>
      </c>
      <c r="D133" t="s">
        <v>2075</v>
      </c>
      <c r="E133" t="s">
        <v>910</v>
      </c>
      <c r="G133">
        <v>0</v>
      </c>
      <c r="H133">
        <v>-1</v>
      </c>
      <c r="O133" t="s">
        <v>338</v>
      </c>
      <c r="U133">
        <v>0</v>
      </c>
      <c r="V133">
        <v>0</v>
      </c>
      <c r="W133">
        <v>0</v>
      </c>
      <c r="X133">
        <v>0</v>
      </c>
      <c r="Y133" t="s">
        <v>359</v>
      </c>
      <c r="AB133">
        <v>0</v>
      </c>
      <c r="AC133">
        <v>0</v>
      </c>
      <c r="AE133">
        <v>-1</v>
      </c>
      <c r="AJ133" t="s">
        <v>342</v>
      </c>
      <c r="AK133" t="s">
        <v>587</v>
      </c>
      <c r="AM133">
        <v>0</v>
      </c>
      <c r="AN133">
        <v>0</v>
      </c>
      <c r="AQ133">
        <v>133.99</v>
      </c>
      <c r="AY133">
        <v>0</v>
      </c>
      <c r="BB133">
        <v>0</v>
      </c>
      <c r="BG133">
        <v>0</v>
      </c>
      <c r="BH133">
        <v>0</v>
      </c>
      <c r="CJ133">
        <v>0</v>
      </c>
      <c r="CK133">
        <v>0</v>
      </c>
      <c r="CL133">
        <v>0</v>
      </c>
      <c r="CM133">
        <v>0</v>
      </c>
      <c r="CN133">
        <v>0</v>
      </c>
      <c r="CO133">
        <v>0</v>
      </c>
      <c r="CP133" t="s">
        <v>347</v>
      </c>
      <c r="CQ133" t="s">
        <v>348</v>
      </c>
    </row>
    <row r="134" spans="1:95">
      <c r="A134" s="5">
        <v>46189</v>
      </c>
      <c r="B134" t="s">
        <v>2076</v>
      </c>
      <c r="C134" t="s">
        <v>2077</v>
      </c>
      <c r="D134" t="s">
        <v>2078</v>
      </c>
      <c r="E134" t="s">
        <v>2079</v>
      </c>
      <c r="G134">
        <v>0</v>
      </c>
      <c r="H134">
        <v>-1</v>
      </c>
      <c r="O134" t="s">
        <v>338</v>
      </c>
      <c r="U134">
        <v>0</v>
      </c>
      <c r="V134">
        <v>0</v>
      </c>
      <c r="W134">
        <v>0</v>
      </c>
      <c r="X134">
        <v>0</v>
      </c>
      <c r="Y134" t="s">
        <v>359</v>
      </c>
      <c r="AB134">
        <v>0</v>
      </c>
      <c r="AC134">
        <v>0</v>
      </c>
      <c r="AE134">
        <v>-1</v>
      </c>
      <c r="AH134" t="s">
        <v>341</v>
      </c>
      <c r="AJ134" t="s">
        <v>342</v>
      </c>
      <c r="AK134" t="s">
        <v>353</v>
      </c>
      <c r="AM134">
        <v>0</v>
      </c>
      <c r="AN134">
        <v>0</v>
      </c>
      <c r="AQ134">
        <v>16.99</v>
      </c>
      <c r="AY134">
        <v>0</v>
      </c>
      <c r="BB134">
        <v>0</v>
      </c>
      <c r="BC134">
        <v>0</v>
      </c>
      <c r="BD134">
        <v>0</v>
      </c>
      <c r="BE134">
        <v>0</v>
      </c>
      <c r="BG134">
        <v>0</v>
      </c>
      <c r="BH134">
        <v>0</v>
      </c>
      <c r="CJ134">
        <v>0</v>
      </c>
      <c r="CK134">
        <v>0</v>
      </c>
      <c r="CL134">
        <v>0</v>
      </c>
      <c r="CM134">
        <v>0</v>
      </c>
      <c r="CN134">
        <v>0</v>
      </c>
      <c r="CO134">
        <v>0</v>
      </c>
      <c r="CP134" t="s">
        <v>347</v>
      </c>
      <c r="CQ134" t="s">
        <v>348</v>
      </c>
    </row>
    <row r="135" spans="1:95">
      <c r="A135" s="5">
        <v>46189</v>
      </c>
      <c r="B135" t="s">
        <v>2080</v>
      </c>
      <c r="C135" t="s">
        <v>2081</v>
      </c>
      <c r="D135" t="s">
        <v>2082</v>
      </c>
      <c r="E135" t="s">
        <v>2083</v>
      </c>
      <c r="G135">
        <v>0</v>
      </c>
      <c r="H135">
        <v>-1</v>
      </c>
      <c r="O135" t="s">
        <v>338</v>
      </c>
      <c r="U135">
        <v>0</v>
      </c>
      <c r="V135">
        <v>0</v>
      </c>
      <c r="W135">
        <v>0</v>
      </c>
      <c r="X135">
        <v>0</v>
      </c>
      <c r="Y135" t="s">
        <v>372</v>
      </c>
      <c r="AB135">
        <v>0</v>
      </c>
      <c r="AC135">
        <v>0</v>
      </c>
      <c r="AE135">
        <v>-1</v>
      </c>
      <c r="AH135" t="s">
        <v>341</v>
      </c>
      <c r="AJ135" t="s">
        <v>342</v>
      </c>
      <c r="AK135" t="s">
        <v>353</v>
      </c>
      <c r="AN135">
        <v>0</v>
      </c>
      <c r="AQ135">
        <v>75.99</v>
      </c>
      <c r="AY135">
        <v>0</v>
      </c>
      <c r="BB135">
        <v>20</v>
      </c>
      <c r="BC135">
        <v>0</v>
      </c>
      <c r="BD135">
        <v>0</v>
      </c>
      <c r="BE135">
        <v>20</v>
      </c>
      <c r="BG135">
        <v>0</v>
      </c>
      <c r="BH135">
        <v>0</v>
      </c>
      <c r="CJ135">
        <v>20</v>
      </c>
      <c r="CK135">
        <v>0</v>
      </c>
      <c r="CL135">
        <v>0</v>
      </c>
      <c r="CM135">
        <v>0</v>
      </c>
      <c r="CN135">
        <v>0</v>
      </c>
      <c r="CP135" t="s">
        <v>347</v>
      </c>
      <c r="CQ135" t="s">
        <v>348</v>
      </c>
    </row>
    <row r="136" spans="1:95">
      <c r="A136" s="5">
        <v>46189</v>
      </c>
      <c r="B136" t="s">
        <v>2084</v>
      </c>
      <c r="C136" t="s">
        <v>2085</v>
      </c>
      <c r="D136" t="s">
        <v>2086</v>
      </c>
      <c r="E136" t="s">
        <v>2087</v>
      </c>
      <c r="G136">
        <v>0</v>
      </c>
      <c r="H136">
        <v>-1</v>
      </c>
      <c r="O136" t="s">
        <v>338</v>
      </c>
      <c r="P136">
        <v>0</v>
      </c>
      <c r="Q136">
        <v>18</v>
      </c>
      <c r="R136">
        <v>18</v>
      </c>
      <c r="S136">
        <v>18</v>
      </c>
      <c r="U136">
        <v>0</v>
      </c>
      <c r="V136">
        <v>0</v>
      </c>
      <c r="W136">
        <v>0</v>
      </c>
      <c r="X136">
        <v>0</v>
      </c>
      <c r="Y136" t="s">
        <v>464</v>
      </c>
      <c r="AB136">
        <v>0</v>
      </c>
      <c r="AC136">
        <v>0</v>
      </c>
      <c r="AE136">
        <v>-1</v>
      </c>
      <c r="AH136" t="s">
        <v>341</v>
      </c>
      <c r="AJ136" t="s">
        <v>342</v>
      </c>
      <c r="AK136" t="s">
        <v>353</v>
      </c>
      <c r="AM136">
        <v>0</v>
      </c>
      <c r="AN136">
        <v>0</v>
      </c>
      <c r="AO136">
        <v>0</v>
      </c>
      <c r="AP136">
        <v>0</v>
      </c>
      <c r="AQ136">
        <v>15.99</v>
      </c>
      <c r="AR136">
        <v>0</v>
      </c>
      <c r="AS136">
        <v>235.82</v>
      </c>
      <c r="AT136">
        <v>235.82</v>
      </c>
      <c r="AU136">
        <v>235.82</v>
      </c>
      <c r="AY136">
        <v>0</v>
      </c>
      <c r="BB136">
        <v>0</v>
      </c>
      <c r="BC136">
        <v>0</v>
      </c>
      <c r="BD136">
        <v>0</v>
      </c>
      <c r="BE136">
        <v>0</v>
      </c>
      <c r="BG136">
        <v>0</v>
      </c>
      <c r="BH136">
        <v>0</v>
      </c>
      <c r="BY136">
        <v>13.3</v>
      </c>
      <c r="BZ136">
        <v>34</v>
      </c>
      <c r="CA136" t="s">
        <v>429</v>
      </c>
      <c r="CB136">
        <v>64</v>
      </c>
      <c r="CC136" s="5">
        <v>46187</v>
      </c>
      <c r="CD136" s="5">
        <v>46188</v>
      </c>
      <c r="CE136" t="s">
        <v>345</v>
      </c>
      <c r="CF136" t="s">
        <v>346</v>
      </c>
      <c r="CG136">
        <v>9.3</v>
      </c>
      <c r="CH136">
        <v>13.3</v>
      </c>
      <c r="CJ136">
        <v>0</v>
      </c>
      <c r="CK136">
        <v>0</v>
      </c>
      <c r="CL136">
        <v>0</v>
      </c>
      <c r="CM136">
        <v>0</v>
      </c>
      <c r="CN136">
        <v>0</v>
      </c>
      <c r="CO136">
        <v>0</v>
      </c>
      <c r="CP136" t="s">
        <v>347</v>
      </c>
      <c r="CQ136" t="s">
        <v>348</v>
      </c>
    </row>
    <row r="137" spans="1:95">
      <c r="A137" s="5">
        <v>46189</v>
      </c>
      <c r="B137" t="s">
        <v>2088</v>
      </c>
      <c r="C137" t="s">
        <v>2089</v>
      </c>
      <c r="D137" t="s">
        <v>2090</v>
      </c>
      <c r="E137" t="s">
        <v>2091</v>
      </c>
      <c r="F137" t="s">
        <v>337</v>
      </c>
      <c r="G137">
        <v>9</v>
      </c>
      <c r="H137">
        <v>0</v>
      </c>
      <c r="I137">
        <v>0</v>
      </c>
      <c r="J137">
        <v>0</v>
      </c>
      <c r="K137">
        <v>0</v>
      </c>
      <c r="L137">
        <v>10</v>
      </c>
      <c r="M137">
        <v>0</v>
      </c>
      <c r="N137">
        <v>0</v>
      </c>
      <c r="O137" t="s">
        <v>338</v>
      </c>
      <c r="P137">
        <v>0</v>
      </c>
      <c r="Q137">
        <v>0</v>
      </c>
      <c r="R137">
        <v>0</v>
      </c>
      <c r="S137">
        <v>0</v>
      </c>
      <c r="T137" t="s">
        <v>351</v>
      </c>
      <c r="U137">
        <v>69.99</v>
      </c>
      <c r="V137">
        <v>47.99</v>
      </c>
      <c r="W137">
        <v>47.99</v>
      </c>
      <c r="X137">
        <v>0</v>
      </c>
      <c r="Y137" t="s">
        <v>516</v>
      </c>
      <c r="AA137">
        <v>0</v>
      </c>
      <c r="AB137">
        <v>0</v>
      </c>
      <c r="AC137">
        <v>0</v>
      </c>
      <c r="AD137">
        <v>1119.99</v>
      </c>
      <c r="AE137">
        <v>0</v>
      </c>
      <c r="AF137">
        <v>0.467882</v>
      </c>
      <c r="AG137" t="s">
        <v>340</v>
      </c>
      <c r="AH137" t="s">
        <v>377</v>
      </c>
      <c r="AI137">
        <v>4.210938</v>
      </c>
      <c r="AJ137" t="s">
        <v>342</v>
      </c>
      <c r="AK137" t="s">
        <v>353</v>
      </c>
      <c r="AN137">
        <v>9</v>
      </c>
      <c r="AR137">
        <v>0</v>
      </c>
      <c r="AS137">
        <v>0</v>
      </c>
      <c r="AT137">
        <v>0</v>
      </c>
      <c r="AU137">
        <v>0</v>
      </c>
      <c r="AV137">
        <v>0</v>
      </c>
      <c r="AW137">
        <v>0</v>
      </c>
      <c r="AX137">
        <v>0</v>
      </c>
      <c r="AY137">
        <v>10</v>
      </c>
      <c r="AZ137">
        <v>0</v>
      </c>
      <c r="BA137">
        <v>26.79</v>
      </c>
      <c r="BB137">
        <v>0</v>
      </c>
      <c r="BC137">
        <v>0</v>
      </c>
      <c r="BD137">
        <v>0</v>
      </c>
      <c r="BE137">
        <v>0</v>
      </c>
      <c r="BF137">
        <v>10</v>
      </c>
      <c r="BG137">
        <v>1</v>
      </c>
      <c r="BH137">
        <v>0</v>
      </c>
      <c r="BI137">
        <v>0</v>
      </c>
      <c r="BJ137">
        <v>0</v>
      </c>
      <c r="BK137">
        <v>0</v>
      </c>
      <c r="BL137">
        <v>0</v>
      </c>
      <c r="BM137">
        <v>0</v>
      </c>
      <c r="BN137">
        <v>0</v>
      </c>
      <c r="BO137">
        <v>10</v>
      </c>
      <c r="BP137">
        <v>25.5</v>
      </c>
      <c r="BQ137">
        <v>0</v>
      </c>
      <c r="BR137">
        <v>0</v>
      </c>
      <c r="BS137">
        <v>0</v>
      </c>
      <c r="BT137">
        <v>0</v>
      </c>
      <c r="BU137">
        <v>0</v>
      </c>
      <c r="BV137">
        <v>0</v>
      </c>
      <c r="BW137">
        <v>0</v>
      </c>
      <c r="BX137">
        <v>0</v>
      </c>
      <c r="CA137" t="s">
        <v>354</v>
      </c>
      <c r="CI137" s="5">
        <v>46186</v>
      </c>
      <c r="CJ137">
        <v>9</v>
      </c>
      <c r="CK137">
        <v>0</v>
      </c>
      <c r="CL137">
        <v>1</v>
      </c>
      <c r="CM137">
        <v>0</v>
      </c>
      <c r="CN137">
        <v>0</v>
      </c>
      <c r="CP137" t="s">
        <v>347</v>
      </c>
      <c r="CQ137" t="s">
        <v>348</v>
      </c>
    </row>
    <row r="138" spans="1:95">
      <c r="A138" s="5">
        <v>46189</v>
      </c>
      <c r="B138" t="s">
        <v>2092</v>
      </c>
      <c r="C138" t="s">
        <v>2093</v>
      </c>
      <c r="D138" t="s">
        <v>2094</v>
      </c>
      <c r="E138" t="s">
        <v>2095</v>
      </c>
      <c r="G138">
        <v>0</v>
      </c>
      <c r="H138">
        <v>-1</v>
      </c>
      <c r="O138" t="s">
        <v>338</v>
      </c>
      <c r="U138">
        <v>0</v>
      </c>
      <c r="V138">
        <v>0</v>
      </c>
      <c r="W138">
        <v>0</v>
      </c>
      <c r="X138">
        <v>0</v>
      </c>
      <c r="Y138" t="s">
        <v>359</v>
      </c>
      <c r="AB138">
        <v>0</v>
      </c>
      <c r="AC138">
        <v>0</v>
      </c>
      <c r="AE138">
        <v>-1</v>
      </c>
      <c r="AH138" t="s">
        <v>341</v>
      </c>
      <c r="AJ138" t="s">
        <v>342</v>
      </c>
      <c r="AK138" t="s">
        <v>353</v>
      </c>
      <c r="AN138">
        <v>0</v>
      </c>
      <c r="AY138">
        <v>0</v>
      </c>
      <c r="BB138">
        <v>0</v>
      </c>
      <c r="BG138">
        <v>0</v>
      </c>
      <c r="BH138">
        <v>0</v>
      </c>
      <c r="CJ138">
        <v>0</v>
      </c>
      <c r="CK138">
        <v>0</v>
      </c>
      <c r="CL138">
        <v>0</v>
      </c>
      <c r="CM138">
        <v>0</v>
      </c>
      <c r="CN138">
        <v>0</v>
      </c>
      <c r="CP138" t="s">
        <v>347</v>
      </c>
      <c r="CQ138" t="s">
        <v>348</v>
      </c>
    </row>
    <row r="139" spans="1:95">
      <c r="A139" s="5">
        <v>46189</v>
      </c>
      <c r="B139" t="s">
        <v>2096</v>
      </c>
      <c r="C139" t="s">
        <v>2097</v>
      </c>
      <c r="D139" t="s">
        <v>2098</v>
      </c>
      <c r="E139" t="s">
        <v>2099</v>
      </c>
      <c r="F139" t="s">
        <v>337</v>
      </c>
      <c r="G139">
        <v>6</v>
      </c>
      <c r="H139">
        <v>0</v>
      </c>
      <c r="I139">
        <v>6</v>
      </c>
      <c r="J139">
        <v>0</v>
      </c>
      <c r="K139">
        <v>0</v>
      </c>
      <c r="L139">
        <v>0</v>
      </c>
      <c r="M139">
        <v>0</v>
      </c>
      <c r="N139">
        <v>0</v>
      </c>
      <c r="O139" t="s">
        <v>338</v>
      </c>
      <c r="P139">
        <v>0</v>
      </c>
      <c r="Q139">
        <v>0</v>
      </c>
      <c r="R139">
        <v>0</v>
      </c>
      <c r="S139">
        <v>0</v>
      </c>
      <c r="T139" t="s">
        <v>409</v>
      </c>
      <c r="U139">
        <v>97.39</v>
      </c>
      <c r="V139">
        <v>0</v>
      </c>
      <c r="W139">
        <v>79.99</v>
      </c>
      <c r="X139">
        <v>0</v>
      </c>
      <c r="Y139" t="s">
        <v>391</v>
      </c>
      <c r="AB139">
        <v>0</v>
      </c>
      <c r="AC139">
        <v>0</v>
      </c>
      <c r="AE139">
        <v>0</v>
      </c>
      <c r="AF139">
        <v>1.444444</v>
      </c>
      <c r="AG139" t="s">
        <v>340</v>
      </c>
      <c r="AH139" t="s">
        <v>424</v>
      </c>
      <c r="AI139">
        <v>8.666664</v>
      </c>
      <c r="AJ139" t="s">
        <v>342</v>
      </c>
      <c r="AK139" t="s">
        <v>353</v>
      </c>
      <c r="AL139">
        <v>192027</v>
      </c>
      <c r="AM139">
        <v>127</v>
      </c>
      <c r="AN139">
        <v>0</v>
      </c>
      <c r="AQ139">
        <v>79.99</v>
      </c>
      <c r="AR139">
        <v>0</v>
      </c>
      <c r="AS139">
        <v>0</v>
      </c>
      <c r="AT139">
        <v>0</v>
      </c>
      <c r="AU139">
        <v>0</v>
      </c>
      <c r="AV139">
        <v>0</v>
      </c>
      <c r="AW139">
        <v>6</v>
      </c>
      <c r="AX139">
        <v>0</v>
      </c>
      <c r="AY139">
        <v>0</v>
      </c>
      <c r="AZ139">
        <v>0</v>
      </c>
      <c r="BB139">
        <v>0</v>
      </c>
      <c r="BC139">
        <v>0</v>
      </c>
      <c r="BD139">
        <v>0</v>
      </c>
      <c r="BE139">
        <v>0</v>
      </c>
      <c r="BG139">
        <v>0</v>
      </c>
      <c r="BH139">
        <v>0</v>
      </c>
      <c r="BZ139">
        <v>3</v>
      </c>
      <c r="CA139" t="s">
        <v>360</v>
      </c>
      <c r="CI139" s="5">
        <v>46186</v>
      </c>
      <c r="CJ139">
        <v>6</v>
      </c>
      <c r="CK139">
        <v>0</v>
      </c>
      <c r="CL139">
        <v>0</v>
      </c>
      <c r="CM139">
        <v>0</v>
      </c>
      <c r="CN139">
        <v>0</v>
      </c>
      <c r="CO139">
        <v>127</v>
      </c>
      <c r="CP139" t="s">
        <v>347</v>
      </c>
      <c r="CQ139" t="s">
        <v>348</v>
      </c>
    </row>
    <row r="140" spans="1:95">
      <c r="A140" s="5">
        <v>46189</v>
      </c>
      <c r="B140" t="s">
        <v>2100</v>
      </c>
      <c r="C140" t="s">
        <v>334</v>
      </c>
      <c r="D140" t="s">
        <v>2101</v>
      </c>
      <c r="E140" t="s">
        <v>336</v>
      </c>
      <c r="G140">
        <v>0</v>
      </c>
      <c r="H140">
        <v>-1</v>
      </c>
      <c r="O140" t="s">
        <v>338</v>
      </c>
      <c r="P140">
        <v>0</v>
      </c>
      <c r="Q140">
        <v>0</v>
      </c>
      <c r="R140">
        <v>0</v>
      </c>
      <c r="S140">
        <v>0</v>
      </c>
      <c r="U140">
        <v>0</v>
      </c>
      <c r="V140">
        <v>0</v>
      </c>
      <c r="W140">
        <v>0</v>
      </c>
      <c r="X140">
        <v>0</v>
      </c>
      <c r="Y140" t="s">
        <v>359</v>
      </c>
      <c r="AB140">
        <v>0</v>
      </c>
      <c r="AC140">
        <v>0</v>
      </c>
      <c r="AE140">
        <v>-1</v>
      </c>
      <c r="AH140" t="s">
        <v>341</v>
      </c>
      <c r="AJ140" t="s">
        <v>342</v>
      </c>
      <c r="AK140" t="s">
        <v>343</v>
      </c>
      <c r="AL140">
        <v>32209</v>
      </c>
      <c r="AN140">
        <v>0</v>
      </c>
      <c r="AQ140">
        <v>49.99</v>
      </c>
      <c r="AR140">
        <v>0</v>
      </c>
      <c r="AS140">
        <v>0</v>
      </c>
      <c r="AT140">
        <v>0</v>
      </c>
      <c r="AU140">
        <v>0</v>
      </c>
      <c r="AY140">
        <v>0</v>
      </c>
      <c r="BB140">
        <v>0</v>
      </c>
      <c r="BC140">
        <v>0</v>
      </c>
      <c r="BD140">
        <v>0</v>
      </c>
      <c r="BE140">
        <v>0</v>
      </c>
      <c r="BG140">
        <v>0</v>
      </c>
      <c r="BH140">
        <v>0</v>
      </c>
      <c r="CJ140">
        <v>0</v>
      </c>
      <c r="CK140">
        <v>0</v>
      </c>
      <c r="CL140">
        <v>0</v>
      </c>
      <c r="CM140">
        <v>0</v>
      </c>
      <c r="CN140">
        <v>0</v>
      </c>
      <c r="CP140" t="s">
        <v>347</v>
      </c>
      <c r="CQ140" t="s">
        <v>348</v>
      </c>
    </row>
    <row r="141" spans="1:95">
      <c r="A141" s="5">
        <v>46189</v>
      </c>
      <c r="B141" t="s">
        <v>2102</v>
      </c>
      <c r="C141" t="s">
        <v>2103</v>
      </c>
      <c r="D141" t="s">
        <v>2104</v>
      </c>
      <c r="E141" t="s">
        <v>2105</v>
      </c>
      <c r="G141">
        <v>0</v>
      </c>
      <c r="H141">
        <v>-1</v>
      </c>
      <c r="O141" t="s">
        <v>338</v>
      </c>
      <c r="P141">
        <v>0</v>
      </c>
      <c r="Q141">
        <v>0</v>
      </c>
      <c r="R141">
        <v>0</v>
      </c>
      <c r="S141">
        <v>0</v>
      </c>
      <c r="U141">
        <v>0</v>
      </c>
      <c r="V141">
        <v>0</v>
      </c>
      <c r="W141">
        <v>0</v>
      </c>
      <c r="X141">
        <v>0</v>
      </c>
      <c r="Y141" t="s">
        <v>359</v>
      </c>
      <c r="AB141">
        <v>0</v>
      </c>
      <c r="AC141">
        <v>0</v>
      </c>
      <c r="AE141">
        <v>-1</v>
      </c>
      <c r="AH141" t="s">
        <v>341</v>
      </c>
      <c r="AJ141" t="s">
        <v>342</v>
      </c>
      <c r="AK141" t="s">
        <v>353</v>
      </c>
      <c r="AM141">
        <v>0</v>
      </c>
      <c r="AN141">
        <v>0</v>
      </c>
      <c r="AQ141">
        <v>39.99</v>
      </c>
      <c r="AR141">
        <v>0</v>
      </c>
      <c r="AS141">
        <v>0</v>
      </c>
      <c r="AT141">
        <v>0</v>
      </c>
      <c r="AU141">
        <v>0</v>
      </c>
      <c r="AY141">
        <v>0</v>
      </c>
      <c r="BB141">
        <v>0</v>
      </c>
      <c r="BC141">
        <v>0</v>
      </c>
      <c r="BD141">
        <v>0</v>
      </c>
      <c r="BE141">
        <v>0</v>
      </c>
      <c r="BG141">
        <v>0</v>
      </c>
      <c r="BH141">
        <v>0</v>
      </c>
      <c r="BZ141">
        <v>1</v>
      </c>
      <c r="CA141" t="s">
        <v>429</v>
      </c>
      <c r="CJ141">
        <v>0</v>
      </c>
      <c r="CK141">
        <v>0</v>
      </c>
      <c r="CL141">
        <v>0</v>
      </c>
      <c r="CM141">
        <v>0</v>
      </c>
      <c r="CN141">
        <v>0</v>
      </c>
      <c r="CO141">
        <v>0</v>
      </c>
      <c r="CP141" t="s">
        <v>347</v>
      </c>
      <c r="CQ141" t="s">
        <v>348</v>
      </c>
    </row>
    <row r="142" spans="1:95">
      <c r="A142" s="5">
        <v>46189</v>
      </c>
      <c r="B142" t="s">
        <v>2106</v>
      </c>
      <c r="C142" t="s">
        <v>2107</v>
      </c>
      <c r="D142" t="s">
        <v>2108</v>
      </c>
      <c r="E142" t="s">
        <v>2109</v>
      </c>
      <c r="G142">
        <v>0</v>
      </c>
      <c r="H142">
        <v>-1</v>
      </c>
      <c r="O142" t="s">
        <v>338</v>
      </c>
      <c r="U142">
        <v>0</v>
      </c>
      <c r="V142">
        <v>0</v>
      </c>
      <c r="W142">
        <v>0</v>
      </c>
      <c r="X142">
        <v>0</v>
      </c>
      <c r="Y142" t="s">
        <v>359</v>
      </c>
      <c r="AB142">
        <v>0</v>
      </c>
      <c r="AC142">
        <v>0</v>
      </c>
      <c r="AE142">
        <v>-1</v>
      </c>
      <c r="AH142" t="s">
        <v>341</v>
      </c>
      <c r="AJ142" t="s">
        <v>342</v>
      </c>
      <c r="AK142" t="s">
        <v>353</v>
      </c>
      <c r="AN142">
        <v>0</v>
      </c>
      <c r="AY142">
        <v>0</v>
      </c>
      <c r="BB142">
        <v>0</v>
      </c>
      <c r="BG142">
        <v>0</v>
      </c>
      <c r="BH142">
        <v>0</v>
      </c>
      <c r="CJ142">
        <v>0</v>
      </c>
      <c r="CK142">
        <v>0</v>
      </c>
      <c r="CL142">
        <v>0</v>
      </c>
      <c r="CM142">
        <v>0</v>
      </c>
      <c r="CN142">
        <v>0</v>
      </c>
      <c r="CP142" t="s">
        <v>347</v>
      </c>
      <c r="CQ142" t="s">
        <v>348</v>
      </c>
    </row>
    <row r="143" spans="1:95">
      <c r="A143" s="5">
        <v>46189</v>
      </c>
      <c r="B143" t="s">
        <v>1589</v>
      </c>
      <c r="C143" t="s">
        <v>1590</v>
      </c>
      <c r="D143" t="s">
        <v>1588</v>
      </c>
      <c r="E143" t="s">
        <v>2110</v>
      </c>
      <c r="F143" t="s">
        <v>337</v>
      </c>
      <c r="G143">
        <v>60</v>
      </c>
      <c r="H143">
        <v>0</v>
      </c>
      <c r="I143">
        <v>38</v>
      </c>
      <c r="J143">
        <v>22</v>
      </c>
      <c r="K143">
        <v>0</v>
      </c>
      <c r="L143">
        <v>0</v>
      </c>
      <c r="M143">
        <v>0</v>
      </c>
      <c r="N143">
        <v>0</v>
      </c>
      <c r="O143" t="s">
        <v>338</v>
      </c>
      <c r="P143">
        <v>0</v>
      </c>
      <c r="Q143">
        <v>0</v>
      </c>
      <c r="R143">
        <v>0</v>
      </c>
      <c r="S143">
        <v>0</v>
      </c>
      <c r="T143" t="s">
        <v>351</v>
      </c>
      <c r="U143">
        <v>26.99</v>
      </c>
      <c r="V143">
        <v>19.99</v>
      </c>
      <c r="W143">
        <v>19.99</v>
      </c>
      <c r="X143">
        <v>0</v>
      </c>
      <c r="Y143" t="s">
        <v>613</v>
      </c>
      <c r="AA143">
        <v>0</v>
      </c>
      <c r="AB143">
        <v>0</v>
      </c>
      <c r="AC143">
        <v>0</v>
      </c>
      <c r="AD143">
        <v>0</v>
      </c>
      <c r="AE143">
        <v>0.68</v>
      </c>
      <c r="AF143">
        <v>0.156064</v>
      </c>
      <c r="AG143" t="s">
        <v>340</v>
      </c>
      <c r="AH143" t="s">
        <v>341</v>
      </c>
      <c r="AI143">
        <v>9.36384</v>
      </c>
      <c r="AJ143" t="s">
        <v>342</v>
      </c>
      <c r="AK143" t="s">
        <v>353</v>
      </c>
      <c r="AL143">
        <v>145796</v>
      </c>
      <c r="AM143">
        <v>100</v>
      </c>
      <c r="AN143">
        <v>0</v>
      </c>
      <c r="AQ143">
        <v>19.99</v>
      </c>
      <c r="AR143">
        <v>0</v>
      </c>
      <c r="AS143">
        <v>0</v>
      </c>
      <c r="AT143">
        <v>0</v>
      </c>
      <c r="AU143">
        <v>0</v>
      </c>
      <c r="AV143">
        <v>0</v>
      </c>
      <c r="AW143">
        <v>37</v>
      </c>
      <c r="AX143">
        <v>1</v>
      </c>
      <c r="AY143">
        <v>0</v>
      </c>
      <c r="AZ143">
        <v>0</v>
      </c>
      <c r="BA143">
        <v>5.98</v>
      </c>
      <c r="BB143">
        <v>0</v>
      </c>
      <c r="BC143">
        <v>0</v>
      </c>
      <c r="BD143">
        <v>0</v>
      </c>
      <c r="BE143">
        <v>0</v>
      </c>
      <c r="BG143">
        <v>0</v>
      </c>
      <c r="BH143">
        <v>5</v>
      </c>
      <c r="BY143">
        <v>180.1</v>
      </c>
      <c r="BZ143">
        <v>31</v>
      </c>
      <c r="CA143" t="s">
        <v>360</v>
      </c>
      <c r="CD143" s="5">
        <v>46188</v>
      </c>
      <c r="CE143" t="s">
        <v>345</v>
      </c>
      <c r="CF143" t="s">
        <v>346</v>
      </c>
      <c r="CG143">
        <v>180.1</v>
      </c>
      <c r="CH143">
        <v>123.3</v>
      </c>
      <c r="CI143" s="5">
        <v>46186</v>
      </c>
      <c r="CJ143">
        <v>60</v>
      </c>
      <c r="CK143">
        <v>0</v>
      </c>
      <c r="CL143">
        <v>0</v>
      </c>
      <c r="CM143">
        <v>0</v>
      </c>
      <c r="CN143">
        <v>0</v>
      </c>
      <c r="CO143">
        <v>100</v>
      </c>
      <c r="CP143" t="s">
        <v>347</v>
      </c>
      <c r="CQ143" t="s">
        <v>348</v>
      </c>
    </row>
    <row r="144" spans="1:95">
      <c r="A144" s="5">
        <v>46189</v>
      </c>
      <c r="B144" t="s">
        <v>2111</v>
      </c>
      <c r="C144" t="s">
        <v>2112</v>
      </c>
      <c r="D144" t="s">
        <v>2113</v>
      </c>
      <c r="E144" t="s">
        <v>2114</v>
      </c>
      <c r="G144">
        <v>0</v>
      </c>
      <c r="H144">
        <v>-1</v>
      </c>
      <c r="O144" t="s">
        <v>338</v>
      </c>
      <c r="U144">
        <v>0</v>
      </c>
      <c r="V144">
        <v>0</v>
      </c>
      <c r="W144">
        <v>0</v>
      </c>
      <c r="X144">
        <v>0</v>
      </c>
      <c r="Y144" t="s">
        <v>359</v>
      </c>
      <c r="AB144">
        <v>0</v>
      </c>
      <c r="AC144">
        <v>0</v>
      </c>
      <c r="AE144">
        <v>-1</v>
      </c>
      <c r="AH144" t="s">
        <v>341</v>
      </c>
      <c r="AJ144" t="s">
        <v>342</v>
      </c>
      <c r="AK144" t="s">
        <v>595</v>
      </c>
      <c r="AN144">
        <v>0</v>
      </c>
      <c r="AY144">
        <v>0</v>
      </c>
      <c r="BB144">
        <v>0</v>
      </c>
      <c r="BG144">
        <v>0</v>
      </c>
      <c r="BH144">
        <v>0</v>
      </c>
      <c r="CJ144">
        <v>0</v>
      </c>
      <c r="CK144">
        <v>0</v>
      </c>
      <c r="CL144">
        <v>0</v>
      </c>
      <c r="CM144">
        <v>0</v>
      </c>
      <c r="CN144">
        <v>0</v>
      </c>
      <c r="CP144" t="s">
        <v>347</v>
      </c>
      <c r="CQ144" t="s">
        <v>348</v>
      </c>
    </row>
    <row r="145" spans="1:95">
      <c r="A145" s="5">
        <v>46189</v>
      </c>
      <c r="B145" t="s">
        <v>2115</v>
      </c>
      <c r="C145" t="s">
        <v>2116</v>
      </c>
      <c r="D145" t="s">
        <v>2117</v>
      </c>
      <c r="E145" t="s">
        <v>2118</v>
      </c>
      <c r="G145">
        <v>0</v>
      </c>
      <c r="H145">
        <v>-1</v>
      </c>
      <c r="O145" t="s">
        <v>338</v>
      </c>
      <c r="U145">
        <v>0</v>
      </c>
      <c r="V145">
        <v>0</v>
      </c>
      <c r="W145">
        <v>0</v>
      </c>
      <c r="X145">
        <v>0</v>
      </c>
      <c r="Y145" t="s">
        <v>359</v>
      </c>
      <c r="AB145">
        <v>0</v>
      </c>
      <c r="AC145">
        <v>0</v>
      </c>
      <c r="AE145">
        <v>-1</v>
      </c>
      <c r="AH145" t="s">
        <v>377</v>
      </c>
      <c r="AJ145" t="s">
        <v>342</v>
      </c>
      <c r="AK145" t="s">
        <v>652</v>
      </c>
      <c r="AN145">
        <v>0</v>
      </c>
      <c r="AY145">
        <v>0</v>
      </c>
      <c r="BB145">
        <v>0</v>
      </c>
      <c r="BG145">
        <v>0</v>
      </c>
      <c r="BH145">
        <v>0</v>
      </c>
      <c r="CJ145">
        <v>0</v>
      </c>
      <c r="CK145">
        <v>0</v>
      </c>
      <c r="CL145">
        <v>0</v>
      </c>
      <c r="CM145">
        <v>0</v>
      </c>
      <c r="CN145">
        <v>0</v>
      </c>
      <c r="CP145" t="s">
        <v>347</v>
      </c>
      <c r="CQ145" t="s">
        <v>348</v>
      </c>
    </row>
    <row r="146" spans="1:95">
      <c r="A146" s="5">
        <v>46189</v>
      </c>
      <c r="B146" t="s">
        <v>2119</v>
      </c>
      <c r="C146" t="s">
        <v>2120</v>
      </c>
      <c r="D146" t="s">
        <v>2121</v>
      </c>
      <c r="E146" t="s">
        <v>2122</v>
      </c>
      <c r="G146">
        <v>0</v>
      </c>
      <c r="H146">
        <v>-1</v>
      </c>
      <c r="O146" t="s">
        <v>338</v>
      </c>
      <c r="P146">
        <v>0</v>
      </c>
      <c r="Q146">
        <v>0</v>
      </c>
      <c r="R146">
        <v>0</v>
      </c>
      <c r="S146">
        <v>0</v>
      </c>
      <c r="U146">
        <v>0</v>
      </c>
      <c r="V146">
        <v>0</v>
      </c>
      <c r="W146">
        <v>0</v>
      </c>
      <c r="X146">
        <v>0</v>
      </c>
      <c r="Y146" t="s">
        <v>359</v>
      </c>
      <c r="AB146">
        <v>0</v>
      </c>
      <c r="AC146">
        <v>0</v>
      </c>
      <c r="AE146">
        <v>-1</v>
      </c>
      <c r="AH146" t="s">
        <v>341</v>
      </c>
      <c r="AJ146" t="s">
        <v>342</v>
      </c>
      <c r="AK146" t="s">
        <v>353</v>
      </c>
      <c r="AM146">
        <v>0</v>
      </c>
      <c r="AN146">
        <v>0</v>
      </c>
      <c r="AQ146">
        <v>29.24</v>
      </c>
      <c r="AR146">
        <v>0</v>
      </c>
      <c r="AS146">
        <v>0</v>
      </c>
      <c r="AT146">
        <v>0</v>
      </c>
      <c r="AU146">
        <v>0</v>
      </c>
      <c r="AY146">
        <v>0</v>
      </c>
      <c r="BB146">
        <v>0</v>
      </c>
      <c r="BC146">
        <v>0</v>
      </c>
      <c r="BD146">
        <v>0</v>
      </c>
      <c r="BE146">
        <v>0</v>
      </c>
      <c r="BG146">
        <v>0</v>
      </c>
      <c r="BH146">
        <v>0</v>
      </c>
      <c r="BZ146">
        <v>1</v>
      </c>
      <c r="CA146" t="s">
        <v>429</v>
      </c>
      <c r="CJ146">
        <v>0</v>
      </c>
      <c r="CK146">
        <v>0</v>
      </c>
      <c r="CL146">
        <v>0</v>
      </c>
      <c r="CM146">
        <v>0</v>
      </c>
      <c r="CN146">
        <v>0</v>
      </c>
      <c r="CO146">
        <v>0</v>
      </c>
      <c r="CP146" t="s">
        <v>347</v>
      </c>
      <c r="CQ146" t="s">
        <v>348</v>
      </c>
    </row>
    <row r="147" spans="1:95">
      <c r="A147" s="5">
        <v>46189</v>
      </c>
      <c r="B147" t="s">
        <v>2123</v>
      </c>
      <c r="C147" t="s">
        <v>870</v>
      </c>
      <c r="D147" t="s">
        <v>2124</v>
      </c>
      <c r="E147" t="s">
        <v>872</v>
      </c>
      <c r="G147">
        <v>0</v>
      </c>
      <c r="H147">
        <v>-1</v>
      </c>
      <c r="O147" t="s">
        <v>338</v>
      </c>
      <c r="U147">
        <v>0</v>
      </c>
      <c r="V147">
        <v>0</v>
      </c>
      <c r="W147">
        <v>0</v>
      </c>
      <c r="X147">
        <v>0</v>
      </c>
      <c r="Y147" t="s">
        <v>359</v>
      </c>
      <c r="AB147">
        <v>0</v>
      </c>
      <c r="AC147">
        <v>0</v>
      </c>
      <c r="AE147">
        <v>-1</v>
      </c>
      <c r="AJ147" t="s">
        <v>342</v>
      </c>
      <c r="AK147" t="s">
        <v>353</v>
      </c>
      <c r="AL147">
        <v>2409</v>
      </c>
      <c r="AN147">
        <v>0</v>
      </c>
      <c r="AQ147">
        <v>17.99</v>
      </c>
      <c r="AY147">
        <v>0</v>
      </c>
      <c r="BB147">
        <v>0</v>
      </c>
      <c r="BG147">
        <v>0</v>
      </c>
      <c r="BH147">
        <v>0</v>
      </c>
      <c r="CJ147">
        <v>0</v>
      </c>
      <c r="CK147">
        <v>0</v>
      </c>
      <c r="CL147">
        <v>0</v>
      </c>
      <c r="CM147">
        <v>0</v>
      </c>
      <c r="CN147">
        <v>0</v>
      </c>
      <c r="CP147" t="s">
        <v>347</v>
      </c>
      <c r="CQ147" t="s">
        <v>348</v>
      </c>
    </row>
    <row r="148" spans="1:95">
      <c r="A148" s="5">
        <v>46189</v>
      </c>
      <c r="B148" t="s">
        <v>2125</v>
      </c>
      <c r="C148" t="s">
        <v>2126</v>
      </c>
      <c r="D148" t="s">
        <v>2127</v>
      </c>
      <c r="E148" t="s">
        <v>2128</v>
      </c>
      <c r="G148">
        <v>0</v>
      </c>
      <c r="H148">
        <v>-1</v>
      </c>
      <c r="O148" t="s">
        <v>338</v>
      </c>
      <c r="U148">
        <v>0</v>
      </c>
      <c r="V148">
        <v>0</v>
      </c>
      <c r="W148">
        <v>0</v>
      </c>
      <c r="X148">
        <v>0</v>
      </c>
      <c r="Y148" t="s">
        <v>359</v>
      </c>
      <c r="AB148">
        <v>0</v>
      </c>
      <c r="AC148">
        <v>0</v>
      </c>
      <c r="AE148">
        <v>-1</v>
      </c>
      <c r="AH148" t="s">
        <v>341</v>
      </c>
      <c r="AJ148" t="s">
        <v>342</v>
      </c>
      <c r="AK148" t="s">
        <v>353</v>
      </c>
      <c r="AL148">
        <v>117152</v>
      </c>
      <c r="AN148">
        <v>0</v>
      </c>
      <c r="AQ148">
        <v>9.99</v>
      </c>
      <c r="AY148">
        <v>0</v>
      </c>
      <c r="BB148">
        <v>0</v>
      </c>
      <c r="BG148">
        <v>0</v>
      </c>
      <c r="BH148">
        <v>0</v>
      </c>
      <c r="CJ148">
        <v>0</v>
      </c>
      <c r="CK148">
        <v>0</v>
      </c>
      <c r="CL148">
        <v>0</v>
      </c>
      <c r="CM148">
        <v>0</v>
      </c>
      <c r="CN148">
        <v>0</v>
      </c>
      <c r="CP148" t="s">
        <v>347</v>
      </c>
      <c r="CQ148" t="s">
        <v>348</v>
      </c>
    </row>
    <row r="149" spans="1:95">
      <c r="A149" s="5">
        <v>46189</v>
      </c>
      <c r="B149" t="s">
        <v>2129</v>
      </c>
      <c r="C149" t="s">
        <v>2130</v>
      </c>
      <c r="D149" t="s">
        <v>2131</v>
      </c>
      <c r="E149" t="s">
        <v>2132</v>
      </c>
      <c r="G149">
        <v>0</v>
      </c>
      <c r="H149">
        <v>-1</v>
      </c>
      <c r="O149" t="s">
        <v>338</v>
      </c>
      <c r="P149">
        <v>0</v>
      </c>
      <c r="Q149">
        <v>0</v>
      </c>
      <c r="R149">
        <v>0</v>
      </c>
      <c r="S149">
        <v>0</v>
      </c>
      <c r="U149">
        <v>0</v>
      </c>
      <c r="V149">
        <v>0</v>
      </c>
      <c r="W149">
        <v>0</v>
      </c>
      <c r="X149">
        <v>0</v>
      </c>
      <c r="Y149" t="s">
        <v>359</v>
      </c>
      <c r="AB149">
        <v>0</v>
      </c>
      <c r="AC149">
        <v>0</v>
      </c>
      <c r="AE149">
        <v>-1</v>
      </c>
      <c r="AH149" t="s">
        <v>341</v>
      </c>
      <c r="AJ149" t="s">
        <v>342</v>
      </c>
      <c r="AK149" t="s">
        <v>353</v>
      </c>
      <c r="AM149">
        <v>0</v>
      </c>
      <c r="AN149">
        <v>0</v>
      </c>
      <c r="AQ149">
        <v>22.09</v>
      </c>
      <c r="AR149">
        <v>0</v>
      </c>
      <c r="AS149">
        <v>0</v>
      </c>
      <c r="AT149">
        <v>0</v>
      </c>
      <c r="AU149">
        <v>0</v>
      </c>
      <c r="AY149">
        <v>0</v>
      </c>
      <c r="BB149">
        <v>0</v>
      </c>
      <c r="BC149">
        <v>0</v>
      </c>
      <c r="BD149">
        <v>0</v>
      </c>
      <c r="BE149">
        <v>0</v>
      </c>
      <c r="BG149">
        <v>0</v>
      </c>
      <c r="BH149">
        <v>0</v>
      </c>
      <c r="BZ149">
        <v>1</v>
      </c>
      <c r="CA149" t="s">
        <v>429</v>
      </c>
      <c r="CJ149">
        <v>0</v>
      </c>
      <c r="CK149">
        <v>0</v>
      </c>
      <c r="CL149">
        <v>0</v>
      </c>
      <c r="CM149">
        <v>0</v>
      </c>
      <c r="CN149">
        <v>0</v>
      </c>
      <c r="CO149">
        <v>0</v>
      </c>
      <c r="CP149" t="s">
        <v>347</v>
      </c>
      <c r="CQ149" t="s">
        <v>348</v>
      </c>
    </row>
    <row r="150" spans="1:95">
      <c r="A150" s="5">
        <v>46189</v>
      </c>
      <c r="B150" t="s">
        <v>2133</v>
      </c>
      <c r="C150" t="s">
        <v>2134</v>
      </c>
      <c r="D150" t="s">
        <v>2135</v>
      </c>
      <c r="E150" t="s">
        <v>2136</v>
      </c>
      <c r="F150" t="s">
        <v>337</v>
      </c>
      <c r="G150">
        <v>10</v>
      </c>
      <c r="H150">
        <v>-1</v>
      </c>
      <c r="O150" t="s">
        <v>338</v>
      </c>
      <c r="P150">
        <v>0</v>
      </c>
      <c r="Q150">
        <v>2</v>
      </c>
      <c r="R150">
        <v>2</v>
      </c>
      <c r="S150">
        <v>4</v>
      </c>
      <c r="U150">
        <v>19.99</v>
      </c>
      <c r="V150">
        <v>11.99</v>
      </c>
      <c r="W150">
        <v>0</v>
      </c>
      <c r="X150">
        <v>0</v>
      </c>
      <c r="Y150" t="s">
        <v>359</v>
      </c>
      <c r="AA150">
        <v>0</v>
      </c>
      <c r="AB150">
        <v>0</v>
      </c>
      <c r="AC150">
        <v>0</v>
      </c>
      <c r="AD150">
        <v>281.09</v>
      </c>
      <c r="AE150">
        <v>-1</v>
      </c>
      <c r="AH150" t="s">
        <v>341</v>
      </c>
      <c r="AJ150" t="s">
        <v>342</v>
      </c>
      <c r="AK150" t="s">
        <v>378</v>
      </c>
      <c r="AL150">
        <v>633296</v>
      </c>
      <c r="AM150">
        <v>133</v>
      </c>
      <c r="AN150">
        <v>0</v>
      </c>
      <c r="AO150">
        <v>20</v>
      </c>
      <c r="AP150">
        <v>32</v>
      </c>
      <c r="AQ150">
        <v>11.99</v>
      </c>
      <c r="AR150">
        <v>0</v>
      </c>
      <c r="AS150">
        <v>23.98</v>
      </c>
      <c r="AT150">
        <v>23.98</v>
      </c>
      <c r="AU150">
        <v>47.96</v>
      </c>
      <c r="AY150">
        <v>0</v>
      </c>
      <c r="BA150">
        <v>8.26</v>
      </c>
      <c r="BB150">
        <v>0</v>
      </c>
      <c r="BC150">
        <v>0</v>
      </c>
      <c r="BD150">
        <v>0</v>
      </c>
      <c r="BE150">
        <v>0</v>
      </c>
      <c r="BG150">
        <v>0</v>
      </c>
      <c r="BH150">
        <v>0</v>
      </c>
      <c r="BY150">
        <v>253.3</v>
      </c>
      <c r="BZ150">
        <v>3</v>
      </c>
      <c r="CA150" t="s">
        <v>360</v>
      </c>
      <c r="CD150" s="5">
        <v>46188</v>
      </c>
      <c r="CE150" t="s">
        <v>345</v>
      </c>
      <c r="CF150" t="s">
        <v>346</v>
      </c>
      <c r="CG150">
        <v>163</v>
      </c>
      <c r="CH150">
        <v>253.3</v>
      </c>
      <c r="CJ150">
        <v>10</v>
      </c>
      <c r="CK150">
        <v>0</v>
      </c>
      <c r="CL150">
        <v>0</v>
      </c>
      <c r="CM150">
        <v>0</v>
      </c>
      <c r="CN150">
        <v>0</v>
      </c>
      <c r="CO150">
        <v>133</v>
      </c>
      <c r="CQ150" t="s">
        <v>348</v>
      </c>
    </row>
    <row r="151" spans="1:95">
      <c r="A151" s="5">
        <v>46189</v>
      </c>
      <c r="B151" t="s">
        <v>2137</v>
      </c>
      <c r="C151" t="s">
        <v>2138</v>
      </c>
      <c r="D151" t="s">
        <v>2139</v>
      </c>
      <c r="E151" t="s">
        <v>2140</v>
      </c>
      <c r="F151" t="s">
        <v>337</v>
      </c>
      <c r="G151">
        <v>4</v>
      </c>
      <c r="H151">
        <v>0</v>
      </c>
      <c r="I151">
        <v>4</v>
      </c>
      <c r="J151">
        <v>0</v>
      </c>
      <c r="K151">
        <v>0</v>
      </c>
      <c r="L151">
        <v>0</v>
      </c>
      <c r="M151">
        <v>0</v>
      </c>
      <c r="N151">
        <v>0</v>
      </c>
      <c r="O151" t="s">
        <v>338</v>
      </c>
      <c r="P151">
        <v>0</v>
      </c>
      <c r="Q151">
        <v>2</v>
      </c>
      <c r="R151">
        <v>2</v>
      </c>
      <c r="S151">
        <v>2</v>
      </c>
      <c r="T151" t="s">
        <v>351</v>
      </c>
      <c r="U151">
        <v>87.99</v>
      </c>
      <c r="V151">
        <v>0</v>
      </c>
      <c r="W151">
        <v>83.59</v>
      </c>
      <c r="X151">
        <v>0</v>
      </c>
      <c r="Y151" t="s">
        <v>391</v>
      </c>
      <c r="AA151">
        <v>0</v>
      </c>
      <c r="AB151">
        <v>0</v>
      </c>
      <c r="AC151">
        <v>0</v>
      </c>
      <c r="AD151">
        <v>1071.66</v>
      </c>
      <c r="AE151">
        <v>0.44</v>
      </c>
      <c r="AF151">
        <v>1.36263</v>
      </c>
      <c r="AG151" t="s">
        <v>340</v>
      </c>
      <c r="AH151" t="s">
        <v>424</v>
      </c>
      <c r="AI151">
        <v>5.45052</v>
      </c>
      <c r="AJ151" t="s">
        <v>342</v>
      </c>
      <c r="AK151" t="s">
        <v>353</v>
      </c>
      <c r="AL151">
        <v>813560</v>
      </c>
      <c r="AM151">
        <v>90</v>
      </c>
      <c r="AN151">
        <v>0</v>
      </c>
      <c r="AO151">
        <v>28</v>
      </c>
      <c r="AP151">
        <v>91</v>
      </c>
      <c r="AQ151">
        <v>83.59</v>
      </c>
      <c r="AR151">
        <v>0</v>
      </c>
      <c r="AS151">
        <v>167.18</v>
      </c>
      <c r="AT151">
        <v>167.18</v>
      </c>
      <c r="AU151">
        <v>167.18</v>
      </c>
      <c r="AV151">
        <v>4</v>
      </c>
      <c r="AW151">
        <v>0</v>
      </c>
      <c r="AX151">
        <v>0</v>
      </c>
      <c r="AY151">
        <v>0</v>
      </c>
      <c r="AZ151">
        <v>0</v>
      </c>
      <c r="BA151">
        <v>2.8</v>
      </c>
      <c r="BB151">
        <v>10</v>
      </c>
      <c r="BC151">
        <v>10</v>
      </c>
      <c r="BD151">
        <v>0</v>
      </c>
      <c r="BE151">
        <v>0</v>
      </c>
      <c r="BG151">
        <v>0</v>
      </c>
      <c r="BH151">
        <v>2</v>
      </c>
      <c r="BY151">
        <v>36</v>
      </c>
      <c r="BZ151">
        <v>2</v>
      </c>
      <c r="CA151" t="s">
        <v>360</v>
      </c>
      <c r="CD151" s="5">
        <v>46188</v>
      </c>
      <c r="CE151" t="s">
        <v>345</v>
      </c>
      <c r="CF151" t="s">
        <v>346</v>
      </c>
      <c r="CG151">
        <v>18</v>
      </c>
      <c r="CH151">
        <v>36</v>
      </c>
      <c r="CI151" s="5">
        <v>46186</v>
      </c>
      <c r="CJ151">
        <v>14</v>
      </c>
      <c r="CK151">
        <v>0</v>
      </c>
      <c r="CL151">
        <v>0</v>
      </c>
      <c r="CM151">
        <v>0</v>
      </c>
      <c r="CN151">
        <v>0</v>
      </c>
      <c r="CO151">
        <v>366</v>
      </c>
      <c r="CP151" t="s">
        <v>347</v>
      </c>
      <c r="CQ151" t="s">
        <v>348</v>
      </c>
    </row>
    <row r="152" spans="1:95">
      <c r="A152" s="5">
        <v>46189</v>
      </c>
      <c r="B152" t="s">
        <v>1593</v>
      </c>
      <c r="C152" t="s">
        <v>1594</v>
      </c>
      <c r="D152" t="s">
        <v>1592</v>
      </c>
      <c r="E152" t="s">
        <v>2141</v>
      </c>
      <c r="F152" t="s">
        <v>337</v>
      </c>
      <c r="G152">
        <v>35</v>
      </c>
      <c r="H152">
        <v>0</v>
      </c>
      <c r="I152">
        <v>35</v>
      </c>
      <c r="J152">
        <v>0</v>
      </c>
      <c r="K152">
        <v>0</v>
      </c>
      <c r="L152">
        <v>0</v>
      </c>
      <c r="M152">
        <v>0</v>
      </c>
      <c r="N152">
        <v>0</v>
      </c>
      <c r="O152" t="s">
        <v>338</v>
      </c>
      <c r="P152">
        <v>0</v>
      </c>
      <c r="Q152">
        <v>1</v>
      </c>
      <c r="R152">
        <v>4</v>
      </c>
      <c r="S152">
        <v>8</v>
      </c>
      <c r="T152" t="s">
        <v>351</v>
      </c>
      <c r="U152">
        <v>49.99</v>
      </c>
      <c r="V152">
        <v>32.99</v>
      </c>
      <c r="W152">
        <v>32.99</v>
      </c>
      <c r="X152">
        <v>0</v>
      </c>
      <c r="Y152" t="s">
        <v>359</v>
      </c>
      <c r="AA152">
        <v>0</v>
      </c>
      <c r="AB152">
        <v>0</v>
      </c>
      <c r="AC152">
        <v>0</v>
      </c>
      <c r="AD152">
        <v>1942.17</v>
      </c>
      <c r="AE152">
        <v>0.46</v>
      </c>
      <c r="AF152">
        <v>0.378636</v>
      </c>
      <c r="AG152" t="s">
        <v>340</v>
      </c>
      <c r="AH152" t="s">
        <v>341</v>
      </c>
      <c r="AI152">
        <v>13.25226</v>
      </c>
      <c r="AJ152" t="s">
        <v>342</v>
      </c>
      <c r="AK152" t="s">
        <v>353</v>
      </c>
      <c r="AL152">
        <v>475568</v>
      </c>
      <c r="AM152">
        <v>240</v>
      </c>
      <c r="AN152">
        <v>0</v>
      </c>
      <c r="AO152">
        <v>140</v>
      </c>
      <c r="AP152">
        <v>56</v>
      </c>
      <c r="AQ152">
        <v>32.99</v>
      </c>
      <c r="AR152">
        <v>0</v>
      </c>
      <c r="AS152">
        <v>32.99</v>
      </c>
      <c r="AT152">
        <v>131.96</v>
      </c>
      <c r="AU152">
        <v>263.92</v>
      </c>
      <c r="AV152">
        <v>12</v>
      </c>
      <c r="AW152">
        <v>23</v>
      </c>
      <c r="AX152">
        <v>0</v>
      </c>
      <c r="AY152">
        <v>0</v>
      </c>
      <c r="AZ152">
        <v>0</v>
      </c>
      <c r="BA152">
        <v>11.31</v>
      </c>
      <c r="BB152">
        <v>0</v>
      </c>
      <c r="BC152">
        <v>0</v>
      </c>
      <c r="BD152">
        <v>0</v>
      </c>
      <c r="BE152">
        <v>0</v>
      </c>
      <c r="BG152">
        <v>0</v>
      </c>
      <c r="BH152">
        <v>0</v>
      </c>
      <c r="BY152">
        <v>854</v>
      </c>
      <c r="BZ152">
        <v>9</v>
      </c>
      <c r="CA152" t="s">
        <v>360</v>
      </c>
      <c r="CD152" s="5">
        <v>46188</v>
      </c>
      <c r="CE152" t="s">
        <v>345</v>
      </c>
      <c r="CF152" t="s">
        <v>346</v>
      </c>
      <c r="CG152">
        <v>854</v>
      </c>
      <c r="CH152">
        <v>149.5</v>
      </c>
      <c r="CI152" s="5">
        <v>46186</v>
      </c>
      <c r="CJ152">
        <v>35</v>
      </c>
      <c r="CK152">
        <v>0</v>
      </c>
      <c r="CL152">
        <v>0</v>
      </c>
      <c r="CM152">
        <v>0</v>
      </c>
      <c r="CN152">
        <v>0</v>
      </c>
      <c r="CO152">
        <v>240</v>
      </c>
      <c r="CP152" t="s">
        <v>347</v>
      </c>
      <c r="CQ152" t="s">
        <v>348</v>
      </c>
    </row>
    <row r="153" spans="1:95">
      <c r="A153" s="5">
        <v>46189</v>
      </c>
      <c r="B153" t="s">
        <v>2142</v>
      </c>
      <c r="C153" t="s">
        <v>2143</v>
      </c>
      <c r="D153" t="s">
        <v>2144</v>
      </c>
      <c r="E153" t="s">
        <v>2145</v>
      </c>
      <c r="G153">
        <v>0</v>
      </c>
      <c r="H153">
        <v>-1</v>
      </c>
      <c r="O153" t="s">
        <v>338</v>
      </c>
      <c r="U153">
        <v>0</v>
      </c>
      <c r="V153">
        <v>0</v>
      </c>
      <c r="W153">
        <v>0</v>
      </c>
      <c r="X153">
        <v>0</v>
      </c>
      <c r="Y153" t="s">
        <v>359</v>
      </c>
      <c r="AB153">
        <v>0</v>
      </c>
      <c r="AC153">
        <v>0</v>
      </c>
      <c r="AE153">
        <v>-1</v>
      </c>
      <c r="AH153" t="s">
        <v>341</v>
      </c>
      <c r="AJ153" t="s">
        <v>342</v>
      </c>
      <c r="AK153" t="s">
        <v>353</v>
      </c>
      <c r="AM153">
        <v>0</v>
      </c>
      <c r="AN153">
        <v>0</v>
      </c>
      <c r="AQ153">
        <v>9.99</v>
      </c>
      <c r="AY153">
        <v>0</v>
      </c>
      <c r="BB153">
        <v>0</v>
      </c>
      <c r="BG153">
        <v>0</v>
      </c>
      <c r="BH153">
        <v>0</v>
      </c>
      <c r="CJ153">
        <v>0</v>
      </c>
      <c r="CK153">
        <v>0</v>
      </c>
      <c r="CL153">
        <v>0</v>
      </c>
      <c r="CM153">
        <v>0</v>
      </c>
      <c r="CN153">
        <v>0</v>
      </c>
      <c r="CO153">
        <v>0</v>
      </c>
      <c r="CP153" t="s">
        <v>347</v>
      </c>
      <c r="CQ153" t="s">
        <v>348</v>
      </c>
    </row>
    <row r="154" spans="1:95">
      <c r="A154" s="5">
        <v>46189</v>
      </c>
      <c r="B154" t="s">
        <v>2146</v>
      </c>
      <c r="C154" t="s">
        <v>2147</v>
      </c>
      <c r="D154" t="s">
        <v>2148</v>
      </c>
      <c r="E154" t="s">
        <v>2149</v>
      </c>
      <c r="G154">
        <v>0</v>
      </c>
      <c r="H154">
        <v>-1</v>
      </c>
      <c r="O154" t="s">
        <v>338</v>
      </c>
      <c r="P154">
        <v>0</v>
      </c>
      <c r="Q154">
        <v>0</v>
      </c>
      <c r="R154">
        <v>0</v>
      </c>
      <c r="S154">
        <v>0</v>
      </c>
      <c r="U154">
        <v>0</v>
      </c>
      <c r="V154">
        <v>0</v>
      </c>
      <c r="W154">
        <v>0</v>
      </c>
      <c r="X154">
        <v>0</v>
      </c>
      <c r="Y154" t="s">
        <v>359</v>
      </c>
      <c r="AB154">
        <v>0</v>
      </c>
      <c r="AC154">
        <v>0</v>
      </c>
      <c r="AE154">
        <v>-1</v>
      </c>
      <c r="AH154" t="s">
        <v>341</v>
      </c>
      <c r="AJ154" t="s">
        <v>342</v>
      </c>
      <c r="AK154" t="s">
        <v>353</v>
      </c>
      <c r="AM154">
        <v>0</v>
      </c>
      <c r="AN154">
        <v>0</v>
      </c>
      <c r="AQ154">
        <v>23.37</v>
      </c>
      <c r="AR154">
        <v>0</v>
      </c>
      <c r="AS154">
        <v>0</v>
      </c>
      <c r="AT154">
        <v>0</v>
      </c>
      <c r="AU154">
        <v>0</v>
      </c>
      <c r="AY154">
        <v>0</v>
      </c>
      <c r="BB154">
        <v>0</v>
      </c>
      <c r="BC154">
        <v>0</v>
      </c>
      <c r="BD154">
        <v>0</v>
      </c>
      <c r="BE154">
        <v>0</v>
      </c>
      <c r="BG154">
        <v>0</v>
      </c>
      <c r="BH154">
        <v>0</v>
      </c>
      <c r="BZ154">
        <v>1</v>
      </c>
      <c r="CA154" t="s">
        <v>429</v>
      </c>
      <c r="CJ154">
        <v>0</v>
      </c>
      <c r="CK154">
        <v>0</v>
      </c>
      <c r="CL154">
        <v>0</v>
      </c>
      <c r="CM154">
        <v>0</v>
      </c>
      <c r="CN154">
        <v>0</v>
      </c>
      <c r="CO154">
        <v>0</v>
      </c>
      <c r="CP154" t="s">
        <v>347</v>
      </c>
      <c r="CQ154" t="s">
        <v>348</v>
      </c>
    </row>
    <row r="155" spans="1:95">
      <c r="A155" s="5">
        <v>46189</v>
      </c>
      <c r="B155" t="s">
        <v>2150</v>
      </c>
      <c r="C155" t="s">
        <v>2151</v>
      </c>
      <c r="D155" t="s">
        <v>2152</v>
      </c>
      <c r="E155" t="s">
        <v>2153</v>
      </c>
      <c r="F155" t="s">
        <v>337</v>
      </c>
      <c r="G155">
        <v>14</v>
      </c>
      <c r="H155">
        <v>0</v>
      </c>
      <c r="I155">
        <v>0</v>
      </c>
      <c r="J155">
        <v>0</v>
      </c>
      <c r="K155">
        <v>0</v>
      </c>
      <c r="L155">
        <v>0</v>
      </c>
      <c r="M155">
        <v>14</v>
      </c>
      <c r="N155">
        <v>0</v>
      </c>
      <c r="O155" t="s">
        <v>338</v>
      </c>
      <c r="P155">
        <v>0</v>
      </c>
      <c r="Q155">
        <v>0</v>
      </c>
      <c r="R155">
        <v>0</v>
      </c>
      <c r="S155">
        <v>0</v>
      </c>
      <c r="T155" t="s">
        <v>351</v>
      </c>
      <c r="U155">
        <v>69</v>
      </c>
      <c r="V155">
        <v>19.99</v>
      </c>
      <c r="W155">
        <v>19.99</v>
      </c>
      <c r="X155">
        <v>0</v>
      </c>
      <c r="Y155" t="s">
        <v>516</v>
      </c>
      <c r="AA155">
        <v>0</v>
      </c>
      <c r="AB155">
        <v>0</v>
      </c>
      <c r="AC155">
        <v>0</v>
      </c>
      <c r="AD155">
        <v>1335.69</v>
      </c>
      <c r="AE155">
        <v>0</v>
      </c>
      <c r="AF155">
        <v>0.352363</v>
      </c>
      <c r="AG155" t="s">
        <v>340</v>
      </c>
      <c r="AH155" t="s">
        <v>341</v>
      </c>
      <c r="AI155">
        <v>4.933082</v>
      </c>
      <c r="AJ155" t="s">
        <v>342</v>
      </c>
      <c r="AK155" t="s">
        <v>353</v>
      </c>
      <c r="AL155">
        <v>244622</v>
      </c>
      <c r="AN155">
        <v>14</v>
      </c>
      <c r="AQ155">
        <v>19.99</v>
      </c>
      <c r="AR155">
        <v>0</v>
      </c>
      <c r="AS155">
        <v>0</v>
      </c>
      <c r="AT155">
        <v>0</v>
      </c>
      <c r="AU155">
        <v>0</v>
      </c>
      <c r="AV155">
        <v>0</v>
      </c>
      <c r="AW155">
        <v>0</v>
      </c>
      <c r="AX155">
        <v>0</v>
      </c>
      <c r="AY155">
        <v>0</v>
      </c>
      <c r="AZ155">
        <v>0</v>
      </c>
      <c r="BA155">
        <v>37.25</v>
      </c>
      <c r="BB155">
        <v>0</v>
      </c>
      <c r="BC155">
        <v>0</v>
      </c>
      <c r="BD155">
        <v>0</v>
      </c>
      <c r="BE155">
        <v>0</v>
      </c>
      <c r="BG155">
        <v>0</v>
      </c>
      <c r="BH155">
        <v>0</v>
      </c>
      <c r="BI155">
        <v>0</v>
      </c>
      <c r="BJ155">
        <v>0</v>
      </c>
      <c r="BK155">
        <v>0</v>
      </c>
      <c r="BL155">
        <v>0</v>
      </c>
      <c r="BM155">
        <v>0</v>
      </c>
      <c r="BN155">
        <v>0</v>
      </c>
      <c r="BO155">
        <v>0</v>
      </c>
      <c r="BP155">
        <v>0</v>
      </c>
      <c r="BQ155">
        <v>0</v>
      </c>
      <c r="BR155">
        <v>0</v>
      </c>
      <c r="BS155">
        <v>0</v>
      </c>
      <c r="BT155">
        <v>0</v>
      </c>
      <c r="BU155">
        <v>14</v>
      </c>
      <c r="BV155">
        <v>34.04</v>
      </c>
      <c r="BW155">
        <v>0</v>
      </c>
      <c r="BX155">
        <v>0</v>
      </c>
      <c r="CA155" t="s">
        <v>354</v>
      </c>
      <c r="CI155" s="5">
        <v>46186</v>
      </c>
      <c r="CJ155">
        <v>14</v>
      </c>
      <c r="CK155">
        <v>0</v>
      </c>
      <c r="CL155">
        <v>0</v>
      </c>
      <c r="CM155">
        <v>0</v>
      </c>
      <c r="CN155">
        <v>0</v>
      </c>
      <c r="CP155" t="s">
        <v>347</v>
      </c>
      <c r="CQ155" t="s">
        <v>348</v>
      </c>
    </row>
    <row r="156" spans="1:95">
      <c r="A156" s="5">
        <v>46189</v>
      </c>
      <c r="B156" t="s">
        <v>1596</v>
      </c>
      <c r="C156" t="s">
        <v>76</v>
      </c>
      <c r="D156" t="s">
        <v>86</v>
      </c>
      <c r="E156" t="s">
        <v>2154</v>
      </c>
      <c r="F156" t="s">
        <v>337</v>
      </c>
      <c r="G156">
        <v>52</v>
      </c>
      <c r="H156">
        <v>0</v>
      </c>
      <c r="I156">
        <v>1</v>
      </c>
      <c r="J156">
        <v>51</v>
      </c>
      <c r="K156">
        <v>0</v>
      </c>
      <c r="L156">
        <v>0</v>
      </c>
      <c r="M156">
        <v>0</v>
      </c>
      <c r="N156">
        <v>0</v>
      </c>
      <c r="O156" t="s">
        <v>338</v>
      </c>
      <c r="P156">
        <v>0</v>
      </c>
      <c r="Q156">
        <v>2</v>
      </c>
      <c r="R156">
        <v>2</v>
      </c>
      <c r="S156">
        <v>2</v>
      </c>
      <c r="T156" t="s">
        <v>351</v>
      </c>
      <c r="U156">
        <v>49.99</v>
      </c>
      <c r="V156">
        <v>0</v>
      </c>
      <c r="W156">
        <v>47.49</v>
      </c>
      <c r="X156">
        <v>0</v>
      </c>
      <c r="Y156" t="s">
        <v>391</v>
      </c>
      <c r="AA156">
        <v>44.99</v>
      </c>
      <c r="AB156">
        <v>9</v>
      </c>
      <c r="AC156">
        <v>0</v>
      </c>
      <c r="AD156">
        <v>4354.51</v>
      </c>
      <c r="AE156">
        <v>0.04</v>
      </c>
      <c r="AF156">
        <v>0.392332</v>
      </c>
      <c r="AG156" t="s">
        <v>340</v>
      </c>
      <c r="AH156" t="s">
        <v>341</v>
      </c>
      <c r="AI156">
        <v>20.401264</v>
      </c>
      <c r="AJ156" t="s">
        <v>342</v>
      </c>
      <c r="AK156" t="s">
        <v>353</v>
      </c>
      <c r="AL156">
        <v>703858</v>
      </c>
      <c r="AM156">
        <v>366</v>
      </c>
      <c r="AN156">
        <v>49</v>
      </c>
      <c r="AO156">
        <v>104</v>
      </c>
      <c r="AP156">
        <v>338</v>
      </c>
      <c r="AQ156">
        <v>47.49</v>
      </c>
      <c r="AR156">
        <v>0</v>
      </c>
      <c r="AS156">
        <v>89.98</v>
      </c>
      <c r="AT156">
        <v>89.98</v>
      </c>
      <c r="AU156">
        <v>89.98</v>
      </c>
      <c r="AV156">
        <v>0</v>
      </c>
      <c r="AW156">
        <v>1</v>
      </c>
      <c r="AX156">
        <v>0</v>
      </c>
      <c r="AY156">
        <v>0</v>
      </c>
      <c r="AZ156">
        <v>0</v>
      </c>
      <c r="BA156">
        <v>14.58</v>
      </c>
      <c r="BB156">
        <v>0</v>
      </c>
      <c r="BC156">
        <v>0</v>
      </c>
      <c r="BD156">
        <v>0</v>
      </c>
      <c r="BE156">
        <v>0</v>
      </c>
      <c r="BG156">
        <v>0</v>
      </c>
      <c r="BH156">
        <v>0</v>
      </c>
      <c r="BY156">
        <v>2395</v>
      </c>
      <c r="BZ156">
        <v>4</v>
      </c>
      <c r="CA156" t="s">
        <v>354</v>
      </c>
      <c r="CD156" s="5">
        <v>46188</v>
      </c>
      <c r="CE156" t="s">
        <v>345</v>
      </c>
      <c r="CF156" t="s">
        <v>346</v>
      </c>
      <c r="CG156">
        <v>795</v>
      </c>
      <c r="CH156">
        <v>2395</v>
      </c>
      <c r="CI156" s="5">
        <v>46186</v>
      </c>
      <c r="CJ156">
        <v>52</v>
      </c>
      <c r="CK156">
        <v>0</v>
      </c>
      <c r="CL156">
        <v>0</v>
      </c>
      <c r="CM156">
        <v>0</v>
      </c>
      <c r="CN156">
        <v>0</v>
      </c>
      <c r="CO156">
        <v>366</v>
      </c>
      <c r="CP156" t="s">
        <v>347</v>
      </c>
      <c r="CQ156" t="s">
        <v>348</v>
      </c>
    </row>
    <row r="157" spans="1:95">
      <c r="A157" s="5">
        <v>46189</v>
      </c>
      <c r="B157" t="s">
        <v>2155</v>
      </c>
      <c r="C157" t="s">
        <v>2156</v>
      </c>
      <c r="D157" t="s">
        <v>2157</v>
      </c>
      <c r="E157" t="s">
        <v>2158</v>
      </c>
      <c r="G157">
        <v>0</v>
      </c>
      <c r="H157">
        <v>-1</v>
      </c>
      <c r="O157" t="s">
        <v>338</v>
      </c>
      <c r="U157">
        <v>0</v>
      </c>
      <c r="V157">
        <v>0</v>
      </c>
      <c r="W157">
        <v>0</v>
      </c>
      <c r="X157">
        <v>0</v>
      </c>
      <c r="Y157" t="s">
        <v>359</v>
      </c>
      <c r="AB157">
        <v>0</v>
      </c>
      <c r="AC157">
        <v>0</v>
      </c>
      <c r="AE157">
        <v>-1</v>
      </c>
      <c r="AH157" t="s">
        <v>341</v>
      </c>
      <c r="AJ157" t="s">
        <v>342</v>
      </c>
      <c r="AK157" t="s">
        <v>353</v>
      </c>
      <c r="AN157">
        <v>0</v>
      </c>
      <c r="AY157">
        <v>0</v>
      </c>
      <c r="BB157">
        <v>0</v>
      </c>
      <c r="BG157">
        <v>0</v>
      </c>
      <c r="BH157">
        <v>0</v>
      </c>
      <c r="CJ157">
        <v>0</v>
      </c>
      <c r="CK157">
        <v>0</v>
      </c>
      <c r="CL157">
        <v>0</v>
      </c>
      <c r="CM157">
        <v>0</v>
      </c>
      <c r="CN157">
        <v>0</v>
      </c>
      <c r="CP157" t="s">
        <v>347</v>
      </c>
      <c r="CQ157" t="s">
        <v>348</v>
      </c>
    </row>
    <row r="158" spans="1:95">
      <c r="A158" s="5">
        <v>46189</v>
      </c>
      <c r="B158" t="s">
        <v>2159</v>
      </c>
      <c r="C158" t="s">
        <v>2160</v>
      </c>
      <c r="D158" t="s">
        <v>2161</v>
      </c>
      <c r="E158" t="s">
        <v>2162</v>
      </c>
      <c r="G158">
        <v>0</v>
      </c>
      <c r="H158">
        <v>-1</v>
      </c>
      <c r="O158" t="s">
        <v>338</v>
      </c>
      <c r="U158">
        <v>0</v>
      </c>
      <c r="V158">
        <v>0</v>
      </c>
      <c r="W158">
        <v>0</v>
      </c>
      <c r="X158">
        <v>0</v>
      </c>
      <c r="Y158" t="s">
        <v>359</v>
      </c>
      <c r="AB158">
        <v>0</v>
      </c>
      <c r="AC158">
        <v>0</v>
      </c>
      <c r="AE158">
        <v>-1</v>
      </c>
      <c r="AH158" t="s">
        <v>341</v>
      </c>
      <c r="AJ158" t="s">
        <v>342</v>
      </c>
      <c r="AK158" t="s">
        <v>353</v>
      </c>
      <c r="AN158">
        <v>0</v>
      </c>
      <c r="AQ158">
        <v>9.99</v>
      </c>
      <c r="AY158">
        <v>0</v>
      </c>
      <c r="BB158">
        <v>0</v>
      </c>
      <c r="BG158">
        <v>0</v>
      </c>
      <c r="BH158">
        <v>0</v>
      </c>
      <c r="CJ158">
        <v>0</v>
      </c>
      <c r="CK158">
        <v>0</v>
      </c>
      <c r="CL158">
        <v>0</v>
      </c>
      <c r="CM158">
        <v>0</v>
      </c>
      <c r="CN158">
        <v>0</v>
      </c>
      <c r="CP158" t="s">
        <v>347</v>
      </c>
      <c r="CQ158" t="s">
        <v>348</v>
      </c>
    </row>
    <row r="159" spans="1:95">
      <c r="A159" s="5">
        <v>46189</v>
      </c>
      <c r="B159" t="s">
        <v>2163</v>
      </c>
      <c r="C159" t="s">
        <v>2164</v>
      </c>
      <c r="D159" t="s">
        <v>2165</v>
      </c>
      <c r="E159" t="s">
        <v>2166</v>
      </c>
      <c r="G159">
        <v>0</v>
      </c>
      <c r="H159">
        <v>-1</v>
      </c>
      <c r="O159" t="s">
        <v>338</v>
      </c>
      <c r="U159">
        <v>0</v>
      </c>
      <c r="V159">
        <v>0</v>
      </c>
      <c r="W159">
        <v>0</v>
      </c>
      <c r="X159">
        <v>0</v>
      </c>
      <c r="Y159" t="s">
        <v>359</v>
      </c>
      <c r="AB159">
        <v>0</v>
      </c>
      <c r="AC159">
        <v>0</v>
      </c>
      <c r="AE159">
        <v>-1</v>
      </c>
      <c r="AH159" t="s">
        <v>341</v>
      </c>
      <c r="AJ159" t="s">
        <v>342</v>
      </c>
      <c r="AK159" t="s">
        <v>353</v>
      </c>
      <c r="AN159">
        <v>0</v>
      </c>
      <c r="AY159">
        <v>0</v>
      </c>
      <c r="BB159">
        <v>0</v>
      </c>
      <c r="BG159">
        <v>0</v>
      </c>
      <c r="BH159">
        <v>0</v>
      </c>
      <c r="CJ159">
        <v>0</v>
      </c>
      <c r="CK159">
        <v>0</v>
      </c>
      <c r="CL159">
        <v>0</v>
      </c>
      <c r="CM159">
        <v>0</v>
      </c>
      <c r="CN159">
        <v>0</v>
      </c>
      <c r="CP159" t="s">
        <v>347</v>
      </c>
      <c r="CQ159" t="s">
        <v>348</v>
      </c>
    </row>
    <row r="160" spans="1:95">
      <c r="A160" s="5">
        <v>46189</v>
      </c>
      <c r="B160" t="s">
        <v>2167</v>
      </c>
      <c r="C160" t="s">
        <v>2168</v>
      </c>
      <c r="D160" t="s">
        <v>2169</v>
      </c>
      <c r="E160" t="s">
        <v>2170</v>
      </c>
      <c r="G160">
        <v>0</v>
      </c>
      <c r="H160">
        <v>-1</v>
      </c>
      <c r="O160" t="s">
        <v>338</v>
      </c>
      <c r="U160">
        <v>0</v>
      </c>
      <c r="V160">
        <v>0</v>
      </c>
      <c r="W160">
        <v>0</v>
      </c>
      <c r="X160">
        <v>0</v>
      </c>
      <c r="Y160" t="s">
        <v>359</v>
      </c>
      <c r="AB160">
        <v>0</v>
      </c>
      <c r="AC160">
        <v>0</v>
      </c>
      <c r="AE160">
        <v>-1</v>
      </c>
      <c r="AH160" t="s">
        <v>341</v>
      </c>
      <c r="AJ160" t="s">
        <v>342</v>
      </c>
      <c r="AK160" t="s">
        <v>595</v>
      </c>
      <c r="AN160">
        <v>0</v>
      </c>
      <c r="AY160">
        <v>0</v>
      </c>
      <c r="BB160">
        <v>0</v>
      </c>
      <c r="BG160">
        <v>0</v>
      </c>
      <c r="BH160">
        <v>0</v>
      </c>
      <c r="CJ160">
        <v>0</v>
      </c>
      <c r="CK160">
        <v>0</v>
      </c>
      <c r="CL160">
        <v>0</v>
      </c>
      <c r="CM160">
        <v>0</v>
      </c>
      <c r="CN160">
        <v>0</v>
      </c>
      <c r="CP160" t="s">
        <v>347</v>
      </c>
      <c r="CQ160" t="s">
        <v>348</v>
      </c>
    </row>
    <row r="161" spans="1:95">
      <c r="A161" s="5">
        <v>46189</v>
      </c>
      <c r="B161" t="s">
        <v>2171</v>
      </c>
      <c r="C161" t="s">
        <v>1005</v>
      </c>
      <c r="D161" t="s">
        <v>2172</v>
      </c>
      <c r="E161" t="s">
        <v>1007</v>
      </c>
      <c r="G161">
        <v>0</v>
      </c>
      <c r="H161">
        <v>-1</v>
      </c>
      <c r="O161" t="s">
        <v>338</v>
      </c>
      <c r="U161">
        <v>0</v>
      </c>
      <c r="V161">
        <v>0</v>
      </c>
      <c r="W161">
        <v>0</v>
      </c>
      <c r="X161">
        <v>0</v>
      </c>
      <c r="Y161" t="s">
        <v>359</v>
      </c>
      <c r="AB161">
        <v>0</v>
      </c>
      <c r="AC161">
        <v>0</v>
      </c>
      <c r="AE161">
        <v>-1</v>
      </c>
      <c r="AH161" t="s">
        <v>341</v>
      </c>
      <c r="AJ161" t="s">
        <v>342</v>
      </c>
      <c r="AK161" t="s">
        <v>353</v>
      </c>
      <c r="AM161">
        <v>0</v>
      </c>
      <c r="AN161">
        <v>0</v>
      </c>
      <c r="AQ161">
        <v>26.99</v>
      </c>
      <c r="AY161">
        <v>0</v>
      </c>
      <c r="BB161">
        <v>0</v>
      </c>
      <c r="BC161">
        <v>0</v>
      </c>
      <c r="BD161">
        <v>0</v>
      </c>
      <c r="BE161">
        <v>0</v>
      </c>
      <c r="BG161">
        <v>0</v>
      </c>
      <c r="BH161">
        <v>0</v>
      </c>
      <c r="CJ161">
        <v>0</v>
      </c>
      <c r="CK161">
        <v>0</v>
      </c>
      <c r="CL161">
        <v>0</v>
      </c>
      <c r="CM161">
        <v>0</v>
      </c>
      <c r="CN161">
        <v>0</v>
      </c>
      <c r="CO161">
        <v>0</v>
      </c>
      <c r="CP161" t="s">
        <v>347</v>
      </c>
      <c r="CQ161" t="s">
        <v>348</v>
      </c>
    </row>
    <row r="162" spans="1:95">
      <c r="A162" s="5">
        <v>46189</v>
      </c>
      <c r="B162" t="s">
        <v>2173</v>
      </c>
      <c r="C162" t="s">
        <v>2174</v>
      </c>
      <c r="D162" t="s">
        <v>2175</v>
      </c>
      <c r="E162" t="s">
        <v>2176</v>
      </c>
      <c r="G162">
        <v>0</v>
      </c>
      <c r="H162">
        <v>-1</v>
      </c>
      <c r="O162" t="s">
        <v>338</v>
      </c>
      <c r="P162">
        <v>0</v>
      </c>
      <c r="Q162">
        <v>0</v>
      </c>
      <c r="R162">
        <v>0</v>
      </c>
      <c r="S162">
        <v>0</v>
      </c>
      <c r="U162">
        <v>0</v>
      </c>
      <c r="V162">
        <v>0</v>
      </c>
      <c r="W162">
        <v>0</v>
      </c>
      <c r="X162">
        <v>0</v>
      </c>
      <c r="Y162" t="s">
        <v>359</v>
      </c>
      <c r="AB162">
        <v>0</v>
      </c>
      <c r="AC162">
        <v>0</v>
      </c>
      <c r="AE162">
        <v>-1</v>
      </c>
      <c r="AH162" t="s">
        <v>424</v>
      </c>
      <c r="AJ162" t="s">
        <v>342</v>
      </c>
      <c r="AK162" t="s">
        <v>343</v>
      </c>
      <c r="AM162">
        <v>0</v>
      </c>
      <c r="AN162">
        <v>0</v>
      </c>
      <c r="AQ162">
        <v>59.99</v>
      </c>
      <c r="AR162">
        <v>0</v>
      </c>
      <c r="AS162">
        <v>0</v>
      </c>
      <c r="AT162">
        <v>0</v>
      </c>
      <c r="AU162">
        <v>0</v>
      </c>
      <c r="AY162">
        <v>0</v>
      </c>
      <c r="BB162">
        <v>0</v>
      </c>
      <c r="BC162">
        <v>0</v>
      </c>
      <c r="BD162">
        <v>0</v>
      </c>
      <c r="BE162">
        <v>0</v>
      </c>
      <c r="BG162">
        <v>0</v>
      </c>
      <c r="BH162">
        <v>5</v>
      </c>
      <c r="BZ162">
        <v>1</v>
      </c>
      <c r="CA162" t="s">
        <v>429</v>
      </c>
      <c r="CJ162">
        <v>0</v>
      </c>
      <c r="CK162">
        <v>0</v>
      </c>
      <c r="CL162">
        <v>0</v>
      </c>
      <c r="CM162">
        <v>0</v>
      </c>
      <c r="CN162">
        <v>0</v>
      </c>
      <c r="CO162">
        <v>0</v>
      </c>
      <c r="CP162" t="s">
        <v>347</v>
      </c>
      <c r="CQ162" t="s">
        <v>348</v>
      </c>
    </row>
    <row r="163" spans="1:95">
      <c r="A163" s="5">
        <v>46189</v>
      </c>
      <c r="B163" t="s">
        <v>2177</v>
      </c>
      <c r="C163" t="s">
        <v>2178</v>
      </c>
      <c r="D163" t="s">
        <v>2179</v>
      </c>
      <c r="E163" t="s">
        <v>2180</v>
      </c>
      <c r="G163">
        <v>0</v>
      </c>
      <c r="H163">
        <v>-1</v>
      </c>
      <c r="O163" t="s">
        <v>338</v>
      </c>
      <c r="U163">
        <v>0</v>
      </c>
      <c r="V163">
        <v>0</v>
      </c>
      <c r="W163">
        <v>0</v>
      </c>
      <c r="X163">
        <v>0</v>
      </c>
      <c r="Y163" t="s">
        <v>359</v>
      </c>
      <c r="AB163">
        <v>0</v>
      </c>
      <c r="AC163">
        <v>0</v>
      </c>
      <c r="AE163">
        <v>-1</v>
      </c>
      <c r="AH163" t="s">
        <v>341</v>
      </c>
      <c r="AJ163" t="s">
        <v>342</v>
      </c>
      <c r="AK163" t="s">
        <v>353</v>
      </c>
      <c r="AL163">
        <v>190233</v>
      </c>
      <c r="AN163">
        <v>0</v>
      </c>
      <c r="AQ163">
        <v>21.99</v>
      </c>
      <c r="AY163">
        <v>0</v>
      </c>
      <c r="BB163">
        <v>0</v>
      </c>
      <c r="BG163">
        <v>0</v>
      </c>
      <c r="BH163">
        <v>0</v>
      </c>
      <c r="CJ163">
        <v>0</v>
      </c>
      <c r="CK163">
        <v>0</v>
      </c>
      <c r="CL163">
        <v>0</v>
      </c>
      <c r="CM163">
        <v>0</v>
      </c>
      <c r="CN163">
        <v>0</v>
      </c>
      <c r="CP163" t="s">
        <v>347</v>
      </c>
      <c r="CQ163" t="s">
        <v>348</v>
      </c>
    </row>
    <row r="164" spans="1:95">
      <c r="A164" s="5">
        <v>46189</v>
      </c>
      <c r="B164" t="s">
        <v>2181</v>
      </c>
      <c r="C164" t="s">
        <v>2182</v>
      </c>
      <c r="D164" t="s">
        <v>2183</v>
      </c>
      <c r="E164" t="s">
        <v>2184</v>
      </c>
      <c r="G164">
        <v>0</v>
      </c>
      <c r="H164">
        <v>-1</v>
      </c>
      <c r="O164" t="s">
        <v>338</v>
      </c>
      <c r="U164">
        <v>0</v>
      </c>
      <c r="V164">
        <v>0</v>
      </c>
      <c r="W164">
        <v>0</v>
      </c>
      <c r="X164">
        <v>0</v>
      </c>
      <c r="Y164" t="s">
        <v>359</v>
      </c>
      <c r="AB164">
        <v>0</v>
      </c>
      <c r="AC164">
        <v>0</v>
      </c>
      <c r="AE164">
        <v>-1</v>
      </c>
      <c r="AH164" t="s">
        <v>341</v>
      </c>
      <c r="AJ164" t="s">
        <v>342</v>
      </c>
      <c r="AK164" t="s">
        <v>353</v>
      </c>
      <c r="AM164">
        <v>0</v>
      </c>
      <c r="AN164">
        <v>0</v>
      </c>
      <c r="AQ164">
        <v>9.99</v>
      </c>
      <c r="AY164">
        <v>0</v>
      </c>
      <c r="BB164">
        <v>0</v>
      </c>
      <c r="BG164">
        <v>0</v>
      </c>
      <c r="BH164">
        <v>0</v>
      </c>
      <c r="CJ164">
        <v>0</v>
      </c>
      <c r="CK164">
        <v>0</v>
      </c>
      <c r="CL164">
        <v>0</v>
      </c>
      <c r="CM164">
        <v>0</v>
      </c>
      <c r="CN164">
        <v>0</v>
      </c>
      <c r="CO164">
        <v>0</v>
      </c>
      <c r="CP164" t="s">
        <v>347</v>
      </c>
      <c r="CQ164" t="s">
        <v>348</v>
      </c>
    </row>
    <row r="165" spans="1:95">
      <c r="A165" s="5">
        <v>46189</v>
      </c>
      <c r="B165" t="s">
        <v>2185</v>
      </c>
      <c r="C165" t="s">
        <v>2186</v>
      </c>
      <c r="D165" t="s">
        <v>2187</v>
      </c>
      <c r="E165" t="s">
        <v>2188</v>
      </c>
      <c r="F165" t="s">
        <v>337</v>
      </c>
      <c r="G165">
        <v>17</v>
      </c>
      <c r="H165">
        <v>0</v>
      </c>
      <c r="I165">
        <v>0</v>
      </c>
      <c r="J165">
        <v>0</v>
      </c>
      <c r="K165">
        <v>0</v>
      </c>
      <c r="L165">
        <v>0</v>
      </c>
      <c r="M165">
        <v>17</v>
      </c>
      <c r="N165">
        <v>0</v>
      </c>
      <c r="O165" t="s">
        <v>338</v>
      </c>
      <c r="P165">
        <v>0</v>
      </c>
      <c r="Q165">
        <v>0</v>
      </c>
      <c r="R165">
        <v>1</v>
      </c>
      <c r="S165">
        <v>1</v>
      </c>
      <c r="T165" t="s">
        <v>351</v>
      </c>
      <c r="U165">
        <v>39.99</v>
      </c>
      <c r="V165">
        <v>0</v>
      </c>
      <c r="W165">
        <v>28.99</v>
      </c>
      <c r="X165">
        <v>0</v>
      </c>
      <c r="Y165" t="s">
        <v>516</v>
      </c>
      <c r="AA165">
        <v>0</v>
      </c>
      <c r="AB165">
        <v>0</v>
      </c>
      <c r="AC165">
        <v>0</v>
      </c>
      <c r="AD165">
        <v>1208.73</v>
      </c>
      <c r="AE165">
        <v>0.06</v>
      </c>
      <c r="AF165">
        <v>0.22562</v>
      </c>
      <c r="AG165" t="s">
        <v>340</v>
      </c>
      <c r="AH165" t="s">
        <v>341</v>
      </c>
      <c r="AI165">
        <v>3.83554</v>
      </c>
      <c r="AJ165" t="s">
        <v>342</v>
      </c>
      <c r="AK165" t="s">
        <v>353</v>
      </c>
      <c r="AL165">
        <v>117152</v>
      </c>
      <c r="AM165">
        <v>366</v>
      </c>
      <c r="AN165">
        <v>17</v>
      </c>
      <c r="AP165">
        <v>221</v>
      </c>
      <c r="AQ165">
        <v>28.99</v>
      </c>
      <c r="AR165">
        <v>0</v>
      </c>
      <c r="AS165">
        <v>0</v>
      </c>
      <c r="AT165">
        <v>28.99</v>
      </c>
      <c r="AU165">
        <v>28.99</v>
      </c>
      <c r="AV165">
        <v>0</v>
      </c>
      <c r="AW165">
        <v>0</v>
      </c>
      <c r="AX165">
        <v>0</v>
      </c>
      <c r="AY165">
        <v>0</v>
      </c>
      <c r="AZ165">
        <v>0</v>
      </c>
      <c r="BA165">
        <v>28.96</v>
      </c>
      <c r="BB165">
        <v>0</v>
      </c>
      <c r="BC165">
        <v>0</v>
      </c>
      <c r="BD165">
        <v>0</v>
      </c>
      <c r="BE165">
        <v>0</v>
      </c>
      <c r="BG165">
        <v>0</v>
      </c>
      <c r="BH165">
        <v>0</v>
      </c>
      <c r="BI165">
        <v>0</v>
      </c>
      <c r="BJ165">
        <v>0</v>
      </c>
      <c r="BK165">
        <v>0</v>
      </c>
      <c r="BL165">
        <v>0</v>
      </c>
      <c r="BM165">
        <v>0</v>
      </c>
      <c r="BN165">
        <v>0</v>
      </c>
      <c r="BO165">
        <v>0</v>
      </c>
      <c r="BP165">
        <v>0</v>
      </c>
      <c r="BQ165">
        <v>0</v>
      </c>
      <c r="BR165">
        <v>0</v>
      </c>
      <c r="BS165">
        <v>0</v>
      </c>
      <c r="BT165">
        <v>0</v>
      </c>
      <c r="BU165">
        <v>17</v>
      </c>
      <c r="BV165">
        <v>26.48</v>
      </c>
      <c r="BW165">
        <v>0</v>
      </c>
      <c r="BX165">
        <v>0</v>
      </c>
      <c r="BZ165">
        <v>2</v>
      </c>
      <c r="CA165" t="s">
        <v>354</v>
      </c>
      <c r="CH165">
        <v>1563</v>
      </c>
      <c r="CI165" s="5">
        <v>46186</v>
      </c>
      <c r="CJ165">
        <v>17</v>
      </c>
      <c r="CK165">
        <v>0</v>
      </c>
      <c r="CL165">
        <v>0</v>
      </c>
      <c r="CM165">
        <v>0</v>
      </c>
      <c r="CN165">
        <v>0</v>
      </c>
      <c r="CO165">
        <v>366</v>
      </c>
      <c r="CP165" t="s">
        <v>347</v>
      </c>
      <c r="CQ165" t="s">
        <v>348</v>
      </c>
    </row>
    <row r="166" spans="1:95">
      <c r="A166" s="5">
        <v>46189</v>
      </c>
      <c r="B166" t="s">
        <v>1601</v>
      </c>
      <c r="C166" t="s">
        <v>1602</v>
      </c>
      <c r="D166" t="s">
        <v>1600</v>
      </c>
      <c r="E166" t="s">
        <v>2189</v>
      </c>
      <c r="F166" t="s">
        <v>337</v>
      </c>
      <c r="G166">
        <v>0</v>
      </c>
      <c r="H166">
        <v>-1</v>
      </c>
      <c r="O166" t="s">
        <v>338</v>
      </c>
      <c r="P166">
        <v>1</v>
      </c>
      <c r="Q166">
        <v>47</v>
      </c>
      <c r="R166">
        <v>47</v>
      </c>
      <c r="S166">
        <v>88</v>
      </c>
      <c r="U166">
        <v>39.99</v>
      </c>
      <c r="V166">
        <v>26.99</v>
      </c>
      <c r="W166">
        <v>0</v>
      </c>
      <c r="X166">
        <v>0</v>
      </c>
      <c r="Y166" t="s">
        <v>359</v>
      </c>
      <c r="AA166">
        <v>0</v>
      </c>
      <c r="AB166">
        <v>0</v>
      </c>
      <c r="AC166">
        <v>0</v>
      </c>
      <c r="AD166">
        <v>220.54</v>
      </c>
      <c r="AE166">
        <v>-1</v>
      </c>
      <c r="AH166" t="s">
        <v>341</v>
      </c>
      <c r="AJ166" t="s">
        <v>342</v>
      </c>
      <c r="AK166" t="s">
        <v>353</v>
      </c>
      <c r="AL166">
        <v>437626</v>
      </c>
      <c r="AM166">
        <v>235</v>
      </c>
      <c r="AN166">
        <v>0</v>
      </c>
      <c r="AO166">
        <v>10</v>
      </c>
      <c r="AP166">
        <v>17</v>
      </c>
      <c r="AQ166">
        <v>26.99</v>
      </c>
      <c r="AR166">
        <v>26.99</v>
      </c>
      <c r="AS166">
        <v>1268.53</v>
      </c>
      <c r="AT166">
        <v>1268.53</v>
      </c>
      <c r="AU166">
        <v>2375.12</v>
      </c>
      <c r="AY166">
        <v>0</v>
      </c>
      <c r="BA166">
        <v>26.26</v>
      </c>
      <c r="BB166">
        <v>120</v>
      </c>
      <c r="BC166">
        <v>0</v>
      </c>
      <c r="BD166">
        <v>120</v>
      </c>
      <c r="BE166">
        <v>0</v>
      </c>
      <c r="BG166">
        <v>0</v>
      </c>
      <c r="BH166">
        <v>0</v>
      </c>
      <c r="BY166">
        <v>20.6</v>
      </c>
      <c r="BZ166">
        <v>28</v>
      </c>
      <c r="CA166" t="s">
        <v>429</v>
      </c>
      <c r="CD166" s="5">
        <v>46188</v>
      </c>
      <c r="CE166" t="s">
        <v>345</v>
      </c>
      <c r="CF166" t="s">
        <v>346</v>
      </c>
      <c r="CG166">
        <v>14</v>
      </c>
      <c r="CH166">
        <v>20.6</v>
      </c>
      <c r="CJ166">
        <v>120</v>
      </c>
      <c r="CK166">
        <v>0</v>
      </c>
      <c r="CL166">
        <v>0</v>
      </c>
      <c r="CM166">
        <v>0</v>
      </c>
      <c r="CN166">
        <v>0</v>
      </c>
      <c r="CO166">
        <v>235</v>
      </c>
      <c r="CP166" t="s">
        <v>347</v>
      </c>
      <c r="CQ166" t="s">
        <v>348</v>
      </c>
    </row>
    <row r="167" spans="1:95">
      <c r="A167" s="5">
        <v>46189</v>
      </c>
      <c r="B167" t="s">
        <v>1598</v>
      </c>
      <c r="C167" t="s">
        <v>1599</v>
      </c>
      <c r="D167" t="s">
        <v>1597</v>
      </c>
      <c r="E167" t="s">
        <v>2190</v>
      </c>
      <c r="G167">
        <v>0</v>
      </c>
      <c r="H167">
        <v>-1</v>
      </c>
      <c r="O167" t="s">
        <v>338</v>
      </c>
      <c r="P167">
        <v>0</v>
      </c>
      <c r="Q167">
        <v>2</v>
      </c>
      <c r="R167">
        <v>8</v>
      </c>
      <c r="S167">
        <v>17</v>
      </c>
      <c r="U167">
        <v>0</v>
      </c>
      <c r="V167">
        <v>0</v>
      </c>
      <c r="W167">
        <v>0</v>
      </c>
      <c r="X167">
        <v>0</v>
      </c>
      <c r="Y167" t="s">
        <v>464</v>
      </c>
      <c r="AB167">
        <v>0</v>
      </c>
      <c r="AC167">
        <v>0</v>
      </c>
      <c r="AE167">
        <v>-1</v>
      </c>
      <c r="AH167" t="s">
        <v>341</v>
      </c>
      <c r="AJ167" t="s">
        <v>342</v>
      </c>
      <c r="AK167" t="s">
        <v>353</v>
      </c>
      <c r="AM167">
        <v>0</v>
      </c>
      <c r="AN167">
        <v>0</v>
      </c>
      <c r="AO167">
        <v>0</v>
      </c>
      <c r="AP167">
        <v>0</v>
      </c>
      <c r="AQ167">
        <v>39.99</v>
      </c>
      <c r="AR167">
        <v>0</v>
      </c>
      <c r="AS167">
        <v>77.98</v>
      </c>
      <c r="AT167">
        <v>317.92</v>
      </c>
      <c r="AU167">
        <v>677.83</v>
      </c>
      <c r="AY167">
        <v>0</v>
      </c>
      <c r="BB167">
        <v>0</v>
      </c>
      <c r="BC167">
        <v>0</v>
      </c>
      <c r="BD167">
        <v>0</v>
      </c>
      <c r="BE167">
        <v>0</v>
      </c>
      <c r="BG167">
        <v>0</v>
      </c>
      <c r="BH167">
        <v>68</v>
      </c>
      <c r="BY167">
        <v>292.7</v>
      </c>
      <c r="BZ167">
        <v>8</v>
      </c>
      <c r="CA167" t="s">
        <v>429</v>
      </c>
      <c r="CB167">
        <v>11</v>
      </c>
      <c r="CC167" s="5">
        <v>46188</v>
      </c>
      <c r="CD167" s="5">
        <v>46188</v>
      </c>
      <c r="CE167" t="s">
        <v>345</v>
      </c>
      <c r="CF167" t="s">
        <v>346</v>
      </c>
      <c r="CG167">
        <v>209.5</v>
      </c>
      <c r="CH167">
        <v>292.7</v>
      </c>
      <c r="CJ167">
        <v>0</v>
      </c>
      <c r="CK167">
        <v>0</v>
      </c>
      <c r="CL167">
        <v>0</v>
      </c>
      <c r="CM167">
        <v>0</v>
      </c>
      <c r="CN167">
        <v>0</v>
      </c>
      <c r="CO167">
        <v>0</v>
      </c>
      <c r="CP167" t="s">
        <v>347</v>
      </c>
      <c r="CQ167" t="s">
        <v>348</v>
      </c>
    </row>
    <row r="168" spans="1:95">
      <c r="A168" s="5">
        <v>46189</v>
      </c>
      <c r="B168" t="s">
        <v>2191</v>
      </c>
      <c r="C168" t="s">
        <v>2192</v>
      </c>
      <c r="D168" t="s">
        <v>2193</v>
      </c>
      <c r="E168" t="s">
        <v>2194</v>
      </c>
      <c r="F168" t="s">
        <v>337</v>
      </c>
      <c r="G168">
        <v>4</v>
      </c>
      <c r="H168">
        <v>0</v>
      </c>
      <c r="I168">
        <v>7</v>
      </c>
      <c r="J168">
        <v>0</v>
      </c>
      <c r="K168">
        <v>0</v>
      </c>
      <c r="L168">
        <v>0</v>
      </c>
      <c r="M168">
        <v>0</v>
      </c>
      <c r="N168">
        <v>0</v>
      </c>
      <c r="O168" t="s">
        <v>338</v>
      </c>
      <c r="P168">
        <v>3</v>
      </c>
      <c r="Q168">
        <v>5</v>
      </c>
      <c r="R168">
        <v>5</v>
      </c>
      <c r="S168">
        <v>5</v>
      </c>
      <c r="T168" t="s">
        <v>351</v>
      </c>
      <c r="U168">
        <v>29.99</v>
      </c>
      <c r="V168">
        <v>0</v>
      </c>
      <c r="W168">
        <v>29.99</v>
      </c>
      <c r="X168">
        <v>0</v>
      </c>
      <c r="Y168" t="s">
        <v>359</v>
      </c>
      <c r="AA168">
        <v>0</v>
      </c>
      <c r="AB168">
        <v>0</v>
      </c>
      <c r="AC168">
        <v>0</v>
      </c>
      <c r="AD168">
        <v>195.61</v>
      </c>
      <c r="AE168">
        <v>0.43</v>
      </c>
      <c r="AF168">
        <v>0.22562</v>
      </c>
      <c r="AG168" t="s">
        <v>340</v>
      </c>
      <c r="AH168" t="s">
        <v>341</v>
      </c>
      <c r="AI168">
        <v>0.90248</v>
      </c>
      <c r="AJ168" t="s">
        <v>342</v>
      </c>
      <c r="AK168" t="s">
        <v>353</v>
      </c>
      <c r="AL168">
        <v>117152</v>
      </c>
      <c r="AM168">
        <v>14</v>
      </c>
      <c r="AN168">
        <v>0</v>
      </c>
      <c r="AO168">
        <v>3</v>
      </c>
      <c r="AP168">
        <v>10</v>
      </c>
      <c r="AQ168">
        <v>29.99</v>
      </c>
      <c r="AR168">
        <v>89.97</v>
      </c>
      <c r="AS168">
        <v>149.95</v>
      </c>
      <c r="AT168">
        <v>149.95</v>
      </c>
      <c r="AU168">
        <v>149.95</v>
      </c>
      <c r="AV168">
        <v>0</v>
      </c>
      <c r="AW168">
        <v>7</v>
      </c>
      <c r="AX168">
        <v>0</v>
      </c>
      <c r="AY168">
        <v>0</v>
      </c>
      <c r="AZ168">
        <v>0</v>
      </c>
      <c r="BA168">
        <v>0.65</v>
      </c>
      <c r="BB168">
        <v>0</v>
      </c>
      <c r="BC168">
        <v>0</v>
      </c>
      <c r="BD168">
        <v>0</v>
      </c>
      <c r="BE168">
        <v>0</v>
      </c>
      <c r="BG168">
        <v>1</v>
      </c>
      <c r="BH168">
        <v>0</v>
      </c>
      <c r="BY168">
        <v>122</v>
      </c>
      <c r="BZ168">
        <v>14</v>
      </c>
      <c r="CA168" t="s">
        <v>344</v>
      </c>
      <c r="CB168">
        <v>19</v>
      </c>
      <c r="CC168" s="5">
        <v>46195</v>
      </c>
      <c r="CD168" s="5">
        <v>46188</v>
      </c>
      <c r="CE168" t="s">
        <v>345</v>
      </c>
      <c r="CF168" t="s">
        <v>346</v>
      </c>
      <c r="CG168">
        <v>106</v>
      </c>
      <c r="CH168">
        <v>122</v>
      </c>
      <c r="CI168" s="5">
        <v>46186</v>
      </c>
      <c r="CJ168">
        <v>4</v>
      </c>
      <c r="CK168">
        <v>0</v>
      </c>
      <c r="CL168">
        <v>1</v>
      </c>
      <c r="CM168">
        <v>0</v>
      </c>
      <c r="CN168">
        <v>0</v>
      </c>
      <c r="CO168">
        <v>16</v>
      </c>
      <c r="CP168" t="s">
        <v>347</v>
      </c>
      <c r="CQ168" t="s">
        <v>348</v>
      </c>
    </row>
    <row r="169" spans="1:95">
      <c r="A169" s="5">
        <v>46189</v>
      </c>
      <c r="B169" t="s">
        <v>1604</v>
      </c>
      <c r="C169" t="s">
        <v>1605</v>
      </c>
      <c r="D169" t="s">
        <v>1603</v>
      </c>
      <c r="E169" t="s">
        <v>2195</v>
      </c>
      <c r="F169" t="s">
        <v>337</v>
      </c>
      <c r="G169">
        <v>52</v>
      </c>
      <c r="H169">
        <v>0</v>
      </c>
      <c r="I169">
        <v>0</v>
      </c>
      <c r="J169">
        <v>101</v>
      </c>
      <c r="K169">
        <v>0</v>
      </c>
      <c r="L169">
        <v>0</v>
      </c>
      <c r="M169">
        <v>0</v>
      </c>
      <c r="N169">
        <v>0</v>
      </c>
      <c r="O169" t="s">
        <v>338</v>
      </c>
      <c r="P169">
        <v>1</v>
      </c>
      <c r="Q169">
        <v>4</v>
      </c>
      <c r="R169">
        <v>10</v>
      </c>
      <c r="S169">
        <v>13</v>
      </c>
      <c r="T169" t="s">
        <v>351</v>
      </c>
      <c r="U169">
        <v>49.99</v>
      </c>
      <c r="V169">
        <v>0</v>
      </c>
      <c r="W169">
        <v>49.99</v>
      </c>
      <c r="X169">
        <v>0</v>
      </c>
      <c r="Y169" t="s">
        <v>359</v>
      </c>
      <c r="AA169">
        <v>0</v>
      </c>
      <c r="AB169">
        <v>0</v>
      </c>
      <c r="AC169">
        <v>0</v>
      </c>
      <c r="AD169">
        <v>0</v>
      </c>
      <c r="AE169">
        <v>0.12</v>
      </c>
      <c r="AF169">
        <v>0.485783</v>
      </c>
      <c r="AG169" t="s">
        <v>340</v>
      </c>
      <c r="AH169" t="s">
        <v>341</v>
      </c>
      <c r="AI169">
        <v>25.260716</v>
      </c>
      <c r="AJ169" t="s">
        <v>342</v>
      </c>
      <c r="AK169" t="s">
        <v>353</v>
      </c>
      <c r="AL169">
        <v>145796</v>
      </c>
      <c r="AM169">
        <v>177</v>
      </c>
      <c r="AN169">
        <v>0</v>
      </c>
      <c r="AO169">
        <v>52</v>
      </c>
      <c r="AP169">
        <v>52</v>
      </c>
      <c r="AQ169">
        <v>37.99</v>
      </c>
      <c r="AR169">
        <v>47.49</v>
      </c>
      <c r="AS169">
        <v>182.46</v>
      </c>
      <c r="AT169">
        <v>447.4</v>
      </c>
      <c r="AU169">
        <v>597.37</v>
      </c>
      <c r="AV169">
        <v>0</v>
      </c>
      <c r="AW169">
        <v>0</v>
      </c>
      <c r="AX169">
        <v>0</v>
      </c>
      <c r="AY169">
        <v>0</v>
      </c>
      <c r="AZ169">
        <v>0</v>
      </c>
      <c r="BA169">
        <v>17.4</v>
      </c>
      <c r="BB169">
        <v>0</v>
      </c>
      <c r="BC169">
        <v>0</v>
      </c>
      <c r="BD169">
        <v>0</v>
      </c>
      <c r="BE169">
        <v>0</v>
      </c>
      <c r="BG169">
        <v>54</v>
      </c>
      <c r="BH169">
        <v>0</v>
      </c>
      <c r="BI169">
        <v>47</v>
      </c>
      <c r="BJ169">
        <v>11.41</v>
      </c>
      <c r="BK169">
        <v>0</v>
      </c>
      <c r="BL169">
        <v>0</v>
      </c>
      <c r="BM169">
        <v>0</v>
      </c>
      <c r="BN169">
        <v>0</v>
      </c>
      <c r="BO169">
        <v>0</v>
      </c>
      <c r="BP169">
        <v>0</v>
      </c>
      <c r="BQ169">
        <v>0</v>
      </c>
      <c r="BR169">
        <v>0</v>
      </c>
      <c r="BS169">
        <v>0</v>
      </c>
      <c r="BT169">
        <v>0</v>
      </c>
      <c r="BU169">
        <v>0</v>
      </c>
      <c r="BV169">
        <v>0</v>
      </c>
      <c r="BW169">
        <v>0</v>
      </c>
      <c r="BX169">
        <v>0</v>
      </c>
      <c r="BY169">
        <v>813.5</v>
      </c>
      <c r="BZ169">
        <v>12</v>
      </c>
      <c r="CA169" t="s">
        <v>360</v>
      </c>
      <c r="CD169" s="5">
        <v>46188</v>
      </c>
      <c r="CE169" t="s">
        <v>345</v>
      </c>
      <c r="CF169" t="s">
        <v>346</v>
      </c>
      <c r="CG169">
        <v>813.5</v>
      </c>
      <c r="CH169">
        <v>779.4</v>
      </c>
      <c r="CI169" s="5">
        <v>46186</v>
      </c>
      <c r="CJ169">
        <v>52</v>
      </c>
      <c r="CK169">
        <v>0</v>
      </c>
      <c r="CL169">
        <v>6</v>
      </c>
      <c r="CM169">
        <v>0</v>
      </c>
      <c r="CN169">
        <v>48</v>
      </c>
      <c r="CO169">
        <v>232</v>
      </c>
      <c r="CP169" t="s">
        <v>347</v>
      </c>
      <c r="CQ169" t="s">
        <v>348</v>
      </c>
    </row>
    <row r="170" spans="1:95">
      <c r="A170" s="5">
        <v>46189</v>
      </c>
      <c r="B170" t="s">
        <v>2196</v>
      </c>
      <c r="C170" t="s">
        <v>2016</v>
      </c>
      <c r="D170" t="s">
        <v>2197</v>
      </c>
      <c r="E170" t="s">
        <v>2018</v>
      </c>
      <c r="G170">
        <v>0</v>
      </c>
      <c r="H170">
        <v>-1</v>
      </c>
      <c r="O170" t="s">
        <v>338</v>
      </c>
      <c r="U170">
        <v>0</v>
      </c>
      <c r="V170">
        <v>0</v>
      </c>
      <c r="W170">
        <v>0</v>
      </c>
      <c r="X170">
        <v>0</v>
      </c>
      <c r="Y170" t="s">
        <v>359</v>
      </c>
      <c r="AB170">
        <v>0</v>
      </c>
      <c r="AC170">
        <v>0</v>
      </c>
      <c r="AE170">
        <v>-1</v>
      </c>
      <c r="AH170" t="s">
        <v>341</v>
      </c>
      <c r="AJ170" t="s">
        <v>342</v>
      </c>
      <c r="AK170" t="s">
        <v>353</v>
      </c>
      <c r="AN170">
        <v>0</v>
      </c>
      <c r="AQ170">
        <v>9.99</v>
      </c>
      <c r="AY170">
        <v>0</v>
      </c>
      <c r="BB170">
        <v>0</v>
      </c>
      <c r="BC170">
        <v>0</v>
      </c>
      <c r="BD170">
        <v>0</v>
      </c>
      <c r="BE170">
        <v>0</v>
      </c>
      <c r="BG170">
        <v>0</v>
      </c>
      <c r="BH170">
        <v>0</v>
      </c>
      <c r="CJ170">
        <v>0</v>
      </c>
      <c r="CK170">
        <v>0</v>
      </c>
      <c r="CL170">
        <v>0</v>
      </c>
      <c r="CM170">
        <v>0</v>
      </c>
      <c r="CN170">
        <v>0</v>
      </c>
      <c r="CP170" t="s">
        <v>347</v>
      </c>
      <c r="CQ170" t="s">
        <v>348</v>
      </c>
    </row>
    <row r="171" spans="1:95">
      <c r="A171" s="5">
        <v>46189</v>
      </c>
      <c r="B171" t="s">
        <v>1607</v>
      </c>
      <c r="C171" t="s">
        <v>1608</v>
      </c>
      <c r="D171" t="s">
        <v>1606</v>
      </c>
      <c r="E171" t="s">
        <v>2198</v>
      </c>
      <c r="F171" t="s">
        <v>337</v>
      </c>
      <c r="G171">
        <v>47</v>
      </c>
      <c r="H171">
        <v>0</v>
      </c>
      <c r="I171">
        <v>30</v>
      </c>
      <c r="J171">
        <v>18</v>
      </c>
      <c r="K171">
        <v>0</v>
      </c>
      <c r="L171">
        <v>0</v>
      </c>
      <c r="M171">
        <v>0</v>
      </c>
      <c r="N171">
        <v>0</v>
      </c>
      <c r="O171" t="s">
        <v>338</v>
      </c>
      <c r="P171">
        <v>1</v>
      </c>
      <c r="Q171">
        <v>6</v>
      </c>
      <c r="R171">
        <v>20</v>
      </c>
      <c r="S171">
        <v>30</v>
      </c>
      <c r="T171" t="s">
        <v>351</v>
      </c>
      <c r="U171">
        <v>39.99</v>
      </c>
      <c r="V171">
        <v>0</v>
      </c>
      <c r="W171">
        <v>39.99</v>
      </c>
      <c r="X171">
        <v>0</v>
      </c>
      <c r="Y171" t="s">
        <v>359</v>
      </c>
      <c r="AA171">
        <v>0</v>
      </c>
      <c r="AB171">
        <v>0</v>
      </c>
      <c r="AC171">
        <v>0</v>
      </c>
      <c r="AD171">
        <v>0</v>
      </c>
      <c r="AE171">
        <v>0.56</v>
      </c>
      <c r="AF171">
        <v>0.186875</v>
      </c>
      <c r="AG171" t="s">
        <v>340</v>
      </c>
      <c r="AH171" t="s">
        <v>341</v>
      </c>
      <c r="AI171">
        <v>8.783125</v>
      </c>
      <c r="AJ171" t="s">
        <v>342</v>
      </c>
      <c r="AK171" t="s">
        <v>353</v>
      </c>
      <c r="AL171">
        <v>337906</v>
      </c>
      <c r="AM171">
        <v>130</v>
      </c>
      <c r="AN171">
        <v>0</v>
      </c>
      <c r="AO171">
        <v>44</v>
      </c>
      <c r="AP171">
        <v>29</v>
      </c>
      <c r="AQ171">
        <v>23.99</v>
      </c>
      <c r="AR171">
        <v>26.59</v>
      </c>
      <c r="AS171">
        <v>159.54</v>
      </c>
      <c r="AT171">
        <v>537.4</v>
      </c>
      <c r="AU171">
        <v>817.3</v>
      </c>
      <c r="AV171">
        <v>0</v>
      </c>
      <c r="AW171">
        <v>0</v>
      </c>
      <c r="AX171">
        <v>30</v>
      </c>
      <c r="AY171">
        <v>0</v>
      </c>
      <c r="AZ171">
        <v>0</v>
      </c>
      <c r="BA171">
        <v>7.15</v>
      </c>
      <c r="BB171">
        <v>20</v>
      </c>
      <c r="BC171">
        <v>20</v>
      </c>
      <c r="BD171">
        <v>0</v>
      </c>
      <c r="BE171">
        <v>0</v>
      </c>
      <c r="BG171">
        <v>1</v>
      </c>
      <c r="BH171">
        <v>1</v>
      </c>
      <c r="BY171">
        <v>254.5</v>
      </c>
      <c r="BZ171">
        <v>21</v>
      </c>
      <c r="CA171" t="s">
        <v>360</v>
      </c>
      <c r="CD171" s="5">
        <v>46188</v>
      </c>
      <c r="CE171" t="s">
        <v>345</v>
      </c>
      <c r="CF171" t="s">
        <v>346</v>
      </c>
      <c r="CG171">
        <v>254.5</v>
      </c>
      <c r="CH171">
        <v>158</v>
      </c>
      <c r="CI171" s="5">
        <v>46186</v>
      </c>
      <c r="CJ171">
        <v>67</v>
      </c>
      <c r="CK171">
        <v>0</v>
      </c>
      <c r="CL171">
        <v>0</v>
      </c>
      <c r="CM171">
        <v>1</v>
      </c>
      <c r="CN171">
        <v>0</v>
      </c>
      <c r="CO171">
        <v>181</v>
      </c>
      <c r="CP171" t="s">
        <v>347</v>
      </c>
      <c r="CQ171" t="s">
        <v>348</v>
      </c>
    </row>
    <row r="172" spans="1:95">
      <c r="A172" s="5">
        <v>46189</v>
      </c>
      <c r="B172" t="s">
        <v>1611</v>
      </c>
      <c r="C172" t="s">
        <v>1612</v>
      </c>
      <c r="D172" t="s">
        <v>1610</v>
      </c>
      <c r="E172" t="s">
        <v>2199</v>
      </c>
      <c r="F172" t="s">
        <v>337</v>
      </c>
      <c r="G172">
        <v>53</v>
      </c>
      <c r="H172">
        <v>0</v>
      </c>
      <c r="I172">
        <v>56</v>
      </c>
      <c r="J172">
        <v>0</v>
      </c>
      <c r="K172">
        <v>0</v>
      </c>
      <c r="L172">
        <v>0</v>
      </c>
      <c r="M172">
        <v>0</v>
      </c>
      <c r="N172">
        <v>0</v>
      </c>
      <c r="O172" t="s">
        <v>338</v>
      </c>
      <c r="P172">
        <v>2</v>
      </c>
      <c r="Q172">
        <v>12</v>
      </c>
      <c r="R172">
        <v>26</v>
      </c>
      <c r="S172">
        <v>55</v>
      </c>
      <c r="T172" t="s">
        <v>351</v>
      </c>
      <c r="U172">
        <v>28.99</v>
      </c>
      <c r="V172">
        <v>19.99</v>
      </c>
      <c r="W172">
        <v>19.99</v>
      </c>
      <c r="X172">
        <v>0</v>
      </c>
      <c r="Y172" t="s">
        <v>359</v>
      </c>
      <c r="AA172">
        <v>0</v>
      </c>
      <c r="AB172">
        <v>0</v>
      </c>
      <c r="AC172">
        <v>0</v>
      </c>
      <c r="AD172">
        <v>0</v>
      </c>
      <c r="AE172">
        <v>1.4</v>
      </c>
      <c r="AF172">
        <v>0.078034</v>
      </c>
      <c r="AG172" t="s">
        <v>340</v>
      </c>
      <c r="AH172" t="s">
        <v>341</v>
      </c>
      <c r="AI172">
        <v>4.135802</v>
      </c>
      <c r="AJ172" t="s">
        <v>342</v>
      </c>
      <c r="AK172" t="s">
        <v>353</v>
      </c>
      <c r="AL172">
        <v>190233</v>
      </c>
      <c r="AM172">
        <v>112</v>
      </c>
      <c r="AN172">
        <v>0</v>
      </c>
      <c r="AO172">
        <v>17</v>
      </c>
      <c r="AP172">
        <v>12</v>
      </c>
      <c r="AQ172">
        <v>19.99</v>
      </c>
      <c r="AR172">
        <v>39.98</v>
      </c>
      <c r="AS172">
        <v>239.88</v>
      </c>
      <c r="AT172">
        <v>519.74</v>
      </c>
      <c r="AU172">
        <v>1099.45</v>
      </c>
      <c r="AV172">
        <v>56</v>
      </c>
      <c r="AW172">
        <v>0</v>
      </c>
      <c r="AX172">
        <v>0</v>
      </c>
      <c r="AY172">
        <v>0</v>
      </c>
      <c r="AZ172">
        <v>0</v>
      </c>
      <c r="BA172">
        <v>2.98</v>
      </c>
      <c r="BB172">
        <v>0</v>
      </c>
      <c r="BC172">
        <v>0</v>
      </c>
      <c r="BD172">
        <v>0</v>
      </c>
      <c r="BE172">
        <v>0</v>
      </c>
      <c r="BG172">
        <v>1</v>
      </c>
      <c r="BH172">
        <v>0</v>
      </c>
      <c r="BY172">
        <v>125.5</v>
      </c>
      <c r="BZ172">
        <v>28</v>
      </c>
      <c r="CA172" t="s">
        <v>360</v>
      </c>
      <c r="CD172" s="5">
        <v>46188</v>
      </c>
      <c r="CE172" t="s">
        <v>345</v>
      </c>
      <c r="CF172" t="s">
        <v>346</v>
      </c>
      <c r="CG172">
        <v>125.5</v>
      </c>
      <c r="CH172">
        <v>56</v>
      </c>
      <c r="CI172" s="5">
        <v>46186</v>
      </c>
      <c r="CJ172">
        <v>60</v>
      </c>
      <c r="CK172">
        <v>7</v>
      </c>
      <c r="CL172">
        <v>0</v>
      </c>
      <c r="CM172">
        <v>1</v>
      </c>
      <c r="CN172">
        <v>0</v>
      </c>
      <c r="CO172">
        <v>113</v>
      </c>
      <c r="CP172" t="s">
        <v>347</v>
      </c>
      <c r="CQ172" t="s">
        <v>348</v>
      </c>
    </row>
    <row r="173" spans="1:95">
      <c r="A173" s="5">
        <v>46189</v>
      </c>
      <c r="B173" t="s">
        <v>2200</v>
      </c>
      <c r="C173" t="s">
        <v>1741</v>
      </c>
      <c r="D173" t="s">
        <v>2201</v>
      </c>
      <c r="E173" t="s">
        <v>1743</v>
      </c>
      <c r="F173" t="s">
        <v>337</v>
      </c>
      <c r="G173">
        <v>11</v>
      </c>
      <c r="H173">
        <v>0</v>
      </c>
      <c r="I173">
        <v>1</v>
      </c>
      <c r="J173">
        <v>10</v>
      </c>
      <c r="K173">
        <v>0</v>
      </c>
      <c r="L173">
        <v>0</v>
      </c>
      <c r="M173">
        <v>0</v>
      </c>
      <c r="N173">
        <v>0</v>
      </c>
      <c r="O173" t="s">
        <v>338</v>
      </c>
      <c r="P173">
        <v>0</v>
      </c>
      <c r="Q173">
        <v>2</v>
      </c>
      <c r="R173">
        <v>2</v>
      </c>
      <c r="S173">
        <v>2</v>
      </c>
      <c r="T173" t="s">
        <v>351</v>
      </c>
      <c r="U173">
        <v>37.99</v>
      </c>
      <c r="V173">
        <v>29.99</v>
      </c>
      <c r="W173">
        <v>29.99</v>
      </c>
      <c r="X173">
        <v>0</v>
      </c>
      <c r="Y173" t="s">
        <v>613</v>
      </c>
      <c r="AA173">
        <v>0</v>
      </c>
      <c r="AB173">
        <v>0</v>
      </c>
      <c r="AC173">
        <v>0</v>
      </c>
      <c r="AD173">
        <v>592.65</v>
      </c>
      <c r="AE173">
        <v>0.17</v>
      </c>
      <c r="AF173">
        <v>0.160795</v>
      </c>
      <c r="AG173" t="s">
        <v>340</v>
      </c>
      <c r="AH173" t="s">
        <v>341</v>
      </c>
      <c r="AI173">
        <v>1.768745</v>
      </c>
      <c r="AJ173" t="s">
        <v>342</v>
      </c>
      <c r="AK173" t="s">
        <v>353</v>
      </c>
      <c r="AL173">
        <v>190233</v>
      </c>
      <c r="AM173">
        <v>177</v>
      </c>
      <c r="AN173">
        <v>11</v>
      </c>
      <c r="AO173">
        <v>22</v>
      </c>
      <c r="AP173">
        <v>71</v>
      </c>
      <c r="AQ173">
        <v>29.99</v>
      </c>
      <c r="AR173">
        <v>0</v>
      </c>
      <c r="AS173">
        <v>59.98</v>
      </c>
      <c r="AT173">
        <v>59.98</v>
      </c>
      <c r="AU173">
        <v>59.98</v>
      </c>
      <c r="AV173">
        <v>1</v>
      </c>
      <c r="AW173">
        <v>0</v>
      </c>
      <c r="AX173">
        <v>0</v>
      </c>
      <c r="AY173">
        <v>0</v>
      </c>
      <c r="AZ173">
        <v>0</v>
      </c>
      <c r="BA173">
        <v>1.6</v>
      </c>
      <c r="BB173">
        <v>0</v>
      </c>
      <c r="BC173">
        <v>0</v>
      </c>
      <c r="BD173">
        <v>0</v>
      </c>
      <c r="BE173">
        <v>0</v>
      </c>
      <c r="BG173">
        <v>0</v>
      </c>
      <c r="BH173">
        <v>0</v>
      </c>
      <c r="BY173">
        <v>542</v>
      </c>
      <c r="BZ173">
        <v>3</v>
      </c>
      <c r="CA173" t="s">
        <v>354</v>
      </c>
      <c r="CD173" s="5">
        <v>46188</v>
      </c>
      <c r="CE173" t="s">
        <v>345</v>
      </c>
      <c r="CF173" t="s">
        <v>346</v>
      </c>
      <c r="CG173">
        <v>182</v>
      </c>
      <c r="CH173">
        <v>542</v>
      </c>
      <c r="CI173" s="5">
        <v>46186</v>
      </c>
      <c r="CJ173">
        <v>11</v>
      </c>
      <c r="CK173">
        <v>0</v>
      </c>
      <c r="CL173">
        <v>0</v>
      </c>
      <c r="CM173">
        <v>0</v>
      </c>
      <c r="CN173">
        <v>0</v>
      </c>
      <c r="CO173">
        <v>177</v>
      </c>
      <c r="CP173" t="s">
        <v>347</v>
      </c>
      <c r="CQ173" t="s">
        <v>348</v>
      </c>
    </row>
    <row r="174" spans="1:95">
      <c r="A174" s="5">
        <v>46189</v>
      </c>
      <c r="B174" t="s">
        <v>2202</v>
      </c>
      <c r="C174" t="s">
        <v>2203</v>
      </c>
      <c r="D174" t="s">
        <v>2204</v>
      </c>
      <c r="E174" t="s">
        <v>2205</v>
      </c>
      <c r="G174">
        <v>0</v>
      </c>
      <c r="H174">
        <v>-1</v>
      </c>
      <c r="O174" t="s">
        <v>338</v>
      </c>
      <c r="P174">
        <v>0</v>
      </c>
      <c r="Q174">
        <v>0</v>
      </c>
      <c r="R174">
        <v>0</v>
      </c>
      <c r="S174">
        <v>0</v>
      </c>
      <c r="U174">
        <v>0</v>
      </c>
      <c r="V174">
        <v>0</v>
      </c>
      <c r="W174">
        <v>0</v>
      </c>
      <c r="X174">
        <v>0</v>
      </c>
      <c r="Y174" t="s">
        <v>359</v>
      </c>
      <c r="AB174">
        <v>0</v>
      </c>
      <c r="AC174">
        <v>0</v>
      </c>
      <c r="AE174">
        <v>-1</v>
      </c>
      <c r="AH174" t="s">
        <v>341</v>
      </c>
      <c r="AJ174" t="s">
        <v>342</v>
      </c>
      <c r="AK174" t="s">
        <v>353</v>
      </c>
      <c r="AM174">
        <v>0</v>
      </c>
      <c r="AN174">
        <v>0</v>
      </c>
      <c r="AQ174">
        <v>24.99</v>
      </c>
      <c r="AR174">
        <v>0</v>
      </c>
      <c r="AS174">
        <v>0</v>
      </c>
      <c r="AT174">
        <v>0</v>
      </c>
      <c r="AU174">
        <v>0</v>
      </c>
      <c r="AY174">
        <v>0</v>
      </c>
      <c r="BB174">
        <v>0</v>
      </c>
      <c r="BC174">
        <v>0</v>
      </c>
      <c r="BD174">
        <v>0</v>
      </c>
      <c r="BE174">
        <v>0</v>
      </c>
      <c r="BG174">
        <v>0</v>
      </c>
      <c r="BH174">
        <v>1</v>
      </c>
      <c r="BZ174">
        <v>1</v>
      </c>
      <c r="CA174" t="s">
        <v>429</v>
      </c>
      <c r="CJ174">
        <v>0</v>
      </c>
      <c r="CK174">
        <v>0</v>
      </c>
      <c r="CL174">
        <v>0</v>
      </c>
      <c r="CM174">
        <v>0</v>
      </c>
      <c r="CN174">
        <v>0</v>
      </c>
      <c r="CO174">
        <v>0</v>
      </c>
      <c r="CP174" t="s">
        <v>347</v>
      </c>
      <c r="CQ174" t="s">
        <v>348</v>
      </c>
    </row>
    <row r="175" spans="1:95">
      <c r="A175" s="5">
        <v>46189</v>
      </c>
      <c r="B175" t="s">
        <v>2206</v>
      </c>
      <c r="C175" t="s">
        <v>229</v>
      </c>
      <c r="D175" t="s">
        <v>2207</v>
      </c>
      <c r="E175" t="s">
        <v>463</v>
      </c>
      <c r="G175">
        <v>0</v>
      </c>
      <c r="H175">
        <v>-1</v>
      </c>
      <c r="O175" t="s">
        <v>338</v>
      </c>
      <c r="U175">
        <v>0</v>
      </c>
      <c r="V175">
        <v>0</v>
      </c>
      <c r="W175">
        <v>0</v>
      </c>
      <c r="X175">
        <v>0</v>
      </c>
      <c r="Y175" t="s">
        <v>359</v>
      </c>
      <c r="AB175">
        <v>0</v>
      </c>
      <c r="AC175">
        <v>0</v>
      </c>
      <c r="AE175">
        <v>-1</v>
      </c>
      <c r="AH175" t="s">
        <v>341</v>
      </c>
      <c r="AJ175" t="s">
        <v>342</v>
      </c>
      <c r="AK175" t="s">
        <v>465</v>
      </c>
      <c r="AL175">
        <v>9437</v>
      </c>
      <c r="AN175">
        <v>0</v>
      </c>
      <c r="AQ175">
        <v>29.99</v>
      </c>
      <c r="AY175">
        <v>0</v>
      </c>
      <c r="BB175">
        <v>0</v>
      </c>
      <c r="BC175">
        <v>0</v>
      </c>
      <c r="BD175">
        <v>0</v>
      </c>
      <c r="BE175">
        <v>0</v>
      </c>
      <c r="BG175">
        <v>0</v>
      </c>
      <c r="BH175">
        <v>0</v>
      </c>
      <c r="CJ175">
        <v>0</v>
      </c>
      <c r="CK175">
        <v>0</v>
      </c>
      <c r="CL175">
        <v>0</v>
      </c>
      <c r="CM175">
        <v>0</v>
      </c>
      <c r="CN175">
        <v>0</v>
      </c>
      <c r="CP175" t="s">
        <v>347</v>
      </c>
      <c r="CQ175" t="s">
        <v>348</v>
      </c>
    </row>
    <row r="176" spans="1:95">
      <c r="A176" s="5">
        <v>46189</v>
      </c>
      <c r="B176" t="s">
        <v>2208</v>
      </c>
      <c r="C176" t="s">
        <v>2209</v>
      </c>
      <c r="D176" t="s">
        <v>2210</v>
      </c>
      <c r="E176" t="s">
        <v>2211</v>
      </c>
      <c r="F176" t="s">
        <v>337</v>
      </c>
      <c r="G176">
        <v>34</v>
      </c>
      <c r="H176">
        <v>0</v>
      </c>
      <c r="I176">
        <v>34</v>
      </c>
      <c r="J176">
        <v>0</v>
      </c>
      <c r="K176">
        <v>0</v>
      </c>
      <c r="L176">
        <v>0</v>
      </c>
      <c r="M176">
        <v>0</v>
      </c>
      <c r="N176">
        <v>0</v>
      </c>
      <c r="O176" t="s">
        <v>338</v>
      </c>
      <c r="P176">
        <v>0</v>
      </c>
      <c r="Q176">
        <v>0</v>
      </c>
      <c r="R176">
        <v>0</v>
      </c>
      <c r="S176">
        <v>1</v>
      </c>
      <c r="T176" t="s">
        <v>351</v>
      </c>
      <c r="U176">
        <v>37.99</v>
      </c>
      <c r="V176">
        <v>0</v>
      </c>
      <c r="W176">
        <v>20.89</v>
      </c>
      <c r="X176">
        <v>0</v>
      </c>
      <c r="Y176" t="s">
        <v>391</v>
      </c>
      <c r="AA176">
        <v>0</v>
      </c>
      <c r="AB176">
        <v>0</v>
      </c>
      <c r="AC176">
        <v>11</v>
      </c>
      <c r="AD176">
        <v>517.68</v>
      </c>
      <c r="AE176">
        <v>0.05</v>
      </c>
      <c r="AF176">
        <v>0.069493</v>
      </c>
      <c r="AG176" t="s">
        <v>340</v>
      </c>
      <c r="AH176" t="s">
        <v>341</v>
      </c>
      <c r="AI176">
        <v>2.362762</v>
      </c>
      <c r="AJ176" t="s">
        <v>342</v>
      </c>
      <c r="AK176" t="s">
        <v>343</v>
      </c>
      <c r="AL176">
        <v>495700</v>
      </c>
      <c r="AM176">
        <v>366</v>
      </c>
      <c r="AN176">
        <v>0</v>
      </c>
      <c r="AP176">
        <v>442</v>
      </c>
      <c r="AQ176">
        <v>20.89</v>
      </c>
      <c r="AR176">
        <v>0</v>
      </c>
      <c r="AS176">
        <v>0</v>
      </c>
      <c r="AT176">
        <v>0</v>
      </c>
      <c r="AU176">
        <v>20.89</v>
      </c>
      <c r="AV176">
        <v>0</v>
      </c>
      <c r="AW176">
        <v>26</v>
      </c>
      <c r="AX176">
        <v>8</v>
      </c>
      <c r="AY176">
        <v>0</v>
      </c>
      <c r="AZ176">
        <v>0</v>
      </c>
      <c r="BA176">
        <v>1.69</v>
      </c>
      <c r="BB176">
        <v>0</v>
      </c>
      <c r="BC176">
        <v>0</v>
      </c>
      <c r="BD176">
        <v>0</v>
      </c>
      <c r="BE176">
        <v>0</v>
      </c>
      <c r="BG176">
        <v>0</v>
      </c>
      <c r="BH176">
        <v>0</v>
      </c>
      <c r="BZ176">
        <v>4</v>
      </c>
      <c r="CA176" t="s">
        <v>360</v>
      </c>
      <c r="CH176">
        <v>1665</v>
      </c>
      <c r="CI176" s="5">
        <v>46186</v>
      </c>
      <c r="CJ176">
        <v>34</v>
      </c>
      <c r="CK176">
        <v>0</v>
      </c>
      <c r="CL176">
        <v>0</v>
      </c>
      <c r="CM176">
        <v>0</v>
      </c>
      <c r="CN176">
        <v>0</v>
      </c>
      <c r="CO176">
        <v>366</v>
      </c>
      <c r="CP176" t="s">
        <v>347</v>
      </c>
      <c r="CQ176" t="s">
        <v>348</v>
      </c>
    </row>
    <row r="177" spans="1:95">
      <c r="A177" s="5">
        <v>46189</v>
      </c>
      <c r="B177" t="s">
        <v>2212</v>
      </c>
      <c r="C177" t="s">
        <v>2213</v>
      </c>
      <c r="D177" t="s">
        <v>2214</v>
      </c>
      <c r="E177" t="s">
        <v>2215</v>
      </c>
      <c r="G177">
        <v>0</v>
      </c>
      <c r="H177">
        <v>-1</v>
      </c>
      <c r="O177" t="s">
        <v>338</v>
      </c>
      <c r="U177">
        <v>0</v>
      </c>
      <c r="V177">
        <v>0</v>
      </c>
      <c r="W177">
        <v>0</v>
      </c>
      <c r="X177">
        <v>0</v>
      </c>
      <c r="Y177" t="s">
        <v>359</v>
      </c>
      <c r="AB177">
        <v>0</v>
      </c>
      <c r="AC177">
        <v>0</v>
      </c>
      <c r="AE177">
        <v>-1</v>
      </c>
      <c r="AH177" t="s">
        <v>424</v>
      </c>
      <c r="AJ177" t="s">
        <v>342</v>
      </c>
      <c r="AK177" t="s">
        <v>353</v>
      </c>
      <c r="AM177">
        <v>0</v>
      </c>
      <c r="AN177">
        <v>0</v>
      </c>
      <c r="AQ177">
        <v>79.99</v>
      </c>
      <c r="AY177">
        <v>0</v>
      </c>
      <c r="BB177">
        <v>0</v>
      </c>
      <c r="BG177">
        <v>0</v>
      </c>
      <c r="BH177">
        <v>0</v>
      </c>
      <c r="CJ177">
        <v>0</v>
      </c>
      <c r="CK177">
        <v>0</v>
      </c>
      <c r="CL177">
        <v>0</v>
      </c>
      <c r="CM177">
        <v>0</v>
      </c>
      <c r="CN177">
        <v>0</v>
      </c>
      <c r="CO177">
        <v>0</v>
      </c>
      <c r="CP177" t="s">
        <v>347</v>
      </c>
      <c r="CQ177" t="s">
        <v>348</v>
      </c>
    </row>
    <row r="178" spans="1:95">
      <c r="A178" s="5">
        <v>46189</v>
      </c>
      <c r="B178" t="s">
        <v>1615</v>
      </c>
      <c r="C178" t="s">
        <v>1616</v>
      </c>
      <c r="D178" t="s">
        <v>1614</v>
      </c>
      <c r="E178" t="s">
        <v>2216</v>
      </c>
      <c r="G178">
        <v>0</v>
      </c>
      <c r="H178">
        <v>-1</v>
      </c>
      <c r="O178" t="s">
        <v>338</v>
      </c>
      <c r="P178">
        <v>0</v>
      </c>
      <c r="Q178">
        <v>0</v>
      </c>
      <c r="R178">
        <v>0</v>
      </c>
      <c r="S178">
        <v>2</v>
      </c>
      <c r="U178">
        <v>0</v>
      </c>
      <c r="V178">
        <v>0</v>
      </c>
      <c r="W178">
        <v>0</v>
      </c>
      <c r="X178">
        <v>0</v>
      </c>
      <c r="Y178" t="s">
        <v>464</v>
      </c>
      <c r="AB178">
        <v>0</v>
      </c>
      <c r="AC178">
        <v>0</v>
      </c>
      <c r="AE178">
        <v>-1</v>
      </c>
      <c r="AH178" t="s">
        <v>341</v>
      </c>
      <c r="AJ178" t="s">
        <v>342</v>
      </c>
      <c r="AK178" t="s">
        <v>353</v>
      </c>
      <c r="AM178">
        <v>0</v>
      </c>
      <c r="AN178">
        <v>0</v>
      </c>
      <c r="AP178">
        <v>0</v>
      </c>
      <c r="AQ178">
        <v>49.99</v>
      </c>
      <c r="AR178">
        <v>0</v>
      </c>
      <c r="AS178">
        <v>0</v>
      </c>
      <c r="AT178">
        <v>0</v>
      </c>
      <c r="AU178">
        <v>79.98</v>
      </c>
      <c r="AY178">
        <v>0</v>
      </c>
      <c r="BB178">
        <v>0</v>
      </c>
      <c r="BC178">
        <v>0</v>
      </c>
      <c r="BD178">
        <v>0</v>
      </c>
      <c r="BE178">
        <v>0</v>
      </c>
      <c r="BG178">
        <v>0</v>
      </c>
      <c r="BH178">
        <v>3</v>
      </c>
      <c r="BZ178">
        <v>1</v>
      </c>
      <c r="CA178" t="s">
        <v>429</v>
      </c>
      <c r="CH178">
        <v>34.8</v>
      </c>
      <c r="CJ178">
        <v>0</v>
      </c>
      <c r="CK178">
        <v>0</v>
      </c>
      <c r="CL178">
        <v>0</v>
      </c>
      <c r="CM178">
        <v>0</v>
      </c>
      <c r="CN178">
        <v>0</v>
      </c>
      <c r="CO178">
        <v>0</v>
      </c>
      <c r="CP178" t="s">
        <v>347</v>
      </c>
      <c r="CQ178" t="s">
        <v>348</v>
      </c>
    </row>
    <row r="179" spans="1:95">
      <c r="A179" s="5">
        <v>46189</v>
      </c>
      <c r="B179" t="s">
        <v>2217</v>
      </c>
      <c r="C179" t="s">
        <v>2218</v>
      </c>
      <c r="D179" t="s">
        <v>2219</v>
      </c>
      <c r="E179" t="s">
        <v>2220</v>
      </c>
      <c r="F179" t="s">
        <v>337</v>
      </c>
      <c r="G179">
        <v>11</v>
      </c>
      <c r="H179">
        <v>0</v>
      </c>
      <c r="I179">
        <v>0</v>
      </c>
      <c r="J179">
        <v>12</v>
      </c>
      <c r="K179">
        <v>0</v>
      </c>
      <c r="L179">
        <v>0</v>
      </c>
      <c r="M179">
        <v>0</v>
      </c>
      <c r="N179">
        <v>0</v>
      </c>
      <c r="O179" t="s">
        <v>338</v>
      </c>
      <c r="P179">
        <v>2</v>
      </c>
      <c r="Q179">
        <v>4</v>
      </c>
      <c r="R179">
        <v>4</v>
      </c>
      <c r="S179">
        <v>6</v>
      </c>
      <c r="T179" t="s">
        <v>351</v>
      </c>
      <c r="U179">
        <v>119.99</v>
      </c>
      <c r="V179">
        <v>56.99</v>
      </c>
      <c r="W179">
        <v>56.99</v>
      </c>
      <c r="X179">
        <v>0</v>
      </c>
      <c r="Y179" t="s">
        <v>359</v>
      </c>
      <c r="AA179">
        <v>0</v>
      </c>
      <c r="AB179">
        <v>0</v>
      </c>
      <c r="AC179">
        <v>0</v>
      </c>
      <c r="AD179">
        <v>1891</v>
      </c>
      <c r="AE179">
        <v>0.3</v>
      </c>
      <c r="AF179">
        <v>0.763889</v>
      </c>
      <c r="AG179" t="s">
        <v>340</v>
      </c>
      <c r="AH179" t="s">
        <v>424</v>
      </c>
      <c r="AI179">
        <v>8.402779</v>
      </c>
      <c r="AJ179" t="s">
        <v>342</v>
      </c>
      <c r="AK179" t="s">
        <v>353</v>
      </c>
      <c r="AL179">
        <v>391948</v>
      </c>
      <c r="AM179">
        <v>135</v>
      </c>
      <c r="AN179">
        <v>11</v>
      </c>
      <c r="AO179">
        <v>11</v>
      </c>
      <c r="AP179">
        <v>23</v>
      </c>
      <c r="AQ179">
        <v>56.99</v>
      </c>
      <c r="AR179">
        <v>113.98</v>
      </c>
      <c r="AS179">
        <v>227.96</v>
      </c>
      <c r="AT179">
        <v>227.96</v>
      </c>
      <c r="AU179">
        <v>341.94</v>
      </c>
      <c r="AV179">
        <v>0</v>
      </c>
      <c r="AW179">
        <v>0</v>
      </c>
      <c r="AX179">
        <v>0</v>
      </c>
      <c r="AY179">
        <v>0</v>
      </c>
      <c r="AZ179">
        <v>0</v>
      </c>
      <c r="BA179">
        <v>4.31</v>
      </c>
      <c r="BB179">
        <v>0</v>
      </c>
      <c r="BC179">
        <v>0</v>
      </c>
      <c r="BD179">
        <v>0</v>
      </c>
      <c r="BE179">
        <v>0</v>
      </c>
      <c r="BG179">
        <v>0</v>
      </c>
      <c r="BH179">
        <v>2</v>
      </c>
      <c r="BY179">
        <v>273.4</v>
      </c>
      <c r="BZ179">
        <v>5</v>
      </c>
      <c r="CA179" t="s">
        <v>354</v>
      </c>
      <c r="CD179" s="5">
        <v>46188</v>
      </c>
      <c r="CE179" t="s">
        <v>345</v>
      </c>
      <c r="CF179" t="s">
        <v>346</v>
      </c>
      <c r="CG179">
        <v>140</v>
      </c>
      <c r="CH179">
        <v>273.4</v>
      </c>
      <c r="CI179" s="5">
        <v>46186</v>
      </c>
      <c r="CJ179">
        <v>11</v>
      </c>
      <c r="CK179">
        <v>0</v>
      </c>
      <c r="CL179">
        <v>0</v>
      </c>
      <c r="CM179">
        <v>0</v>
      </c>
      <c r="CN179">
        <v>0</v>
      </c>
      <c r="CO179">
        <v>135</v>
      </c>
      <c r="CP179" t="s">
        <v>347</v>
      </c>
      <c r="CQ179" t="s">
        <v>348</v>
      </c>
    </row>
    <row r="180" spans="1:95">
      <c r="A180" s="5">
        <v>46189</v>
      </c>
      <c r="B180" t="s">
        <v>2221</v>
      </c>
      <c r="C180" t="s">
        <v>2222</v>
      </c>
      <c r="D180" t="s">
        <v>2223</v>
      </c>
      <c r="E180" t="s">
        <v>2224</v>
      </c>
      <c r="G180">
        <v>0</v>
      </c>
      <c r="H180">
        <v>-1</v>
      </c>
      <c r="O180" t="s">
        <v>338</v>
      </c>
      <c r="U180">
        <v>0</v>
      </c>
      <c r="V180">
        <v>0</v>
      </c>
      <c r="W180">
        <v>0</v>
      </c>
      <c r="X180">
        <v>0</v>
      </c>
      <c r="Y180" t="s">
        <v>359</v>
      </c>
      <c r="AB180">
        <v>0</v>
      </c>
      <c r="AC180">
        <v>0</v>
      </c>
      <c r="AE180">
        <v>-1</v>
      </c>
      <c r="AH180" t="s">
        <v>377</v>
      </c>
      <c r="AJ180" t="s">
        <v>342</v>
      </c>
      <c r="AK180" t="s">
        <v>587</v>
      </c>
      <c r="AN180">
        <v>0</v>
      </c>
      <c r="AY180">
        <v>0</v>
      </c>
      <c r="BB180">
        <v>0</v>
      </c>
      <c r="BG180">
        <v>0</v>
      </c>
      <c r="BH180">
        <v>0</v>
      </c>
      <c r="CJ180">
        <v>0</v>
      </c>
      <c r="CK180">
        <v>0</v>
      </c>
      <c r="CL180">
        <v>0</v>
      </c>
      <c r="CM180">
        <v>0</v>
      </c>
      <c r="CN180">
        <v>0</v>
      </c>
      <c r="CP180" t="s">
        <v>347</v>
      </c>
      <c r="CQ180" t="s">
        <v>348</v>
      </c>
    </row>
    <row r="181" spans="1:95">
      <c r="A181" s="5">
        <v>46189</v>
      </c>
      <c r="B181" t="s">
        <v>2225</v>
      </c>
      <c r="C181" t="s">
        <v>2226</v>
      </c>
      <c r="D181" t="s">
        <v>2227</v>
      </c>
      <c r="E181" t="s">
        <v>2228</v>
      </c>
      <c r="G181">
        <v>0</v>
      </c>
      <c r="H181">
        <v>-1</v>
      </c>
      <c r="O181" t="s">
        <v>338</v>
      </c>
      <c r="U181">
        <v>0</v>
      </c>
      <c r="V181">
        <v>0</v>
      </c>
      <c r="W181">
        <v>0</v>
      </c>
      <c r="X181">
        <v>0</v>
      </c>
      <c r="Y181" t="s">
        <v>359</v>
      </c>
      <c r="AB181">
        <v>0</v>
      </c>
      <c r="AC181">
        <v>0</v>
      </c>
      <c r="AE181">
        <v>-1</v>
      </c>
      <c r="AH181" t="s">
        <v>424</v>
      </c>
      <c r="AJ181" t="s">
        <v>342</v>
      </c>
      <c r="AK181" t="s">
        <v>353</v>
      </c>
      <c r="AM181">
        <v>0</v>
      </c>
      <c r="AN181">
        <v>0</v>
      </c>
      <c r="AQ181">
        <v>45.91</v>
      </c>
      <c r="AY181">
        <v>0</v>
      </c>
      <c r="BB181">
        <v>0</v>
      </c>
      <c r="BG181">
        <v>0</v>
      </c>
      <c r="BH181">
        <v>0</v>
      </c>
      <c r="CJ181">
        <v>0</v>
      </c>
      <c r="CK181">
        <v>0</v>
      </c>
      <c r="CL181">
        <v>0</v>
      </c>
      <c r="CM181">
        <v>0</v>
      </c>
      <c r="CN181">
        <v>0</v>
      </c>
      <c r="CO181">
        <v>0</v>
      </c>
      <c r="CP181" t="s">
        <v>347</v>
      </c>
      <c r="CQ181" t="s">
        <v>348</v>
      </c>
    </row>
    <row r="182" spans="1:95">
      <c r="A182" s="5">
        <v>46189</v>
      </c>
      <c r="B182" t="s">
        <v>1618</v>
      </c>
      <c r="C182" t="s">
        <v>1619</v>
      </c>
      <c r="D182" t="s">
        <v>1617</v>
      </c>
      <c r="E182" t="s">
        <v>2229</v>
      </c>
      <c r="F182" t="s">
        <v>337</v>
      </c>
      <c r="G182">
        <v>20</v>
      </c>
      <c r="H182">
        <v>0</v>
      </c>
      <c r="I182">
        <v>12</v>
      </c>
      <c r="J182">
        <v>9</v>
      </c>
      <c r="K182">
        <v>0</v>
      </c>
      <c r="L182">
        <v>0</v>
      </c>
      <c r="M182">
        <v>0</v>
      </c>
      <c r="N182">
        <v>0</v>
      </c>
      <c r="O182" t="s">
        <v>338</v>
      </c>
      <c r="P182">
        <v>0</v>
      </c>
      <c r="Q182">
        <v>1</v>
      </c>
      <c r="R182">
        <v>6</v>
      </c>
      <c r="S182">
        <v>14</v>
      </c>
      <c r="T182" t="s">
        <v>351</v>
      </c>
      <c r="U182">
        <v>89.99</v>
      </c>
      <c r="V182">
        <v>69.99</v>
      </c>
      <c r="W182">
        <v>69.99</v>
      </c>
      <c r="X182">
        <v>0</v>
      </c>
      <c r="Y182" t="s">
        <v>359</v>
      </c>
      <c r="AA182">
        <v>0</v>
      </c>
      <c r="AB182">
        <v>0</v>
      </c>
      <c r="AC182">
        <v>0</v>
      </c>
      <c r="AD182">
        <v>3742.38</v>
      </c>
      <c r="AE182">
        <v>0.78</v>
      </c>
      <c r="AF182">
        <v>1.136285</v>
      </c>
      <c r="AG182" t="s">
        <v>340</v>
      </c>
      <c r="AH182" t="s">
        <v>1733</v>
      </c>
      <c r="AI182">
        <v>22.7257</v>
      </c>
      <c r="AJ182" t="s">
        <v>342</v>
      </c>
      <c r="AK182" t="s">
        <v>1734</v>
      </c>
      <c r="AL182">
        <v>760704</v>
      </c>
      <c r="AM182">
        <v>216</v>
      </c>
      <c r="AN182">
        <v>28</v>
      </c>
      <c r="AO182">
        <v>116</v>
      </c>
      <c r="AP182">
        <v>26</v>
      </c>
      <c r="AQ182">
        <v>69.99</v>
      </c>
      <c r="AR182">
        <v>0</v>
      </c>
      <c r="AS182">
        <v>69.99</v>
      </c>
      <c r="AT182">
        <v>419.94</v>
      </c>
      <c r="AU182">
        <v>979.86</v>
      </c>
      <c r="AV182">
        <v>10</v>
      </c>
      <c r="AW182">
        <v>2</v>
      </c>
      <c r="AX182">
        <v>0</v>
      </c>
      <c r="AY182">
        <v>0</v>
      </c>
      <c r="AZ182">
        <v>0</v>
      </c>
      <c r="BA182">
        <v>15.75</v>
      </c>
      <c r="BB182">
        <v>9</v>
      </c>
      <c r="BC182">
        <v>0</v>
      </c>
      <c r="BD182">
        <v>9</v>
      </c>
      <c r="BE182">
        <v>0</v>
      </c>
      <c r="BG182">
        <v>0</v>
      </c>
      <c r="BH182">
        <v>0</v>
      </c>
      <c r="BY182">
        <v>454</v>
      </c>
      <c r="BZ182">
        <v>7</v>
      </c>
      <c r="CA182" t="s">
        <v>354</v>
      </c>
      <c r="CD182" s="5">
        <v>46188</v>
      </c>
      <c r="CE182" t="s">
        <v>345</v>
      </c>
      <c r="CF182" t="s">
        <v>346</v>
      </c>
      <c r="CG182">
        <v>454</v>
      </c>
      <c r="CH182">
        <v>95.1</v>
      </c>
      <c r="CI182" s="5">
        <v>46186</v>
      </c>
      <c r="CJ182">
        <v>29</v>
      </c>
      <c r="CK182">
        <v>0</v>
      </c>
      <c r="CL182">
        <v>0</v>
      </c>
      <c r="CM182">
        <v>0</v>
      </c>
      <c r="CN182">
        <v>0</v>
      </c>
      <c r="CO182">
        <v>216</v>
      </c>
      <c r="CP182" t="s">
        <v>347</v>
      </c>
      <c r="CQ182" t="s">
        <v>348</v>
      </c>
    </row>
    <row r="183" spans="1:95">
      <c r="A183" s="5">
        <v>46189</v>
      </c>
      <c r="B183" t="s">
        <v>1621</v>
      </c>
      <c r="C183" t="s">
        <v>1348</v>
      </c>
      <c r="D183" t="s">
        <v>1620</v>
      </c>
      <c r="E183" t="s">
        <v>1350</v>
      </c>
      <c r="G183">
        <v>68</v>
      </c>
      <c r="H183">
        <v>0</v>
      </c>
      <c r="I183">
        <v>1</v>
      </c>
      <c r="J183">
        <v>49</v>
      </c>
      <c r="K183">
        <v>18</v>
      </c>
      <c r="L183">
        <v>0</v>
      </c>
      <c r="M183">
        <v>0</v>
      </c>
      <c r="N183">
        <v>0</v>
      </c>
      <c r="O183" t="s">
        <v>338</v>
      </c>
      <c r="P183">
        <v>0</v>
      </c>
      <c r="Q183">
        <v>0</v>
      </c>
      <c r="R183">
        <v>0</v>
      </c>
      <c r="S183">
        <v>1</v>
      </c>
      <c r="U183">
        <v>0</v>
      </c>
      <c r="V183">
        <v>0</v>
      </c>
      <c r="W183">
        <v>0</v>
      </c>
      <c r="X183">
        <v>0</v>
      </c>
      <c r="Y183" t="s">
        <v>2230</v>
      </c>
      <c r="AB183">
        <v>0</v>
      </c>
      <c r="AC183">
        <v>0</v>
      </c>
      <c r="AE183">
        <v>0.01</v>
      </c>
      <c r="AF183">
        <v>0.173973</v>
      </c>
      <c r="AG183" t="s">
        <v>340</v>
      </c>
      <c r="AH183" t="s">
        <v>341</v>
      </c>
      <c r="AI183">
        <v>11.830164</v>
      </c>
      <c r="AJ183" t="s">
        <v>342</v>
      </c>
      <c r="AK183" t="s">
        <v>353</v>
      </c>
      <c r="AL183">
        <v>541684</v>
      </c>
      <c r="AM183">
        <v>366</v>
      </c>
      <c r="AN183">
        <v>0</v>
      </c>
      <c r="AP183">
        <v>884</v>
      </c>
      <c r="AQ183">
        <v>26.99</v>
      </c>
      <c r="AR183">
        <v>0</v>
      </c>
      <c r="AS183">
        <v>0</v>
      </c>
      <c r="AT183">
        <v>0</v>
      </c>
      <c r="AU183">
        <v>26.99</v>
      </c>
      <c r="AV183">
        <v>1</v>
      </c>
      <c r="AW183">
        <v>0</v>
      </c>
      <c r="AX183">
        <v>0</v>
      </c>
      <c r="AY183">
        <v>18</v>
      </c>
      <c r="AZ183">
        <v>0</v>
      </c>
      <c r="BB183">
        <v>0</v>
      </c>
      <c r="BC183">
        <v>0</v>
      </c>
      <c r="BD183">
        <v>0</v>
      </c>
      <c r="BE183">
        <v>0</v>
      </c>
      <c r="BG183">
        <v>0</v>
      </c>
      <c r="BH183">
        <v>2</v>
      </c>
      <c r="BI183">
        <v>18</v>
      </c>
      <c r="BJ183">
        <v>1.57</v>
      </c>
      <c r="BK183">
        <v>0</v>
      </c>
      <c r="BL183">
        <v>0</v>
      </c>
      <c r="BM183">
        <v>0</v>
      </c>
      <c r="BN183">
        <v>0</v>
      </c>
      <c r="BO183">
        <v>0</v>
      </c>
      <c r="BP183">
        <v>0</v>
      </c>
      <c r="BQ183">
        <v>0</v>
      </c>
      <c r="BR183">
        <v>0</v>
      </c>
      <c r="BS183">
        <v>0</v>
      </c>
      <c r="BT183">
        <v>0</v>
      </c>
      <c r="BU183">
        <v>0</v>
      </c>
      <c r="BV183">
        <v>0</v>
      </c>
      <c r="BW183">
        <v>0</v>
      </c>
      <c r="BX183">
        <v>0</v>
      </c>
      <c r="BZ183">
        <v>2</v>
      </c>
      <c r="CA183" t="s">
        <v>360</v>
      </c>
      <c r="CH183">
        <v>6135</v>
      </c>
      <c r="CI183" s="5">
        <v>46186</v>
      </c>
      <c r="CJ183">
        <v>68</v>
      </c>
      <c r="CK183">
        <v>0</v>
      </c>
      <c r="CL183">
        <v>0</v>
      </c>
      <c r="CM183">
        <v>0</v>
      </c>
      <c r="CN183">
        <v>0</v>
      </c>
      <c r="CO183">
        <v>366</v>
      </c>
      <c r="CP183" t="s">
        <v>347</v>
      </c>
      <c r="CQ183" t="s">
        <v>348</v>
      </c>
    </row>
    <row r="184" spans="1:95">
      <c r="A184" s="5">
        <v>46189</v>
      </c>
      <c r="B184" t="s">
        <v>2231</v>
      </c>
      <c r="C184" t="s">
        <v>2232</v>
      </c>
      <c r="D184" t="s">
        <v>2233</v>
      </c>
      <c r="E184" t="s">
        <v>2234</v>
      </c>
      <c r="G184">
        <v>0</v>
      </c>
      <c r="H184">
        <v>-1</v>
      </c>
      <c r="O184" t="s">
        <v>338</v>
      </c>
      <c r="U184">
        <v>0</v>
      </c>
      <c r="V184">
        <v>0</v>
      </c>
      <c r="W184">
        <v>0</v>
      </c>
      <c r="X184">
        <v>0</v>
      </c>
      <c r="Y184" t="s">
        <v>359</v>
      </c>
      <c r="AB184">
        <v>0</v>
      </c>
      <c r="AC184">
        <v>0</v>
      </c>
      <c r="AE184">
        <v>-1</v>
      </c>
      <c r="AH184" t="s">
        <v>341</v>
      </c>
      <c r="AJ184" t="s">
        <v>342</v>
      </c>
      <c r="AK184" t="s">
        <v>353</v>
      </c>
      <c r="AN184">
        <v>0</v>
      </c>
      <c r="AY184">
        <v>0</v>
      </c>
      <c r="BB184">
        <v>0</v>
      </c>
      <c r="BG184">
        <v>0</v>
      </c>
      <c r="BH184">
        <v>0</v>
      </c>
      <c r="CJ184">
        <v>0</v>
      </c>
      <c r="CK184">
        <v>0</v>
      </c>
      <c r="CL184">
        <v>0</v>
      </c>
      <c r="CM184">
        <v>0</v>
      </c>
      <c r="CN184">
        <v>0</v>
      </c>
      <c r="CP184" t="s">
        <v>347</v>
      </c>
      <c r="CQ184" t="s">
        <v>348</v>
      </c>
    </row>
    <row r="185" spans="1:95">
      <c r="A185" s="5">
        <v>46189</v>
      </c>
      <c r="B185" t="s">
        <v>2235</v>
      </c>
      <c r="C185" t="s">
        <v>118</v>
      </c>
      <c r="D185" t="s">
        <v>2236</v>
      </c>
      <c r="E185" t="s">
        <v>2237</v>
      </c>
      <c r="F185" t="s">
        <v>337</v>
      </c>
      <c r="G185">
        <v>30</v>
      </c>
      <c r="H185">
        <v>0</v>
      </c>
      <c r="I185">
        <v>30</v>
      </c>
      <c r="J185">
        <v>0</v>
      </c>
      <c r="K185">
        <v>0</v>
      </c>
      <c r="L185">
        <v>0</v>
      </c>
      <c r="M185">
        <v>0</v>
      </c>
      <c r="N185">
        <v>0</v>
      </c>
      <c r="O185" t="s">
        <v>338</v>
      </c>
      <c r="P185">
        <v>0</v>
      </c>
      <c r="Q185">
        <v>2</v>
      </c>
      <c r="R185">
        <v>3</v>
      </c>
      <c r="S185">
        <v>3</v>
      </c>
      <c r="T185" t="s">
        <v>351</v>
      </c>
      <c r="U185">
        <v>37.99</v>
      </c>
      <c r="V185">
        <v>0</v>
      </c>
      <c r="W185">
        <v>20.89</v>
      </c>
      <c r="X185">
        <v>0</v>
      </c>
      <c r="Y185" t="s">
        <v>391</v>
      </c>
      <c r="AA185">
        <v>0</v>
      </c>
      <c r="AB185">
        <v>0</v>
      </c>
      <c r="AC185">
        <v>0</v>
      </c>
      <c r="AD185">
        <v>679.1</v>
      </c>
      <c r="AE185">
        <v>0.16</v>
      </c>
      <c r="AF185">
        <v>0.068547</v>
      </c>
      <c r="AG185" t="s">
        <v>340</v>
      </c>
      <c r="AH185" t="s">
        <v>341</v>
      </c>
      <c r="AI185">
        <v>2.05641</v>
      </c>
      <c r="AJ185" t="s">
        <v>342</v>
      </c>
      <c r="AK185" t="s">
        <v>343</v>
      </c>
      <c r="AL185">
        <v>495700</v>
      </c>
      <c r="AM185">
        <v>236</v>
      </c>
      <c r="AN185">
        <v>0</v>
      </c>
      <c r="AO185">
        <v>60</v>
      </c>
      <c r="AP185">
        <v>130</v>
      </c>
      <c r="AQ185">
        <v>20.89</v>
      </c>
      <c r="AR185">
        <v>0</v>
      </c>
      <c r="AS185">
        <v>41.78</v>
      </c>
      <c r="AT185">
        <v>63.77</v>
      </c>
      <c r="AU185">
        <v>63.77</v>
      </c>
      <c r="AV185">
        <v>0</v>
      </c>
      <c r="AW185">
        <v>23</v>
      </c>
      <c r="AX185">
        <v>7</v>
      </c>
      <c r="AY185">
        <v>0</v>
      </c>
      <c r="AZ185">
        <v>0</v>
      </c>
      <c r="BA185">
        <v>1.47</v>
      </c>
      <c r="BB185">
        <v>0</v>
      </c>
      <c r="BC185">
        <v>0</v>
      </c>
      <c r="BD185">
        <v>0</v>
      </c>
      <c r="BE185">
        <v>0</v>
      </c>
      <c r="BG185">
        <v>0</v>
      </c>
      <c r="BH185">
        <v>0</v>
      </c>
      <c r="BY185">
        <v>544</v>
      </c>
      <c r="BZ185">
        <v>11</v>
      </c>
      <c r="CA185" t="s">
        <v>360</v>
      </c>
      <c r="CD185" s="5">
        <v>46188</v>
      </c>
      <c r="CE185" t="s">
        <v>345</v>
      </c>
      <c r="CF185" t="s">
        <v>346</v>
      </c>
      <c r="CG185">
        <v>313</v>
      </c>
      <c r="CH185">
        <v>544</v>
      </c>
      <c r="CI185" s="5">
        <v>46186</v>
      </c>
      <c r="CJ185">
        <v>30</v>
      </c>
      <c r="CK185">
        <v>0</v>
      </c>
      <c r="CL185">
        <v>0</v>
      </c>
      <c r="CM185">
        <v>0</v>
      </c>
      <c r="CN185">
        <v>0</v>
      </c>
      <c r="CO185">
        <v>236</v>
      </c>
      <c r="CP185" t="s">
        <v>347</v>
      </c>
      <c r="CQ185" t="s">
        <v>348</v>
      </c>
    </row>
    <row r="186" spans="1:95">
      <c r="A186" s="5">
        <v>46189</v>
      </c>
      <c r="B186" t="s">
        <v>2238</v>
      </c>
      <c r="C186" t="s">
        <v>2239</v>
      </c>
      <c r="D186" t="s">
        <v>2240</v>
      </c>
      <c r="E186" t="s">
        <v>2241</v>
      </c>
      <c r="G186">
        <v>0</v>
      </c>
      <c r="H186">
        <v>-1</v>
      </c>
      <c r="O186" t="s">
        <v>338</v>
      </c>
      <c r="U186">
        <v>0</v>
      </c>
      <c r="V186">
        <v>0</v>
      </c>
      <c r="W186">
        <v>0</v>
      </c>
      <c r="X186">
        <v>0</v>
      </c>
      <c r="Y186" t="s">
        <v>359</v>
      </c>
      <c r="AB186">
        <v>0</v>
      </c>
      <c r="AC186">
        <v>0</v>
      </c>
      <c r="AE186">
        <v>-1</v>
      </c>
      <c r="AH186" t="s">
        <v>341</v>
      </c>
      <c r="AJ186" t="s">
        <v>342</v>
      </c>
      <c r="AK186" t="s">
        <v>353</v>
      </c>
      <c r="AN186">
        <v>0</v>
      </c>
      <c r="AY186">
        <v>0</v>
      </c>
      <c r="BB186">
        <v>0</v>
      </c>
      <c r="BG186">
        <v>0</v>
      </c>
      <c r="BH186">
        <v>0</v>
      </c>
      <c r="CJ186">
        <v>0</v>
      </c>
      <c r="CK186">
        <v>0</v>
      </c>
      <c r="CL186">
        <v>0</v>
      </c>
      <c r="CM186">
        <v>0</v>
      </c>
      <c r="CN186">
        <v>0</v>
      </c>
      <c r="CP186" t="s">
        <v>347</v>
      </c>
      <c r="CQ186" t="s">
        <v>348</v>
      </c>
    </row>
    <row r="187" spans="1:95">
      <c r="A187" s="5">
        <v>46189</v>
      </c>
      <c r="B187" t="s">
        <v>1623</v>
      </c>
      <c r="C187" t="s">
        <v>1624</v>
      </c>
      <c r="D187" t="s">
        <v>1622</v>
      </c>
      <c r="E187" t="s">
        <v>2242</v>
      </c>
      <c r="F187" t="s">
        <v>337</v>
      </c>
      <c r="G187">
        <v>18</v>
      </c>
      <c r="H187">
        <v>0</v>
      </c>
      <c r="I187">
        <v>0</v>
      </c>
      <c r="J187">
        <v>0</v>
      </c>
      <c r="K187">
        <v>0</v>
      </c>
      <c r="L187">
        <v>18</v>
      </c>
      <c r="M187">
        <v>0</v>
      </c>
      <c r="N187">
        <v>0</v>
      </c>
      <c r="O187" t="s">
        <v>338</v>
      </c>
      <c r="P187">
        <v>0</v>
      </c>
      <c r="Q187">
        <v>1</v>
      </c>
      <c r="R187">
        <v>1</v>
      </c>
      <c r="S187">
        <v>1</v>
      </c>
      <c r="T187" t="s">
        <v>351</v>
      </c>
      <c r="U187">
        <v>38.99</v>
      </c>
      <c r="V187">
        <v>27.99</v>
      </c>
      <c r="W187">
        <v>27.99</v>
      </c>
      <c r="X187">
        <v>0</v>
      </c>
      <c r="Y187" t="s">
        <v>613</v>
      </c>
      <c r="AA187">
        <v>0</v>
      </c>
      <c r="AB187">
        <v>0</v>
      </c>
      <c r="AC187">
        <v>0</v>
      </c>
      <c r="AD187">
        <v>638.74</v>
      </c>
      <c r="AE187">
        <v>0.04</v>
      </c>
      <c r="AF187">
        <v>0.12963</v>
      </c>
      <c r="AG187" t="s">
        <v>340</v>
      </c>
      <c r="AH187" t="s">
        <v>341</v>
      </c>
      <c r="AI187">
        <v>2.33334</v>
      </c>
      <c r="AJ187" t="s">
        <v>342</v>
      </c>
      <c r="AK187" t="s">
        <v>353</v>
      </c>
      <c r="AL187">
        <v>845360</v>
      </c>
      <c r="AM187">
        <v>316</v>
      </c>
      <c r="AN187">
        <v>18</v>
      </c>
      <c r="AO187">
        <v>72</v>
      </c>
      <c r="AP187">
        <v>234</v>
      </c>
      <c r="AQ187">
        <v>27.99</v>
      </c>
      <c r="AR187">
        <v>0</v>
      </c>
      <c r="AS187">
        <v>27.99</v>
      </c>
      <c r="AT187">
        <v>27.99</v>
      </c>
      <c r="AU187">
        <v>27.99</v>
      </c>
      <c r="AV187">
        <v>0</v>
      </c>
      <c r="AW187">
        <v>0</v>
      </c>
      <c r="AX187">
        <v>0</v>
      </c>
      <c r="AY187">
        <v>18</v>
      </c>
      <c r="AZ187">
        <v>0</v>
      </c>
      <c r="BA187">
        <v>14.84</v>
      </c>
      <c r="BB187">
        <v>0</v>
      </c>
      <c r="BC187">
        <v>0</v>
      </c>
      <c r="BD187">
        <v>0</v>
      </c>
      <c r="BE187">
        <v>0</v>
      </c>
      <c r="BG187">
        <v>5</v>
      </c>
      <c r="BH187">
        <v>0</v>
      </c>
      <c r="BI187">
        <v>0</v>
      </c>
      <c r="BJ187">
        <v>0</v>
      </c>
      <c r="BK187">
        <v>0</v>
      </c>
      <c r="BL187">
        <v>0</v>
      </c>
      <c r="BM187">
        <v>0</v>
      </c>
      <c r="BN187">
        <v>0</v>
      </c>
      <c r="BO187">
        <v>18</v>
      </c>
      <c r="BP187">
        <v>12.72</v>
      </c>
      <c r="BQ187">
        <v>0</v>
      </c>
      <c r="BR187">
        <v>0</v>
      </c>
      <c r="BS187">
        <v>0</v>
      </c>
      <c r="BT187">
        <v>0</v>
      </c>
      <c r="BU187">
        <v>0</v>
      </c>
      <c r="BV187">
        <v>0</v>
      </c>
      <c r="BW187">
        <v>0</v>
      </c>
      <c r="BX187">
        <v>0</v>
      </c>
      <c r="BY187">
        <v>2129</v>
      </c>
      <c r="BZ187">
        <v>3</v>
      </c>
      <c r="CA187" t="s">
        <v>354</v>
      </c>
      <c r="CD187" s="5">
        <v>46188</v>
      </c>
      <c r="CE187" t="s">
        <v>345</v>
      </c>
      <c r="CF187" t="s">
        <v>346</v>
      </c>
      <c r="CG187">
        <v>689</v>
      </c>
      <c r="CH187">
        <v>2129</v>
      </c>
      <c r="CI187" s="5">
        <v>46186</v>
      </c>
      <c r="CJ187">
        <v>18</v>
      </c>
      <c r="CK187">
        <v>0</v>
      </c>
      <c r="CL187">
        <v>5</v>
      </c>
      <c r="CM187">
        <v>0</v>
      </c>
      <c r="CN187">
        <v>0</v>
      </c>
      <c r="CO187">
        <v>366</v>
      </c>
      <c r="CP187" t="s">
        <v>347</v>
      </c>
      <c r="CQ187" t="s">
        <v>348</v>
      </c>
    </row>
    <row r="188" spans="1:95">
      <c r="A188" s="5">
        <v>46189</v>
      </c>
      <c r="B188" t="s">
        <v>2243</v>
      </c>
      <c r="C188" t="s">
        <v>2244</v>
      </c>
      <c r="D188" t="s">
        <v>2245</v>
      </c>
      <c r="E188" t="s">
        <v>2246</v>
      </c>
      <c r="G188">
        <v>0</v>
      </c>
      <c r="H188">
        <v>-1</v>
      </c>
      <c r="O188" t="s">
        <v>338</v>
      </c>
      <c r="P188">
        <v>0</v>
      </c>
      <c r="Q188">
        <v>2</v>
      </c>
      <c r="R188">
        <v>9</v>
      </c>
      <c r="S188">
        <v>10</v>
      </c>
      <c r="U188">
        <v>0</v>
      </c>
      <c r="V188">
        <v>0</v>
      </c>
      <c r="W188">
        <v>0</v>
      </c>
      <c r="X188">
        <v>0</v>
      </c>
      <c r="Y188" t="s">
        <v>464</v>
      </c>
      <c r="AB188">
        <v>0</v>
      </c>
      <c r="AC188">
        <v>0</v>
      </c>
      <c r="AE188">
        <v>-1</v>
      </c>
      <c r="AH188" t="s">
        <v>341</v>
      </c>
      <c r="AJ188" t="s">
        <v>342</v>
      </c>
      <c r="AK188" t="s">
        <v>353</v>
      </c>
      <c r="AL188">
        <v>244622</v>
      </c>
      <c r="AM188">
        <v>0</v>
      </c>
      <c r="AN188">
        <v>0</v>
      </c>
      <c r="AO188">
        <v>0</v>
      </c>
      <c r="AP188">
        <v>0</v>
      </c>
      <c r="AQ188">
        <v>9.99</v>
      </c>
      <c r="AR188">
        <v>0</v>
      </c>
      <c r="AS188">
        <v>19.98</v>
      </c>
      <c r="AT188">
        <v>89.91</v>
      </c>
      <c r="AU188">
        <v>101.53</v>
      </c>
      <c r="AY188">
        <v>0</v>
      </c>
      <c r="BB188">
        <v>0</v>
      </c>
      <c r="BC188">
        <v>0</v>
      </c>
      <c r="BD188">
        <v>0</v>
      </c>
      <c r="BE188">
        <v>0</v>
      </c>
      <c r="BG188">
        <v>0</v>
      </c>
      <c r="BH188">
        <v>0</v>
      </c>
      <c r="BY188">
        <v>48.8</v>
      </c>
      <c r="BZ188">
        <v>7</v>
      </c>
      <c r="CA188" t="s">
        <v>429</v>
      </c>
      <c r="CB188">
        <v>12</v>
      </c>
      <c r="CC188" s="5">
        <v>46186</v>
      </c>
      <c r="CD188" s="5">
        <v>46188</v>
      </c>
      <c r="CE188" t="s">
        <v>345</v>
      </c>
      <c r="CF188" t="s">
        <v>346</v>
      </c>
      <c r="CG188">
        <v>9.5</v>
      </c>
      <c r="CH188">
        <v>48.8</v>
      </c>
      <c r="CJ188">
        <v>0</v>
      </c>
      <c r="CK188">
        <v>0</v>
      </c>
      <c r="CL188">
        <v>0</v>
      </c>
      <c r="CM188">
        <v>0</v>
      </c>
      <c r="CN188">
        <v>0</v>
      </c>
      <c r="CO188">
        <v>0</v>
      </c>
      <c r="CP188" t="s">
        <v>347</v>
      </c>
      <c r="CQ188" t="s">
        <v>348</v>
      </c>
    </row>
    <row r="189" spans="1:95">
      <c r="A189" s="5">
        <v>46189</v>
      </c>
      <c r="B189" t="s">
        <v>1627</v>
      </c>
      <c r="C189" t="s">
        <v>1628</v>
      </c>
      <c r="D189" t="s">
        <v>1626</v>
      </c>
      <c r="E189" t="s">
        <v>2247</v>
      </c>
      <c r="F189" t="s">
        <v>337</v>
      </c>
      <c r="G189">
        <v>39</v>
      </c>
      <c r="H189">
        <v>0</v>
      </c>
      <c r="I189">
        <v>0</v>
      </c>
      <c r="J189">
        <v>39</v>
      </c>
      <c r="K189">
        <v>0</v>
      </c>
      <c r="L189">
        <v>0</v>
      </c>
      <c r="M189">
        <v>0</v>
      </c>
      <c r="N189">
        <v>0</v>
      </c>
      <c r="O189" t="s">
        <v>338</v>
      </c>
      <c r="P189">
        <v>0</v>
      </c>
      <c r="Q189">
        <v>0</v>
      </c>
      <c r="R189">
        <v>5</v>
      </c>
      <c r="S189">
        <v>10</v>
      </c>
      <c r="T189" t="s">
        <v>351</v>
      </c>
      <c r="U189">
        <v>36.99</v>
      </c>
      <c r="V189">
        <v>29.99</v>
      </c>
      <c r="W189">
        <v>29.99</v>
      </c>
      <c r="X189">
        <v>0</v>
      </c>
      <c r="Y189" t="s">
        <v>359</v>
      </c>
      <c r="AA189">
        <v>26.99</v>
      </c>
      <c r="AB189">
        <v>10</v>
      </c>
      <c r="AC189">
        <v>0</v>
      </c>
      <c r="AD189">
        <v>760.81</v>
      </c>
      <c r="AE189">
        <v>0.23</v>
      </c>
      <c r="AF189">
        <v>0.186875</v>
      </c>
      <c r="AG189" t="s">
        <v>340</v>
      </c>
      <c r="AH189" t="s">
        <v>341</v>
      </c>
      <c r="AI189">
        <v>7.288125</v>
      </c>
      <c r="AJ189" t="s">
        <v>342</v>
      </c>
      <c r="AK189" t="s">
        <v>353</v>
      </c>
      <c r="AL189">
        <v>548923</v>
      </c>
      <c r="AM189">
        <v>196</v>
      </c>
      <c r="AN189">
        <v>31</v>
      </c>
      <c r="AP189">
        <v>50</v>
      </c>
      <c r="AQ189">
        <v>28.49</v>
      </c>
      <c r="AR189">
        <v>0</v>
      </c>
      <c r="AS189">
        <v>0</v>
      </c>
      <c r="AT189">
        <v>142.45</v>
      </c>
      <c r="AU189">
        <v>290.15</v>
      </c>
      <c r="AV189">
        <v>0</v>
      </c>
      <c r="AW189">
        <v>0</v>
      </c>
      <c r="AX189">
        <v>0</v>
      </c>
      <c r="AY189">
        <v>0</v>
      </c>
      <c r="AZ189">
        <v>0</v>
      </c>
      <c r="BA189">
        <v>5.03</v>
      </c>
      <c r="BB189">
        <v>0</v>
      </c>
      <c r="BC189">
        <v>0</v>
      </c>
      <c r="BD189">
        <v>0</v>
      </c>
      <c r="BE189">
        <v>0</v>
      </c>
      <c r="BG189">
        <v>0</v>
      </c>
      <c r="BH189">
        <v>1</v>
      </c>
      <c r="BY189">
        <v>1171</v>
      </c>
      <c r="BZ189">
        <v>6</v>
      </c>
      <c r="CA189" t="s">
        <v>354</v>
      </c>
      <c r="CD189" s="5">
        <v>46188</v>
      </c>
      <c r="CE189" t="s">
        <v>345</v>
      </c>
      <c r="CF189" t="s">
        <v>346</v>
      </c>
      <c r="CG189">
        <v>1171</v>
      </c>
      <c r="CH189">
        <v>387.1</v>
      </c>
      <c r="CI189" s="5">
        <v>46186</v>
      </c>
      <c r="CJ189">
        <v>39</v>
      </c>
      <c r="CK189">
        <v>0</v>
      </c>
      <c r="CL189">
        <v>0</v>
      </c>
      <c r="CM189">
        <v>0</v>
      </c>
      <c r="CN189">
        <v>0</v>
      </c>
      <c r="CO189">
        <v>196</v>
      </c>
      <c r="CP189" t="s">
        <v>347</v>
      </c>
      <c r="CQ189" t="s">
        <v>348</v>
      </c>
    </row>
    <row r="190" spans="1:95">
      <c r="A190" s="5">
        <v>46189</v>
      </c>
      <c r="B190" t="s">
        <v>2248</v>
      </c>
      <c r="C190" t="s">
        <v>2249</v>
      </c>
      <c r="D190" t="s">
        <v>2250</v>
      </c>
      <c r="E190" t="s">
        <v>2022</v>
      </c>
      <c r="G190">
        <v>0</v>
      </c>
      <c r="H190">
        <v>-1</v>
      </c>
      <c r="O190" t="s">
        <v>338</v>
      </c>
      <c r="U190">
        <v>0</v>
      </c>
      <c r="V190">
        <v>0</v>
      </c>
      <c r="W190">
        <v>0</v>
      </c>
      <c r="X190">
        <v>0</v>
      </c>
      <c r="Y190" t="s">
        <v>359</v>
      </c>
      <c r="AB190">
        <v>0</v>
      </c>
      <c r="AC190">
        <v>0</v>
      </c>
      <c r="AE190">
        <v>-1</v>
      </c>
      <c r="AH190" t="s">
        <v>341</v>
      </c>
      <c r="AJ190" t="s">
        <v>342</v>
      </c>
      <c r="AK190" t="s">
        <v>353</v>
      </c>
      <c r="AN190">
        <v>0</v>
      </c>
      <c r="AY190">
        <v>0</v>
      </c>
      <c r="BB190">
        <v>0</v>
      </c>
      <c r="BC190">
        <v>0</v>
      </c>
      <c r="BD190">
        <v>0</v>
      </c>
      <c r="BE190">
        <v>0</v>
      </c>
      <c r="BG190">
        <v>0</v>
      </c>
      <c r="BH190">
        <v>0</v>
      </c>
      <c r="CJ190">
        <v>0</v>
      </c>
      <c r="CK190">
        <v>0</v>
      </c>
      <c r="CL190">
        <v>0</v>
      </c>
      <c r="CM190">
        <v>0</v>
      </c>
      <c r="CN190">
        <v>0</v>
      </c>
      <c r="CP190" t="s">
        <v>347</v>
      </c>
      <c r="CQ190" t="s">
        <v>348</v>
      </c>
    </row>
    <row r="191" spans="1:95">
      <c r="A191" s="5">
        <v>46189</v>
      </c>
      <c r="B191" t="s">
        <v>2251</v>
      </c>
      <c r="C191" t="s">
        <v>2252</v>
      </c>
      <c r="D191" t="s">
        <v>2253</v>
      </c>
      <c r="E191" t="s">
        <v>2254</v>
      </c>
      <c r="G191">
        <v>0</v>
      </c>
      <c r="H191">
        <v>-1</v>
      </c>
      <c r="O191" t="s">
        <v>338</v>
      </c>
      <c r="U191">
        <v>0</v>
      </c>
      <c r="V191">
        <v>0</v>
      </c>
      <c r="W191">
        <v>0</v>
      </c>
      <c r="X191">
        <v>0</v>
      </c>
      <c r="Y191" t="s">
        <v>359</v>
      </c>
      <c r="AB191">
        <v>0</v>
      </c>
      <c r="AC191">
        <v>0</v>
      </c>
      <c r="AE191">
        <v>-1</v>
      </c>
      <c r="AH191" t="s">
        <v>424</v>
      </c>
      <c r="AJ191" t="s">
        <v>342</v>
      </c>
      <c r="AK191" t="s">
        <v>353</v>
      </c>
      <c r="AN191">
        <v>0</v>
      </c>
      <c r="AY191">
        <v>0</v>
      </c>
      <c r="BB191">
        <v>0</v>
      </c>
      <c r="BG191">
        <v>0</v>
      </c>
      <c r="BH191">
        <v>0</v>
      </c>
      <c r="CJ191">
        <v>0</v>
      </c>
      <c r="CK191">
        <v>0</v>
      </c>
      <c r="CL191">
        <v>0</v>
      </c>
      <c r="CM191">
        <v>0</v>
      </c>
      <c r="CN191">
        <v>0</v>
      </c>
      <c r="CP191" t="s">
        <v>347</v>
      </c>
      <c r="CQ191" t="s">
        <v>348</v>
      </c>
    </row>
    <row r="192" spans="1:95">
      <c r="A192" s="5">
        <v>46189</v>
      </c>
      <c r="B192" t="s">
        <v>1631</v>
      </c>
      <c r="C192" t="s">
        <v>1632</v>
      </c>
      <c r="D192" t="s">
        <v>1630</v>
      </c>
      <c r="E192" t="s">
        <v>2255</v>
      </c>
      <c r="F192" t="s">
        <v>337</v>
      </c>
      <c r="G192">
        <v>30</v>
      </c>
      <c r="H192">
        <v>0</v>
      </c>
      <c r="I192">
        <v>1</v>
      </c>
      <c r="J192">
        <v>29</v>
      </c>
      <c r="K192">
        <v>0</v>
      </c>
      <c r="L192">
        <v>0</v>
      </c>
      <c r="M192">
        <v>0</v>
      </c>
      <c r="N192">
        <v>0</v>
      </c>
      <c r="O192" t="s">
        <v>338</v>
      </c>
      <c r="P192">
        <v>0</v>
      </c>
      <c r="Q192">
        <v>0</v>
      </c>
      <c r="R192">
        <v>3</v>
      </c>
      <c r="S192">
        <v>9</v>
      </c>
      <c r="T192" t="s">
        <v>351</v>
      </c>
      <c r="U192">
        <v>34.99</v>
      </c>
      <c r="V192">
        <v>26.99</v>
      </c>
      <c r="W192">
        <v>26.99</v>
      </c>
      <c r="X192">
        <v>0</v>
      </c>
      <c r="Y192" t="s">
        <v>359</v>
      </c>
      <c r="AA192">
        <v>0</v>
      </c>
      <c r="AB192">
        <v>0</v>
      </c>
      <c r="AC192">
        <v>0</v>
      </c>
      <c r="AD192">
        <v>95.92</v>
      </c>
      <c r="AE192">
        <v>0.27</v>
      </c>
      <c r="AF192">
        <v>0.171008</v>
      </c>
      <c r="AG192" t="s">
        <v>340</v>
      </c>
      <c r="AH192" t="s">
        <v>341</v>
      </c>
      <c r="AI192">
        <v>5.13024</v>
      </c>
      <c r="AJ192" t="s">
        <v>342</v>
      </c>
      <c r="AK192" t="s">
        <v>353</v>
      </c>
      <c r="AL192">
        <v>599563</v>
      </c>
      <c r="AM192">
        <v>174</v>
      </c>
      <c r="AN192">
        <v>1</v>
      </c>
      <c r="AP192">
        <v>43</v>
      </c>
      <c r="AQ192">
        <v>26.99</v>
      </c>
      <c r="AR192">
        <v>0</v>
      </c>
      <c r="AS192">
        <v>0</v>
      </c>
      <c r="AT192">
        <v>76.07</v>
      </c>
      <c r="AU192">
        <v>238.01</v>
      </c>
      <c r="AV192">
        <v>0</v>
      </c>
      <c r="AW192">
        <v>1</v>
      </c>
      <c r="AX192">
        <v>0</v>
      </c>
      <c r="AY192">
        <v>0</v>
      </c>
      <c r="AZ192">
        <v>0</v>
      </c>
      <c r="BA192">
        <v>3.65</v>
      </c>
      <c r="BB192">
        <v>0</v>
      </c>
      <c r="BC192">
        <v>0</v>
      </c>
      <c r="BD192">
        <v>0</v>
      </c>
      <c r="BE192">
        <v>0</v>
      </c>
      <c r="BG192">
        <v>0</v>
      </c>
      <c r="BH192">
        <v>1</v>
      </c>
      <c r="BZ192">
        <v>6</v>
      </c>
      <c r="CA192" t="s">
        <v>354</v>
      </c>
      <c r="CH192">
        <v>327.4</v>
      </c>
      <c r="CI192" s="5">
        <v>46186</v>
      </c>
      <c r="CJ192">
        <v>30</v>
      </c>
      <c r="CK192">
        <v>0</v>
      </c>
      <c r="CL192">
        <v>0</v>
      </c>
      <c r="CM192">
        <v>0</v>
      </c>
      <c r="CN192">
        <v>0</v>
      </c>
      <c r="CO192">
        <v>174</v>
      </c>
      <c r="CP192" t="s">
        <v>347</v>
      </c>
      <c r="CQ192" t="s">
        <v>348</v>
      </c>
    </row>
    <row r="193" spans="1:95">
      <c r="A193" s="5">
        <v>46189</v>
      </c>
      <c r="B193" t="s">
        <v>2256</v>
      </c>
      <c r="C193" t="s">
        <v>1536</v>
      </c>
      <c r="D193" t="s">
        <v>2257</v>
      </c>
      <c r="E193" t="s">
        <v>1766</v>
      </c>
      <c r="G193">
        <v>0</v>
      </c>
      <c r="H193">
        <v>-1</v>
      </c>
      <c r="O193" t="s">
        <v>338</v>
      </c>
      <c r="U193">
        <v>0</v>
      </c>
      <c r="V193">
        <v>0</v>
      </c>
      <c r="W193">
        <v>0</v>
      </c>
      <c r="X193">
        <v>0</v>
      </c>
      <c r="Y193" t="s">
        <v>359</v>
      </c>
      <c r="AB193">
        <v>0</v>
      </c>
      <c r="AC193">
        <v>0</v>
      </c>
      <c r="AE193">
        <v>-1</v>
      </c>
      <c r="AH193" t="s">
        <v>341</v>
      </c>
      <c r="AJ193" t="s">
        <v>342</v>
      </c>
      <c r="AK193" t="s">
        <v>353</v>
      </c>
      <c r="AL193">
        <v>420629</v>
      </c>
      <c r="AM193">
        <v>0</v>
      </c>
      <c r="AN193">
        <v>0</v>
      </c>
      <c r="AQ193">
        <v>31.99</v>
      </c>
      <c r="AY193">
        <v>0</v>
      </c>
      <c r="BB193">
        <v>0</v>
      </c>
      <c r="BG193">
        <v>0</v>
      </c>
      <c r="BH193">
        <v>0</v>
      </c>
      <c r="CB193">
        <v>5</v>
      </c>
      <c r="CC193" s="5">
        <v>46186</v>
      </c>
      <c r="CJ193">
        <v>0</v>
      </c>
      <c r="CK193">
        <v>0</v>
      </c>
      <c r="CL193">
        <v>0</v>
      </c>
      <c r="CM193">
        <v>0</v>
      </c>
      <c r="CN193">
        <v>0</v>
      </c>
      <c r="CO193">
        <v>0</v>
      </c>
      <c r="CP193" t="s">
        <v>347</v>
      </c>
      <c r="CQ193" t="s">
        <v>348</v>
      </c>
    </row>
    <row r="194" spans="1:95">
      <c r="A194" s="5">
        <v>46189</v>
      </c>
      <c r="B194" t="s">
        <v>2258</v>
      </c>
      <c r="C194" t="s">
        <v>174</v>
      </c>
      <c r="D194" t="s">
        <v>2259</v>
      </c>
      <c r="E194" t="s">
        <v>854</v>
      </c>
      <c r="G194">
        <v>0</v>
      </c>
      <c r="H194">
        <v>-1</v>
      </c>
      <c r="O194" t="s">
        <v>338</v>
      </c>
      <c r="U194">
        <v>0</v>
      </c>
      <c r="V194">
        <v>0</v>
      </c>
      <c r="W194">
        <v>0</v>
      </c>
      <c r="X194">
        <v>0</v>
      </c>
      <c r="Y194" t="s">
        <v>359</v>
      </c>
      <c r="AB194">
        <v>0</v>
      </c>
      <c r="AC194">
        <v>0</v>
      </c>
      <c r="AE194">
        <v>-1</v>
      </c>
      <c r="AH194" t="s">
        <v>341</v>
      </c>
      <c r="AJ194" t="s">
        <v>342</v>
      </c>
      <c r="AK194" t="s">
        <v>353</v>
      </c>
      <c r="AL194">
        <v>9437</v>
      </c>
      <c r="AN194">
        <v>0</v>
      </c>
      <c r="AQ194">
        <v>20.89</v>
      </c>
      <c r="AY194">
        <v>0</v>
      </c>
      <c r="BB194">
        <v>0</v>
      </c>
      <c r="BC194">
        <v>0</v>
      </c>
      <c r="BD194">
        <v>0</v>
      </c>
      <c r="BE194">
        <v>0</v>
      </c>
      <c r="BG194">
        <v>0</v>
      </c>
      <c r="BH194">
        <v>0</v>
      </c>
      <c r="CJ194">
        <v>0</v>
      </c>
      <c r="CK194">
        <v>0</v>
      </c>
      <c r="CL194">
        <v>0</v>
      </c>
      <c r="CM194">
        <v>0</v>
      </c>
      <c r="CN194">
        <v>0</v>
      </c>
      <c r="CP194" t="s">
        <v>347</v>
      </c>
      <c r="CQ194" t="s">
        <v>348</v>
      </c>
    </row>
    <row r="195" spans="1:95">
      <c r="A195" s="5">
        <v>46189</v>
      </c>
      <c r="B195" t="s">
        <v>2260</v>
      </c>
      <c r="C195" t="s">
        <v>77</v>
      </c>
      <c r="D195" t="s">
        <v>87</v>
      </c>
      <c r="E195" t="s">
        <v>2261</v>
      </c>
      <c r="F195" t="s">
        <v>337</v>
      </c>
      <c r="G195">
        <v>61</v>
      </c>
      <c r="H195">
        <v>0</v>
      </c>
      <c r="I195">
        <v>73</v>
      </c>
      <c r="J195">
        <v>0</v>
      </c>
      <c r="K195">
        <v>0</v>
      </c>
      <c r="L195">
        <v>0</v>
      </c>
      <c r="M195">
        <v>0</v>
      </c>
      <c r="N195">
        <v>0</v>
      </c>
      <c r="O195" t="s">
        <v>338</v>
      </c>
      <c r="P195">
        <v>0</v>
      </c>
      <c r="Q195">
        <v>2</v>
      </c>
      <c r="R195">
        <v>16</v>
      </c>
      <c r="S195">
        <v>21</v>
      </c>
      <c r="T195" t="s">
        <v>351</v>
      </c>
      <c r="U195">
        <v>39.99</v>
      </c>
      <c r="V195">
        <v>29.99</v>
      </c>
      <c r="W195">
        <v>29.99</v>
      </c>
      <c r="X195">
        <v>0</v>
      </c>
      <c r="Y195" t="s">
        <v>359</v>
      </c>
      <c r="AA195">
        <v>0</v>
      </c>
      <c r="AB195">
        <v>0</v>
      </c>
      <c r="AC195">
        <v>0</v>
      </c>
      <c r="AD195">
        <v>35.74</v>
      </c>
      <c r="AE195">
        <v>0.44</v>
      </c>
      <c r="AF195">
        <v>0.328223</v>
      </c>
      <c r="AG195" t="s">
        <v>340</v>
      </c>
      <c r="AH195" t="s">
        <v>341</v>
      </c>
      <c r="AI195">
        <v>20.021603</v>
      </c>
      <c r="AJ195" t="s">
        <v>342</v>
      </c>
      <c r="AK195" t="s">
        <v>353</v>
      </c>
      <c r="AL195">
        <v>492835</v>
      </c>
      <c r="AM195">
        <v>220</v>
      </c>
      <c r="AN195">
        <v>0</v>
      </c>
      <c r="AO195">
        <v>122</v>
      </c>
      <c r="AP195">
        <v>37</v>
      </c>
      <c r="AQ195">
        <v>28.49</v>
      </c>
      <c r="AR195">
        <v>0</v>
      </c>
      <c r="AS195">
        <v>56.98</v>
      </c>
      <c r="AT195">
        <v>469.34</v>
      </c>
      <c r="AU195">
        <v>619.29</v>
      </c>
      <c r="AV195">
        <v>12</v>
      </c>
      <c r="AW195">
        <v>36</v>
      </c>
      <c r="AX195">
        <v>25</v>
      </c>
      <c r="AY195">
        <v>0</v>
      </c>
      <c r="AZ195">
        <v>0</v>
      </c>
      <c r="BA195">
        <v>16.4</v>
      </c>
      <c r="BB195">
        <v>0</v>
      </c>
      <c r="BC195">
        <v>0</v>
      </c>
      <c r="BD195">
        <v>0</v>
      </c>
      <c r="BE195">
        <v>0</v>
      </c>
      <c r="BG195">
        <v>2</v>
      </c>
      <c r="BH195">
        <v>0</v>
      </c>
      <c r="BY195">
        <v>496.3</v>
      </c>
      <c r="BZ195">
        <v>10</v>
      </c>
      <c r="CA195" t="s">
        <v>360</v>
      </c>
      <c r="CD195" s="5">
        <v>46188</v>
      </c>
      <c r="CE195" t="s">
        <v>345</v>
      </c>
      <c r="CF195" t="s">
        <v>346</v>
      </c>
      <c r="CG195">
        <v>496.3</v>
      </c>
      <c r="CH195">
        <v>169.1</v>
      </c>
      <c r="CI195" s="5">
        <v>46186</v>
      </c>
      <c r="CJ195">
        <v>73</v>
      </c>
      <c r="CK195">
        <v>12</v>
      </c>
      <c r="CL195">
        <v>2</v>
      </c>
      <c r="CM195">
        <v>0</v>
      </c>
      <c r="CN195">
        <v>0</v>
      </c>
      <c r="CO195">
        <v>225</v>
      </c>
      <c r="CP195" t="s">
        <v>347</v>
      </c>
      <c r="CQ195" t="s">
        <v>348</v>
      </c>
    </row>
    <row r="196" spans="1:95">
      <c r="A196" s="5">
        <v>46189</v>
      </c>
      <c r="B196" t="s">
        <v>2262</v>
      </c>
      <c r="C196" t="s">
        <v>2263</v>
      </c>
      <c r="D196" t="s">
        <v>2264</v>
      </c>
      <c r="E196" t="s">
        <v>2265</v>
      </c>
      <c r="G196">
        <v>0</v>
      </c>
      <c r="H196">
        <v>-1</v>
      </c>
      <c r="O196" t="s">
        <v>338</v>
      </c>
      <c r="U196">
        <v>0</v>
      </c>
      <c r="V196">
        <v>0</v>
      </c>
      <c r="W196">
        <v>0</v>
      </c>
      <c r="X196">
        <v>0</v>
      </c>
      <c r="Y196" t="s">
        <v>359</v>
      </c>
      <c r="AB196">
        <v>0</v>
      </c>
      <c r="AC196">
        <v>0</v>
      </c>
      <c r="AE196">
        <v>-1</v>
      </c>
      <c r="AH196" t="s">
        <v>377</v>
      </c>
      <c r="AJ196" t="s">
        <v>342</v>
      </c>
      <c r="AK196" t="s">
        <v>353</v>
      </c>
      <c r="AN196">
        <v>0</v>
      </c>
      <c r="AY196">
        <v>0</v>
      </c>
      <c r="BB196">
        <v>0</v>
      </c>
      <c r="BG196">
        <v>0</v>
      </c>
      <c r="BH196">
        <v>0</v>
      </c>
      <c r="CJ196">
        <v>0</v>
      </c>
      <c r="CK196">
        <v>0</v>
      </c>
      <c r="CL196">
        <v>0</v>
      </c>
      <c r="CM196">
        <v>0</v>
      </c>
      <c r="CN196">
        <v>0</v>
      </c>
      <c r="CP196" t="s">
        <v>347</v>
      </c>
      <c r="CQ196" t="s">
        <v>348</v>
      </c>
    </row>
    <row r="197" spans="1:95">
      <c r="A197" s="5">
        <v>46189</v>
      </c>
      <c r="B197" t="s">
        <v>2266</v>
      </c>
      <c r="C197" t="s">
        <v>2267</v>
      </c>
      <c r="D197" t="s">
        <v>2268</v>
      </c>
      <c r="E197" t="s">
        <v>2269</v>
      </c>
      <c r="F197" t="s">
        <v>337</v>
      </c>
      <c r="G197">
        <v>25</v>
      </c>
      <c r="H197">
        <v>0</v>
      </c>
      <c r="I197">
        <v>0</v>
      </c>
      <c r="J197">
        <v>18</v>
      </c>
      <c r="K197">
        <v>7</v>
      </c>
      <c r="L197">
        <v>0</v>
      </c>
      <c r="M197">
        <v>0</v>
      </c>
      <c r="N197">
        <v>0</v>
      </c>
      <c r="O197" t="s">
        <v>338</v>
      </c>
      <c r="P197">
        <v>1</v>
      </c>
      <c r="Q197">
        <v>2</v>
      </c>
      <c r="R197">
        <v>3</v>
      </c>
      <c r="S197">
        <v>5</v>
      </c>
      <c r="T197" t="s">
        <v>351</v>
      </c>
      <c r="U197">
        <v>42.99</v>
      </c>
      <c r="V197">
        <v>34.99</v>
      </c>
      <c r="W197">
        <v>34.99</v>
      </c>
      <c r="X197">
        <v>0</v>
      </c>
      <c r="Y197" t="s">
        <v>613</v>
      </c>
      <c r="AA197">
        <v>0</v>
      </c>
      <c r="AB197">
        <v>0</v>
      </c>
      <c r="AC197">
        <v>0</v>
      </c>
      <c r="AD197">
        <v>749.8</v>
      </c>
      <c r="AE197">
        <v>0.18</v>
      </c>
      <c r="AF197">
        <v>0.088542</v>
      </c>
      <c r="AG197" t="s">
        <v>340</v>
      </c>
      <c r="AH197" t="s">
        <v>341</v>
      </c>
      <c r="AI197">
        <v>2.21355</v>
      </c>
      <c r="AJ197" t="s">
        <v>342</v>
      </c>
      <c r="AK197" t="s">
        <v>353</v>
      </c>
      <c r="AL197">
        <v>445845</v>
      </c>
      <c r="AM197">
        <v>315</v>
      </c>
      <c r="AN197">
        <v>25</v>
      </c>
      <c r="AO197">
        <v>50</v>
      </c>
      <c r="AP197">
        <v>65</v>
      </c>
      <c r="AQ197">
        <v>34.99</v>
      </c>
      <c r="AR197">
        <v>34.99</v>
      </c>
      <c r="AS197">
        <v>69.98</v>
      </c>
      <c r="AT197">
        <v>104.97</v>
      </c>
      <c r="AU197">
        <v>174.95</v>
      </c>
      <c r="AV197">
        <v>0</v>
      </c>
      <c r="AW197">
        <v>0</v>
      </c>
      <c r="AX197">
        <v>0</v>
      </c>
      <c r="AY197">
        <v>7</v>
      </c>
      <c r="AZ197">
        <v>0</v>
      </c>
      <c r="BA197">
        <v>4.93</v>
      </c>
      <c r="BB197">
        <v>0</v>
      </c>
      <c r="BC197">
        <v>0</v>
      </c>
      <c r="BD197">
        <v>0</v>
      </c>
      <c r="BE197">
        <v>0</v>
      </c>
      <c r="BG197">
        <v>0</v>
      </c>
      <c r="BH197">
        <v>0</v>
      </c>
      <c r="BI197">
        <v>0</v>
      </c>
      <c r="BJ197">
        <v>0</v>
      </c>
      <c r="BK197">
        <v>0</v>
      </c>
      <c r="BL197">
        <v>0</v>
      </c>
      <c r="BM197">
        <v>7</v>
      </c>
      <c r="BN197">
        <v>0.93</v>
      </c>
      <c r="BO197">
        <v>0</v>
      </c>
      <c r="BP197">
        <v>0</v>
      </c>
      <c r="BQ197">
        <v>0</v>
      </c>
      <c r="BR197">
        <v>0</v>
      </c>
      <c r="BS197">
        <v>0</v>
      </c>
      <c r="BT197">
        <v>0</v>
      </c>
      <c r="BU197">
        <v>0</v>
      </c>
      <c r="BV197">
        <v>0</v>
      </c>
      <c r="BW197">
        <v>0</v>
      </c>
      <c r="BX197">
        <v>0</v>
      </c>
      <c r="BY197">
        <v>498</v>
      </c>
      <c r="BZ197">
        <v>4</v>
      </c>
      <c r="CA197" t="s">
        <v>354</v>
      </c>
      <c r="CD197" s="5">
        <v>46188</v>
      </c>
      <c r="CE197" t="s">
        <v>345</v>
      </c>
      <c r="CF197" t="s">
        <v>346</v>
      </c>
      <c r="CG197">
        <v>399.5</v>
      </c>
      <c r="CH197">
        <v>498</v>
      </c>
      <c r="CI197" s="5">
        <v>46186</v>
      </c>
      <c r="CJ197">
        <v>25</v>
      </c>
      <c r="CK197">
        <v>0</v>
      </c>
      <c r="CL197">
        <v>0</v>
      </c>
      <c r="CM197">
        <v>0</v>
      </c>
      <c r="CN197">
        <v>0</v>
      </c>
      <c r="CO197">
        <v>315</v>
      </c>
      <c r="CP197" t="s">
        <v>347</v>
      </c>
      <c r="CQ197" t="s">
        <v>348</v>
      </c>
    </row>
    <row r="198" spans="1:95">
      <c r="A198" s="5">
        <v>46189</v>
      </c>
      <c r="B198" t="s">
        <v>1634</v>
      </c>
      <c r="C198" t="s">
        <v>1365</v>
      </c>
      <c r="D198" t="s">
        <v>1633</v>
      </c>
      <c r="E198" t="s">
        <v>1367</v>
      </c>
      <c r="F198" t="s">
        <v>337</v>
      </c>
      <c r="G198">
        <v>22</v>
      </c>
      <c r="H198">
        <v>0</v>
      </c>
      <c r="I198">
        <v>0</v>
      </c>
      <c r="J198">
        <v>22</v>
      </c>
      <c r="K198">
        <v>0</v>
      </c>
      <c r="L198">
        <v>0</v>
      </c>
      <c r="M198">
        <v>0</v>
      </c>
      <c r="N198">
        <v>0</v>
      </c>
      <c r="O198" t="s">
        <v>338</v>
      </c>
      <c r="P198">
        <v>0</v>
      </c>
      <c r="Q198">
        <v>6</v>
      </c>
      <c r="R198">
        <v>11</v>
      </c>
      <c r="S198">
        <v>15</v>
      </c>
      <c r="T198" t="s">
        <v>351</v>
      </c>
      <c r="U198">
        <v>79.99</v>
      </c>
      <c r="V198">
        <v>59.99</v>
      </c>
      <c r="W198">
        <v>59.99</v>
      </c>
      <c r="X198">
        <v>0</v>
      </c>
      <c r="Y198" t="s">
        <v>359</v>
      </c>
      <c r="AA198">
        <v>0</v>
      </c>
      <c r="AB198">
        <v>0</v>
      </c>
      <c r="AC198">
        <v>0</v>
      </c>
      <c r="AD198">
        <v>0</v>
      </c>
      <c r="AE198">
        <v>0.49</v>
      </c>
      <c r="AF198">
        <v>0.650088</v>
      </c>
      <c r="AG198" t="s">
        <v>340</v>
      </c>
      <c r="AH198" t="s">
        <v>424</v>
      </c>
      <c r="AI198">
        <v>14.301936</v>
      </c>
      <c r="AJ198" t="s">
        <v>342</v>
      </c>
      <c r="AK198" t="s">
        <v>343</v>
      </c>
      <c r="AL198">
        <v>215750</v>
      </c>
      <c r="AM198">
        <v>53</v>
      </c>
      <c r="AN198">
        <v>0</v>
      </c>
      <c r="AO198">
        <v>14</v>
      </c>
      <c r="AP198">
        <v>19</v>
      </c>
      <c r="AQ198">
        <v>59.99</v>
      </c>
      <c r="AR198">
        <v>0</v>
      </c>
      <c r="AS198">
        <v>359.94</v>
      </c>
      <c r="AT198">
        <v>659.89</v>
      </c>
      <c r="AU198">
        <v>899.85</v>
      </c>
      <c r="AV198">
        <v>0</v>
      </c>
      <c r="AW198">
        <v>0</v>
      </c>
      <c r="AX198">
        <v>0</v>
      </c>
      <c r="AY198">
        <v>0</v>
      </c>
      <c r="AZ198">
        <v>0</v>
      </c>
      <c r="BA198">
        <v>6.57</v>
      </c>
      <c r="BB198">
        <v>0</v>
      </c>
      <c r="BC198">
        <v>0</v>
      </c>
      <c r="BD198">
        <v>0</v>
      </c>
      <c r="BE198">
        <v>0</v>
      </c>
      <c r="BG198">
        <v>0</v>
      </c>
      <c r="BH198">
        <v>1</v>
      </c>
      <c r="BY198">
        <v>179.3</v>
      </c>
      <c r="BZ198">
        <v>9</v>
      </c>
      <c r="CA198" t="s">
        <v>360</v>
      </c>
      <c r="CB198">
        <v>9</v>
      </c>
      <c r="CC198" s="5">
        <v>46193</v>
      </c>
      <c r="CD198" s="5">
        <v>46188</v>
      </c>
      <c r="CE198" t="s">
        <v>345</v>
      </c>
      <c r="CF198" t="s">
        <v>346</v>
      </c>
      <c r="CG198">
        <v>103.3</v>
      </c>
      <c r="CH198">
        <v>179.3</v>
      </c>
      <c r="CI198" s="5">
        <v>46186</v>
      </c>
      <c r="CJ198">
        <v>22</v>
      </c>
      <c r="CK198">
        <v>0</v>
      </c>
      <c r="CL198">
        <v>0</v>
      </c>
      <c r="CM198">
        <v>0</v>
      </c>
      <c r="CN198">
        <v>0</v>
      </c>
      <c r="CO198">
        <v>53</v>
      </c>
      <c r="CP198" t="s">
        <v>347</v>
      </c>
      <c r="CQ198" t="s">
        <v>348</v>
      </c>
    </row>
    <row r="199" spans="1:95">
      <c r="A199" s="5">
        <v>46189</v>
      </c>
      <c r="B199" t="s">
        <v>2270</v>
      </c>
      <c r="C199" t="s">
        <v>2271</v>
      </c>
      <c r="D199" t="s">
        <v>2272</v>
      </c>
      <c r="E199" t="s">
        <v>2273</v>
      </c>
      <c r="G199">
        <v>0</v>
      </c>
      <c r="H199">
        <v>-1</v>
      </c>
      <c r="O199" t="s">
        <v>338</v>
      </c>
      <c r="P199">
        <v>0</v>
      </c>
      <c r="Q199">
        <v>0</v>
      </c>
      <c r="R199">
        <v>3</v>
      </c>
      <c r="S199">
        <v>12</v>
      </c>
      <c r="U199">
        <v>0</v>
      </c>
      <c r="V199">
        <v>0</v>
      </c>
      <c r="W199">
        <v>0</v>
      </c>
      <c r="X199">
        <v>0</v>
      </c>
      <c r="Y199" t="s">
        <v>464</v>
      </c>
      <c r="AB199">
        <v>0</v>
      </c>
      <c r="AC199">
        <v>0</v>
      </c>
      <c r="AE199">
        <v>-1</v>
      </c>
      <c r="AH199" t="s">
        <v>341</v>
      </c>
      <c r="AJ199" t="s">
        <v>342</v>
      </c>
      <c r="AK199" t="s">
        <v>353</v>
      </c>
      <c r="AM199">
        <v>0</v>
      </c>
      <c r="AN199">
        <v>0</v>
      </c>
      <c r="AP199">
        <v>0</v>
      </c>
      <c r="AQ199">
        <v>19.99</v>
      </c>
      <c r="AR199">
        <v>0</v>
      </c>
      <c r="AS199">
        <v>0</v>
      </c>
      <c r="AT199">
        <v>59.97</v>
      </c>
      <c r="AU199">
        <v>239.88</v>
      </c>
      <c r="AY199">
        <v>0</v>
      </c>
      <c r="BB199">
        <v>0</v>
      </c>
      <c r="BC199">
        <v>0</v>
      </c>
      <c r="BD199">
        <v>0</v>
      </c>
      <c r="BE199">
        <v>0</v>
      </c>
      <c r="BG199">
        <v>0</v>
      </c>
      <c r="BH199">
        <v>0</v>
      </c>
      <c r="BZ199">
        <v>3</v>
      </c>
      <c r="CA199" t="s">
        <v>429</v>
      </c>
      <c r="CB199">
        <v>6</v>
      </c>
      <c r="CC199" s="5">
        <v>46186</v>
      </c>
      <c r="CH199">
        <v>23.5</v>
      </c>
      <c r="CJ199">
        <v>0</v>
      </c>
      <c r="CK199">
        <v>0</v>
      </c>
      <c r="CL199">
        <v>0</v>
      </c>
      <c r="CM199">
        <v>0</v>
      </c>
      <c r="CN199">
        <v>0</v>
      </c>
      <c r="CO199">
        <v>0</v>
      </c>
      <c r="CP199" t="s">
        <v>347</v>
      </c>
      <c r="CQ199" t="s">
        <v>348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T109"/>
  <sheetViews>
    <sheetView workbookViewId="0">
      <selection activeCell="I7" sqref="I7"/>
    </sheetView>
  </sheetViews>
  <sheetFormatPr defaultColWidth="9" defaultRowHeight="13.5"/>
  <sheetData>
    <row r="1" spans="1:98">
      <c r="A1" t="s">
        <v>235</v>
      </c>
      <c r="B1" t="s">
        <v>236</v>
      </c>
      <c r="C1" t="s">
        <v>237</v>
      </c>
      <c r="D1" t="s">
        <v>238</v>
      </c>
      <c r="E1" t="s">
        <v>239</v>
      </c>
      <c r="F1" t="s">
        <v>240</v>
      </c>
      <c r="G1" t="s">
        <v>241</v>
      </c>
      <c r="H1" t="s">
        <v>242</v>
      </c>
      <c r="I1" t="s">
        <v>243</v>
      </c>
      <c r="J1" t="s">
        <v>244</v>
      </c>
      <c r="K1" t="s">
        <v>245</v>
      </c>
      <c r="L1" t="s">
        <v>246</v>
      </c>
      <c r="M1" t="s">
        <v>247</v>
      </c>
      <c r="N1" t="s">
        <v>248</v>
      </c>
      <c r="O1" t="s">
        <v>249</v>
      </c>
      <c r="P1" t="s">
        <v>250</v>
      </c>
      <c r="Q1" t="s">
        <v>251</v>
      </c>
      <c r="R1" t="s">
        <v>252</v>
      </c>
      <c r="S1" t="s">
        <v>253</v>
      </c>
      <c r="T1" t="s">
        <v>254</v>
      </c>
      <c r="U1" t="s">
        <v>255</v>
      </c>
      <c r="V1" t="s">
        <v>256</v>
      </c>
      <c r="W1" t="s">
        <v>257</v>
      </c>
      <c r="X1" t="s">
        <v>258</v>
      </c>
      <c r="Y1" t="s">
        <v>259</v>
      </c>
      <c r="Z1" t="s">
        <v>260</v>
      </c>
      <c r="AA1" t="s">
        <v>261</v>
      </c>
      <c r="AB1" t="s">
        <v>262</v>
      </c>
      <c r="AC1" t="s">
        <v>263</v>
      </c>
      <c r="AD1" t="s">
        <v>264</v>
      </c>
      <c r="AE1" t="s">
        <v>265</v>
      </c>
      <c r="AF1" t="s">
        <v>266</v>
      </c>
      <c r="AG1" t="s">
        <v>267</v>
      </c>
      <c r="AH1" t="s">
        <v>268</v>
      </c>
      <c r="AI1" t="s">
        <v>269</v>
      </c>
      <c r="AJ1" t="s">
        <v>270</v>
      </c>
      <c r="AK1" t="s">
        <v>271</v>
      </c>
      <c r="AL1" t="s">
        <v>272</v>
      </c>
      <c r="AM1" t="s">
        <v>273</v>
      </c>
      <c r="AN1" t="s">
        <v>274</v>
      </c>
      <c r="AO1" t="s">
        <v>275</v>
      </c>
      <c r="AP1" t="s">
        <v>276</v>
      </c>
      <c r="AQ1" t="s">
        <v>277</v>
      </c>
      <c r="AR1" t="s">
        <v>278</v>
      </c>
      <c r="AS1" t="s">
        <v>279</v>
      </c>
      <c r="AT1" t="s">
        <v>280</v>
      </c>
      <c r="AU1" t="s">
        <v>281</v>
      </c>
      <c r="AV1" t="s">
        <v>282</v>
      </c>
      <c r="AW1" t="s">
        <v>283</v>
      </c>
      <c r="AX1" t="s">
        <v>284</v>
      </c>
      <c r="AY1" t="s">
        <v>285</v>
      </c>
      <c r="AZ1" t="s">
        <v>286</v>
      </c>
      <c r="BA1" t="s">
        <v>287</v>
      </c>
      <c r="BB1" t="s">
        <v>288</v>
      </c>
      <c r="BC1" t="s">
        <v>289</v>
      </c>
      <c r="BD1" t="s">
        <v>290</v>
      </c>
      <c r="BE1" t="s">
        <v>291</v>
      </c>
      <c r="BF1" t="s">
        <v>292</v>
      </c>
      <c r="BG1" t="s">
        <v>293</v>
      </c>
      <c r="BH1" t="s">
        <v>294</v>
      </c>
      <c r="BI1" t="s">
        <v>295</v>
      </c>
      <c r="BJ1" t="s">
        <v>296</v>
      </c>
      <c r="BK1" t="s">
        <v>297</v>
      </c>
      <c r="BL1" t="s">
        <v>298</v>
      </c>
      <c r="BM1" t="s">
        <v>299</v>
      </c>
      <c r="BN1" t="s">
        <v>300</v>
      </c>
      <c r="BO1" t="s">
        <v>301</v>
      </c>
      <c r="BP1" t="s">
        <v>302</v>
      </c>
      <c r="BQ1" t="s">
        <v>303</v>
      </c>
      <c r="BR1" t="s">
        <v>304</v>
      </c>
      <c r="BS1" t="s">
        <v>305</v>
      </c>
      <c r="BT1" t="s">
        <v>306</v>
      </c>
      <c r="BU1" t="s">
        <v>307</v>
      </c>
      <c r="BV1" t="s">
        <v>308</v>
      </c>
      <c r="BW1" t="s">
        <v>309</v>
      </c>
      <c r="BX1" t="s">
        <v>310</v>
      </c>
      <c r="BY1" t="s">
        <v>311</v>
      </c>
      <c r="BZ1" t="s">
        <v>312</v>
      </c>
      <c r="CA1" t="s">
        <v>313</v>
      </c>
      <c r="CB1" t="s">
        <v>314</v>
      </c>
      <c r="CC1" t="s">
        <v>315</v>
      </c>
      <c r="CD1" t="s">
        <v>316</v>
      </c>
      <c r="CE1" t="s">
        <v>317</v>
      </c>
      <c r="CF1" t="s">
        <v>318</v>
      </c>
      <c r="CG1" t="s">
        <v>319</v>
      </c>
      <c r="CH1" t="s">
        <v>320</v>
      </c>
      <c r="CI1" t="s">
        <v>321</v>
      </c>
      <c r="CJ1" t="s">
        <v>322</v>
      </c>
      <c r="CK1" t="s">
        <v>323</v>
      </c>
      <c r="CL1" t="s">
        <v>324</v>
      </c>
      <c r="CM1" t="s">
        <v>325</v>
      </c>
      <c r="CN1" t="s">
        <v>326</v>
      </c>
      <c r="CO1" t="s">
        <v>327</v>
      </c>
      <c r="CP1" t="s">
        <v>328</v>
      </c>
      <c r="CQ1" t="s">
        <v>329</v>
      </c>
      <c r="CR1" t="s">
        <v>330</v>
      </c>
      <c r="CS1" t="s">
        <v>331</v>
      </c>
      <c r="CT1" t="s">
        <v>332</v>
      </c>
    </row>
    <row r="2" spans="1:98">
      <c r="A2" s="5">
        <v>46188</v>
      </c>
      <c r="B2" t="s">
        <v>2274</v>
      </c>
      <c r="C2" t="s">
        <v>2275</v>
      </c>
      <c r="D2" t="s">
        <v>2276</v>
      </c>
      <c r="E2" t="s">
        <v>2277</v>
      </c>
      <c r="G2">
        <v>0</v>
      </c>
      <c r="H2">
        <v>-1</v>
      </c>
      <c r="O2" t="s">
        <v>338</v>
      </c>
      <c r="U2">
        <v>0</v>
      </c>
      <c r="V2">
        <v>0</v>
      </c>
      <c r="W2">
        <v>0</v>
      </c>
      <c r="X2">
        <v>0</v>
      </c>
      <c r="Y2" t="s">
        <v>359</v>
      </c>
      <c r="AB2">
        <v>0</v>
      </c>
      <c r="AC2">
        <v>0</v>
      </c>
      <c r="AE2">
        <v>-1</v>
      </c>
      <c r="AH2" t="s">
        <v>341</v>
      </c>
      <c r="AJ2" t="s">
        <v>342</v>
      </c>
      <c r="AK2" t="s">
        <v>353</v>
      </c>
      <c r="AN2">
        <v>0</v>
      </c>
      <c r="AQ2">
        <v>12.99</v>
      </c>
      <c r="AY2">
        <v>0</v>
      </c>
      <c r="BB2">
        <v>0</v>
      </c>
      <c r="BC2">
        <v>0</v>
      </c>
      <c r="BD2">
        <v>0</v>
      </c>
      <c r="BE2">
        <v>0</v>
      </c>
      <c r="BG2">
        <v>0</v>
      </c>
      <c r="BH2">
        <v>0</v>
      </c>
      <c r="CJ2">
        <v>0</v>
      </c>
      <c r="CK2">
        <v>0</v>
      </c>
      <c r="CL2">
        <v>0</v>
      </c>
      <c r="CM2">
        <v>0</v>
      </c>
      <c r="CN2">
        <v>0</v>
      </c>
      <c r="CP2" t="s">
        <v>347</v>
      </c>
      <c r="CQ2" t="s">
        <v>348</v>
      </c>
    </row>
    <row r="3" spans="1:98">
      <c r="A3" s="5">
        <v>46188</v>
      </c>
      <c r="B3" t="s">
        <v>2278</v>
      </c>
      <c r="C3" t="s">
        <v>2279</v>
      </c>
      <c r="D3" t="s">
        <v>2280</v>
      </c>
      <c r="E3" t="s">
        <v>2281</v>
      </c>
      <c r="G3">
        <v>0</v>
      </c>
      <c r="H3">
        <v>-1</v>
      </c>
      <c r="O3" t="s">
        <v>338</v>
      </c>
      <c r="U3">
        <v>0</v>
      </c>
      <c r="V3">
        <v>0</v>
      </c>
      <c r="W3">
        <v>0</v>
      </c>
      <c r="X3">
        <v>0</v>
      </c>
      <c r="Y3" t="s">
        <v>359</v>
      </c>
      <c r="AB3">
        <v>0</v>
      </c>
      <c r="AC3">
        <v>0</v>
      </c>
      <c r="AE3">
        <v>-1</v>
      </c>
      <c r="AH3" t="s">
        <v>341</v>
      </c>
      <c r="AJ3" t="s">
        <v>342</v>
      </c>
      <c r="AK3" t="s">
        <v>353</v>
      </c>
      <c r="AM3">
        <v>0</v>
      </c>
      <c r="AN3">
        <v>0</v>
      </c>
      <c r="AQ3">
        <v>54.99</v>
      </c>
      <c r="AY3">
        <v>0</v>
      </c>
      <c r="BB3">
        <v>0</v>
      </c>
      <c r="BC3">
        <v>0</v>
      </c>
      <c r="BD3">
        <v>0</v>
      </c>
      <c r="BE3">
        <v>0</v>
      </c>
      <c r="BG3">
        <v>0</v>
      </c>
      <c r="BH3">
        <v>0</v>
      </c>
      <c r="CJ3">
        <v>0</v>
      </c>
      <c r="CK3">
        <v>0</v>
      </c>
      <c r="CL3">
        <v>0</v>
      </c>
      <c r="CM3">
        <v>0</v>
      </c>
      <c r="CN3">
        <v>0</v>
      </c>
      <c r="CO3">
        <v>0</v>
      </c>
      <c r="CP3" t="s">
        <v>347</v>
      </c>
      <c r="CQ3" t="s">
        <v>348</v>
      </c>
    </row>
    <row r="4" spans="1:98">
      <c r="A4" s="5">
        <v>46188</v>
      </c>
      <c r="B4" t="s">
        <v>2282</v>
      </c>
      <c r="C4" t="s">
        <v>704</v>
      </c>
      <c r="D4" t="s">
        <v>2283</v>
      </c>
      <c r="E4" t="s">
        <v>706</v>
      </c>
      <c r="G4">
        <v>0</v>
      </c>
      <c r="H4">
        <v>-1</v>
      </c>
      <c r="O4" t="s">
        <v>338</v>
      </c>
      <c r="U4">
        <v>0</v>
      </c>
      <c r="V4">
        <v>0</v>
      </c>
      <c r="W4">
        <v>0</v>
      </c>
      <c r="X4">
        <v>0</v>
      </c>
      <c r="Y4" t="s">
        <v>359</v>
      </c>
      <c r="AB4">
        <v>0</v>
      </c>
      <c r="AC4">
        <v>0</v>
      </c>
      <c r="AE4">
        <v>-1</v>
      </c>
      <c r="AJ4" t="s">
        <v>342</v>
      </c>
      <c r="AK4" t="s">
        <v>343</v>
      </c>
      <c r="AN4">
        <v>0</v>
      </c>
      <c r="AQ4">
        <v>8.29</v>
      </c>
      <c r="AY4">
        <v>0</v>
      </c>
      <c r="BB4">
        <v>0</v>
      </c>
      <c r="BG4">
        <v>0</v>
      </c>
      <c r="BH4">
        <v>0</v>
      </c>
      <c r="CJ4">
        <v>0</v>
      </c>
      <c r="CK4">
        <v>0</v>
      </c>
      <c r="CL4">
        <v>0</v>
      </c>
      <c r="CM4">
        <v>0</v>
      </c>
      <c r="CN4">
        <v>0</v>
      </c>
      <c r="CP4" t="s">
        <v>347</v>
      </c>
      <c r="CQ4" t="s">
        <v>348</v>
      </c>
    </row>
    <row r="5" spans="1:98">
      <c r="A5" s="5">
        <v>46188</v>
      </c>
      <c r="B5" t="s">
        <v>2284</v>
      </c>
      <c r="C5" t="s">
        <v>219</v>
      </c>
      <c r="D5" t="s">
        <v>2285</v>
      </c>
      <c r="E5" t="s">
        <v>415</v>
      </c>
      <c r="G5">
        <v>0</v>
      </c>
      <c r="H5">
        <v>-1</v>
      </c>
      <c r="O5" t="s">
        <v>338</v>
      </c>
      <c r="U5">
        <v>0</v>
      </c>
      <c r="V5">
        <v>0</v>
      </c>
      <c r="W5">
        <v>0</v>
      </c>
      <c r="X5">
        <v>0</v>
      </c>
      <c r="Y5" t="s">
        <v>359</v>
      </c>
      <c r="AB5">
        <v>0</v>
      </c>
      <c r="AC5">
        <v>0</v>
      </c>
      <c r="AE5">
        <v>-1</v>
      </c>
      <c r="AJ5" t="s">
        <v>342</v>
      </c>
      <c r="AK5" t="s">
        <v>343</v>
      </c>
      <c r="AM5">
        <v>0</v>
      </c>
      <c r="AN5">
        <v>0</v>
      </c>
      <c r="AQ5">
        <v>18.85</v>
      </c>
      <c r="AY5">
        <v>0</v>
      </c>
      <c r="BB5">
        <v>0</v>
      </c>
      <c r="BG5">
        <v>0</v>
      </c>
      <c r="BH5">
        <v>0</v>
      </c>
      <c r="CJ5">
        <v>0</v>
      </c>
      <c r="CK5">
        <v>0</v>
      </c>
      <c r="CL5">
        <v>0</v>
      </c>
      <c r="CM5">
        <v>0</v>
      </c>
      <c r="CN5">
        <v>0</v>
      </c>
      <c r="CO5">
        <v>0</v>
      </c>
      <c r="CP5" t="s">
        <v>347</v>
      </c>
      <c r="CQ5" t="s">
        <v>348</v>
      </c>
    </row>
    <row r="6" spans="1:98">
      <c r="A6" s="5">
        <v>46188</v>
      </c>
      <c r="B6" t="s">
        <v>2286</v>
      </c>
      <c r="C6" t="s">
        <v>2287</v>
      </c>
      <c r="D6" t="s">
        <v>2288</v>
      </c>
      <c r="E6" t="s">
        <v>2289</v>
      </c>
      <c r="G6">
        <v>0</v>
      </c>
      <c r="H6">
        <v>-1</v>
      </c>
      <c r="O6" t="s">
        <v>338</v>
      </c>
      <c r="U6">
        <v>0</v>
      </c>
      <c r="V6">
        <v>0</v>
      </c>
      <c r="W6">
        <v>0</v>
      </c>
      <c r="X6">
        <v>0</v>
      </c>
      <c r="Y6" t="s">
        <v>359</v>
      </c>
      <c r="AB6">
        <v>0</v>
      </c>
      <c r="AC6">
        <v>0</v>
      </c>
      <c r="AE6">
        <v>-1</v>
      </c>
      <c r="AH6" t="s">
        <v>341</v>
      </c>
      <c r="AJ6" t="s">
        <v>342</v>
      </c>
      <c r="AK6" t="s">
        <v>353</v>
      </c>
      <c r="AM6">
        <v>0</v>
      </c>
      <c r="AN6">
        <v>0</v>
      </c>
      <c r="AQ6">
        <v>25.99</v>
      </c>
      <c r="AY6">
        <v>0</v>
      </c>
      <c r="BB6">
        <v>0</v>
      </c>
      <c r="BC6">
        <v>0</v>
      </c>
      <c r="BD6">
        <v>0</v>
      </c>
      <c r="BE6">
        <v>0</v>
      </c>
      <c r="BG6">
        <v>0</v>
      </c>
      <c r="BH6">
        <v>0</v>
      </c>
      <c r="CJ6">
        <v>0</v>
      </c>
      <c r="CK6">
        <v>0</v>
      </c>
      <c r="CL6">
        <v>0</v>
      </c>
      <c r="CM6">
        <v>0</v>
      </c>
      <c r="CN6">
        <v>0</v>
      </c>
      <c r="CO6">
        <v>0</v>
      </c>
      <c r="CP6" t="s">
        <v>347</v>
      </c>
      <c r="CQ6" t="s">
        <v>348</v>
      </c>
    </row>
    <row r="7" spans="1:98">
      <c r="A7" s="5">
        <v>46188</v>
      </c>
      <c r="B7" t="s">
        <v>2290</v>
      </c>
      <c r="C7" t="s">
        <v>549</v>
      </c>
      <c r="D7" t="s">
        <v>2291</v>
      </c>
      <c r="E7" t="s">
        <v>551</v>
      </c>
      <c r="G7">
        <v>0</v>
      </c>
      <c r="H7">
        <v>-1</v>
      </c>
      <c r="O7" t="s">
        <v>338</v>
      </c>
      <c r="U7">
        <v>0</v>
      </c>
      <c r="V7">
        <v>0</v>
      </c>
      <c r="W7">
        <v>0</v>
      </c>
      <c r="X7">
        <v>0</v>
      </c>
      <c r="Y7" t="s">
        <v>359</v>
      </c>
      <c r="AB7">
        <v>0</v>
      </c>
      <c r="AC7">
        <v>0</v>
      </c>
      <c r="AE7">
        <v>-1</v>
      </c>
      <c r="AH7" t="s">
        <v>341</v>
      </c>
      <c r="AJ7" t="s">
        <v>342</v>
      </c>
      <c r="AK7" t="s">
        <v>353</v>
      </c>
      <c r="AM7">
        <v>0</v>
      </c>
      <c r="AN7">
        <v>0</v>
      </c>
      <c r="AQ7">
        <v>25.99</v>
      </c>
      <c r="AY7">
        <v>0</v>
      </c>
      <c r="BB7">
        <v>0</v>
      </c>
      <c r="BC7">
        <v>0</v>
      </c>
      <c r="BD7">
        <v>0</v>
      </c>
      <c r="BE7">
        <v>0</v>
      </c>
      <c r="BG7">
        <v>0</v>
      </c>
      <c r="BH7">
        <v>0</v>
      </c>
      <c r="CJ7">
        <v>0</v>
      </c>
      <c r="CK7">
        <v>0</v>
      </c>
      <c r="CL7">
        <v>0</v>
      </c>
      <c r="CM7">
        <v>0</v>
      </c>
      <c r="CN7">
        <v>0</v>
      </c>
      <c r="CO7">
        <v>0</v>
      </c>
      <c r="CP7" t="s">
        <v>347</v>
      </c>
      <c r="CQ7" t="s">
        <v>348</v>
      </c>
    </row>
    <row r="8" spans="1:98">
      <c r="A8" s="5">
        <v>46188</v>
      </c>
      <c r="B8" t="s">
        <v>2292</v>
      </c>
      <c r="C8" t="s">
        <v>112</v>
      </c>
      <c r="D8" t="s">
        <v>2293</v>
      </c>
      <c r="E8" t="s">
        <v>1838</v>
      </c>
      <c r="G8">
        <v>0</v>
      </c>
      <c r="H8">
        <v>-1</v>
      </c>
      <c r="O8" t="s">
        <v>338</v>
      </c>
      <c r="U8">
        <v>0</v>
      </c>
      <c r="V8">
        <v>0</v>
      </c>
      <c r="W8">
        <v>0</v>
      </c>
      <c r="X8">
        <v>0</v>
      </c>
      <c r="Y8" t="s">
        <v>359</v>
      </c>
      <c r="AB8">
        <v>0</v>
      </c>
      <c r="AC8">
        <v>0</v>
      </c>
      <c r="AE8">
        <v>-1</v>
      </c>
      <c r="AH8" t="s">
        <v>341</v>
      </c>
      <c r="AJ8" t="s">
        <v>342</v>
      </c>
      <c r="AK8" t="s">
        <v>353</v>
      </c>
      <c r="AM8">
        <v>0</v>
      </c>
      <c r="AN8">
        <v>0</v>
      </c>
      <c r="AQ8">
        <v>46.99</v>
      </c>
      <c r="AY8">
        <v>0</v>
      </c>
      <c r="BB8">
        <v>0</v>
      </c>
      <c r="BC8">
        <v>0</v>
      </c>
      <c r="BD8">
        <v>0</v>
      </c>
      <c r="BE8">
        <v>0</v>
      </c>
      <c r="BG8">
        <v>0</v>
      </c>
      <c r="BH8">
        <v>0</v>
      </c>
      <c r="CJ8">
        <v>0</v>
      </c>
      <c r="CK8">
        <v>0</v>
      </c>
      <c r="CL8">
        <v>0</v>
      </c>
      <c r="CM8">
        <v>0</v>
      </c>
      <c r="CN8">
        <v>0</v>
      </c>
      <c r="CO8">
        <v>0</v>
      </c>
      <c r="CP8" t="s">
        <v>347</v>
      </c>
      <c r="CQ8" t="s">
        <v>348</v>
      </c>
    </row>
    <row r="9" spans="1:98">
      <c r="A9" s="5">
        <v>46188</v>
      </c>
      <c r="B9" t="s">
        <v>2294</v>
      </c>
      <c r="C9" t="s">
        <v>2287</v>
      </c>
      <c r="D9" t="s">
        <v>2295</v>
      </c>
      <c r="E9" t="s">
        <v>2289</v>
      </c>
      <c r="G9">
        <v>0</v>
      </c>
      <c r="H9">
        <v>-1</v>
      </c>
      <c r="O9" t="s">
        <v>338</v>
      </c>
      <c r="U9">
        <v>0</v>
      </c>
      <c r="V9">
        <v>0</v>
      </c>
      <c r="W9">
        <v>0</v>
      </c>
      <c r="X9">
        <v>0</v>
      </c>
      <c r="Y9" t="s">
        <v>359</v>
      </c>
      <c r="AB9">
        <v>0</v>
      </c>
      <c r="AC9">
        <v>0</v>
      </c>
      <c r="AE9">
        <v>-1</v>
      </c>
      <c r="AJ9" t="s">
        <v>342</v>
      </c>
      <c r="AK9" t="s">
        <v>353</v>
      </c>
      <c r="AM9">
        <v>0</v>
      </c>
      <c r="AN9">
        <v>0</v>
      </c>
      <c r="AQ9">
        <v>25.99</v>
      </c>
      <c r="AY9">
        <v>0</v>
      </c>
      <c r="BB9">
        <v>0</v>
      </c>
      <c r="BG9">
        <v>0</v>
      </c>
      <c r="BH9">
        <v>0</v>
      </c>
      <c r="CJ9">
        <v>0</v>
      </c>
      <c r="CK9">
        <v>0</v>
      </c>
      <c r="CL9">
        <v>0</v>
      </c>
      <c r="CM9">
        <v>0</v>
      </c>
      <c r="CN9">
        <v>0</v>
      </c>
      <c r="CO9">
        <v>0</v>
      </c>
      <c r="CP9" t="s">
        <v>347</v>
      </c>
      <c r="CQ9" t="s">
        <v>348</v>
      </c>
    </row>
    <row r="10" spans="1:98">
      <c r="A10" s="5">
        <v>46188</v>
      </c>
      <c r="B10" t="s">
        <v>2296</v>
      </c>
      <c r="C10" t="s">
        <v>2297</v>
      </c>
      <c r="D10" t="s">
        <v>2298</v>
      </c>
      <c r="E10" t="s">
        <v>2299</v>
      </c>
      <c r="G10">
        <v>0</v>
      </c>
      <c r="H10">
        <v>-1</v>
      </c>
      <c r="O10" t="s">
        <v>338</v>
      </c>
      <c r="U10">
        <v>0</v>
      </c>
      <c r="V10">
        <v>0</v>
      </c>
      <c r="W10">
        <v>0</v>
      </c>
      <c r="X10">
        <v>0</v>
      </c>
      <c r="Y10" t="s">
        <v>359</v>
      </c>
      <c r="AB10">
        <v>0</v>
      </c>
      <c r="AC10">
        <v>0</v>
      </c>
      <c r="AE10">
        <v>-1</v>
      </c>
      <c r="AH10" t="s">
        <v>341</v>
      </c>
      <c r="AJ10" t="s">
        <v>342</v>
      </c>
      <c r="AK10" t="s">
        <v>353</v>
      </c>
      <c r="AN10">
        <v>0</v>
      </c>
      <c r="AQ10">
        <v>12.99</v>
      </c>
      <c r="AY10">
        <v>0</v>
      </c>
      <c r="BB10">
        <v>0</v>
      </c>
      <c r="BC10">
        <v>0</v>
      </c>
      <c r="BD10">
        <v>0</v>
      </c>
      <c r="BE10">
        <v>0</v>
      </c>
      <c r="BG10">
        <v>0</v>
      </c>
      <c r="BH10">
        <v>0</v>
      </c>
      <c r="CJ10">
        <v>0</v>
      </c>
      <c r="CK10">
        <v>0</v>
      </c>
      <c r="CL10">
        <v>0</v>
      </c>
      <c r="CM10">
        <v>0</v>
      </c>
      <c r="CN10">
        <v>0</v>
      </c>
      <c r="CP10" t="s">
        <v>347</v>
      </c>
      <c r="CQ10" t="s">
        <v>348</v>
      </c>
    </row>
    <row r="11" spans="1:98">
      <c r="A11" s="5">
        <v>46188</v>
      </c>
      <c r="B11" t="s">
        <v>2300</v>
      </c>
      <c r="C11" t="s">
        <v>2301</v>
      </c>
      <c r="D11" t="s">
        <v>2302</v>
      </c>
      <c r="E11" t="s">
        <v>2303</v>
      </c>
      <c r="G11">
        <v>0</v>
      </c>
      <c r="H11">
        <v>-1</v>
      </c>
      <c r="O11" t="s">
        <v>338</v>
      </c>
      <c r="U11">
        <v>0</v>
      </c>
      <c r="V11">
        <v>0</v>
      </c>
      <c r="W11">
        <v>0</v>
      </c>
      <c r="X11">
        <v>0</v>
      </c>
      <c r="Y11" t="s">
        <v>359</v>
      </c>
      <c r="AB11">
        <v>0</v>
      </c>
      <c r="AC11">
        <v>0</v>
      </c>
      <c r="AE11">
        <v>-1</v>
      </c>
      <c r="AJ11" t="s">
        <v>342</v>
      </c>
      <c r="AK11" t="s">
        <v>343</v>
      </c>
      <c r="AM11">
        <v>0</v>
      </c>
      <c r="AN11">
        <v>0</v>
      </c>
      <c r="AQ11">
        <v>17.99</v>
      </c>
      <c r="AY11">
        <v>0</v>
      </c>
      <c r="BB11">
        <v>0</v>
      </c>
      <c r="BG11">
        <v>0</v>
      </c>
      <c r="BH11">
        <v>0</v>
      </c>
      <c r="CJ11">
        <v>0</v>
      </c>
      <c r="CK11">
        <v>0</v>
      </c>
      <c r="CL11">
        <v>0</v>
      </c>
      <c r="CM11">
        <v>0</v>
      </c>
      <c r="CN11">
        <v>0</v>
      </c>
      <c r="CO11">
        <v>0</v>
      </c>
      <c r="CP11" t="s">
        <v>347</v>
      </c>
      <c r="CQ11" t="s">
        <v>348</v>
      </c>
    </row>
    <row r="12" spans="1:98">
      <c r="A12" s="5">
        <v>46188</v>
      </c>
      <c r="B12" t="s">
        <v>2304</v>
      </c>
      <c r="C12" t="s">
        <v>2305</v>
      </c>
      <c r="D12" t="s">
        <v>2306</v>
      </c>
      <c r="E12" t="s">
        <v>2307</v>
      </c>
      <c r="G12">
        <v>0</v>
      </c>
      <c r="H12">
        <v>-1</v>
      </c>
      <c r="O12" t="s">
        <v>338</v>
      </c>
      <c r="U12">
        <v>0</v>
      </c>
      <c r="V12">
        <v>0</v>
      </c>
      <c r="W12">
        <v>0</v>
      </c>
      <c r="X12">
        <v>0</v>
      </c>
      <c r="Y12" t="s">
        <v>359</v>
      </c>
      <c r="AB12">
        <v>0</v>
      </c>
      <c r="AC12">
        <v>0</v>
      </c>
      <c r="AE12">
        <v>-1</v>
      </c>
      <c r="AJ12" t="s">
        <v>342</v>
      </c>
      <c r="AK12" t="s">
        <v>353</v>
      </c>
      <c r="AM12">
        <v>0</v>
      </c>
      <c r="AN12">
        <v>0</v>
      </c>
      <c r="AQ12">
        <v>5.59</v>
      </c>
      <c r="AY12">
        <v>0</v>
      </c>
      <c r="BB12">
        <v>0</v>
      </c>
      <c r="BG12">
        <v>0</v>
      </c>
      <c r="BH12">
        <v>0</v>
      </c>
      <c r="CJ12">
        <v>0</v>
      </c>
      <c r="CK12">
        <v>0</v>
      </c>
      <c r="CL12">
        <v>0</v>
      </c>
      <c r="CM12">
        <v>0</v>
      </c>
      <c r="CN12">
        <v>0</v>
      </c>
      <c r="CO12">
        <v>0</v>
      </c>
      <c r="CP12" t="s">
        <v>347</v>
      </c>
      <c r="CQ12" t="s">
        <v>348</v>
      </c>
    </row>
    <row r="13" spans="1:98">
      <c r="A13" s="5">
        <v>46188</v>
      </c>
      <c r="B13" t="s">
        <v>2308</v>
      </c>
      <c r="C13" t="s">
        <v>2309</v>
      </c>
      <c r="D13" t="s">
        <v>2310</v>
      </c>
      <c r="E13" t="s">
        <v>2311</v>
      </c>
      <c r="G13">
        <v>0</v>
      </c>
      <c r="H13">
        <v>-1</v>
      </c>
      <c r="O13" t="s">
        <v>338</v>
      </c>
      <c r="U13">
        <v>0</v>
      </c>
      <c r="V13">
        <v>0</v>
      </c>
      <c r="W13">
        <v>0</v>
      </c>
      <c r="X13">
        <v>0</v>
      </c>
      <c r="Y13" t="s">
        <v>359</v>
      </c>
      <c r="AB13">
        <v>0</v>
      </c>
      <c r="AC13">
        <v>0</v>
      </c>
      <c r="AE13">
        <v>-1</v>
      </c>
      <c r="AJ13" t="s">
        <v>342</v>
      </c>
      <c r="AK13" t="s">
        <v>343</v>
      </c>
      <c r="AN13">
        <v>0</v>
      </c>
      <c r="AQ13">
        <v>12.99</v>
      </c>
      <c r="AY13">
        <v>0</v>
      </c>
      <c r="BB13">
        <v>0</v>
      </c>
      <c r="BG13">
        <v>0</v>
      </c>
      <c r="BH13">
        <v>0</v>
      </c>
      <c r="CJ13">
        <v>0</v>
      </c>
      <c r="CK13">
        <v>0</v>
      </c>
      <c r="CL13">
        <v>0</v>
      </c>
      <c r="CM13">
        <v>0</v>
      </c>
      <c r="CN13">
        <v>0</v>
      </c>
      <c r="CP13" t="s">
        <v>347</v>
      </c>
      <c r="CQ13" t="s">
        <v>348</v>
      </c>
    </row>
    <row r="14" spans="1:98">
      <c r="A14" s="5">
        <v>46188</v>
      </c>
      <c r="B14" t="s">
        <v>2312</v>
      </c>
      <c r="C14" t="s">
        <v>2313</v>
      </c>
      <c r="D14" t="s">
        <v>2314</v>
      </c>
      <c r="E14" t="s">
        <v>2315</v>
      </c>
      <c r="G14">
        <v>0</v>
      </c>
      <c r="H14">
        <v>-1</v>
      </c>
      <c r="O14" t="s">
        <v>338</v>
      </c>
      <c r="U14">
        <v>0</v>
      </c>
      <c r="V14">
        <v>0</v>
      </c>
      <c r="W14">
        <v>0</v>
      </c>
      <c r="X14">
        <v>0</v>
      </c>
      <c r="Y14" t="s">
        <v>359</v>
      </c>
      <c r="AB14">
        <v>0</v>
      </c>
      <c r="AC14">
        <v>0</v>
      </c>
      <c r="AE14">
        <v>-1</v>
      </c>
      <c r="AH14" t="s">
        <v>341</v>
      </c>
      <c r="AJ14" t="s">
        <v>342</v>
      </c>
      <c r="AK14" t="s">
        <v>353</v>
      </c>
      <c r="AN14">
        <v>0</v>
      </c>
      <c r="AQ14">
        <v>10.24</v>
      </c>
      <c r="AY14">
        <v>0</v>
      </c>
      <c r="BB14">
        <v>0</v>
      </c>
      <c r="BC14">
        <v>0</v>
      </c>
      <c r="BD14">
        <v>0</v>
      </c>
      <c r="BE14">
        <v>0</v>
      </c>
      <c r="BG14">
        <v>0</v>
      </c>
      <c r="BH14">
        <v>0</v>
      </c>
      <c r="CJ14">
        <v>0</v>
      </c>
      <c r="CK14">
        <v>0</v>
      </c>
      <c r="CL14">
        <v>0</v>
      </c>
      <c r="CM14">
        <v>0</v>
      </c>
      <c r="CN14">
        <v>0</v>
      </c>
      <c r="CP14" t="s">
        <v>347</v>
      </c>
      <c r="CQ14" t="s">
        <v>348</v>
      </c>
    </row>
    <row r="15" spans="1:98">
      <c r="A15" s="5">
        <v>46188</v>
      </c>
      <c r="B15" t="s">
        <v>2316</v>
      </c>
      <c r="C15" t="s">
        <v>1105</v>
      </c>
      <c r="D15" t="s">
        <v>2317</v>
      </c>
      <c r="E15" t="s">
        <v>1107</v>
      </c>
      <c r="G15">
        <v>0</v>
      </c>
      <c r="H15">
        <v>-1</v>
      </c>
      <c r="O15" t="s">
        <v>338</v>
      </c>
      <c r="U15">
        <v>0</v>
      </c>
      <c r="V15">
        <v>0</v>
      </c>
      <c r="W15">
        <v>0</v>
      </c>
      <c r="X15">
        <v>0</v>
      </c>
      <c r="Y15" t="s">
        <v>359</v>
      </c>
      <c r="AB15">
        <v>0</v>
      </c>
      <c r="AC15">
        <v>0</v>
      </c>
      <c r="AE15">
        <v>-1</v>
      </c>
      <c r="AJ15" t="s">
        <v>342</v>
      </c>
      <c r="AK15" t="s">
        <v>353</v>
      </c>
      <c r="AL15">
        <v>676390</v>
      </c>
      <c r="AN15">
        <v>0</v>
      </c>
      <c r="AQ15">
        <v>31.99</v>
      </c>
      <c r="AY15">
        <v>0</v>
      </c>
      <c r="BB15">
        <v>0</v>
      </c>
      <c r="BG15">
        <v>0</v>
      </c>
      <c r="BH15">
        <v>0</v>
      </c>
      <c r="CJ15">
        <v>0</v>
      </c>
      <c r="CK15">
        <v>0</v>
      </c>
      <c r="CL15">
        <v>0</v>
      </c>
      <c r="CM15">
        <v>0</v>
      </c>
      <c r="CN15">
        <v>0</v>
      </c>
      <c r="CP15" t="s">
        <v>347</v>
      </c>
      <c r="CQ15" t="s">
        <v>348</v>
      </c>
    </row>
    <row r="16" spans="1:98">
      <c r="A16" s="5">
        <v>46188</v>
      </c>
      <c r="B16" t="s">
        <v>2318</v>
      </c>
      <c r="C16" t="s">
        <v>2319</v>
      </c>
      <c r="D16" t="s">
        <v>2320</v>
      </c>
      <c r="E16" t="s">
        <v>2321</v>
      </c>
      <c r="G16">
        <v>0</v>
      </c>
      <c r="H16">
        <v>-1</v>
      </c>
      <c r="O16" t="s">
        <v>338</v>
      </c>
      <c r="U16">
        <v>0</v>
      </c>
      <c r="V16">
        <v>0</v>
      </c>
      <c r="W16">
        <v>0</v>
      </c>
      <c r="X16">
        <v>0</v>
      </c>
      <c r="Y16" t="s">
        <v>359</v>
      </c>
      <c r="AB16">
        <v>0</v>
      </c>
      <c r="AC16">
        <v>0</v>
      </c>
      <c r="AE16">
        <v>-1</v>
      </c>
      <c r="AJ16" t="s">
        <v>342</v>
      </c>
      <c r="AK16" t="s">
        <v>343</v>
      </c>
      <c r="AN16">
        <v>0</v>
      </c>
      <c r="AY16">
        <v>0</v>
      </c>
      <c r="BB16">
        <v>0</v>
      </c>
      <c r="BG16">
        <v>0</v>
      </c>
      <c r="BH16">
        <v>0</v>
      </c>
      <c r="CJ16">
        <v>0</v>
      </c>
      <c r="CK16">
        <v>0</v>
      </c>
      <c r="CL16">
        <v>0</v>
      </c>
      <c r="CM16">
        <v>0</v>
      </c>
      <c r="CN16">
        <v>0</v>
      </c>
      <c r="CP16" t="s">
        <v>347</v>
      </c>
      <c r="CQ16" t="s">
        <v>348</v>
      </c>
    </row>
    <row r="17" spans="1:95">
      <c r="A17" s="5">
        <v>46188</v>
      </c>
      <c r="B17" t="s">
        <v>2322</v>
      </c>
      <c r="C17" t="s">
        <v>2323</v>
      </c>
      <c r="D17" t="s">
        <v>2324</v>
      </c>
      <c r="E17" t="s">
        <v>2325</v>
      </c>
      <c r="G17">
        <v>0</v>
      </c>
      <c r="H17">
        <v>-1</v>
      </c>
      <c r="O17" t="s">
        <v>338</v>
      </c>
      <c r="U17">
        <v>0</v>
      </c>
      <c r="V17">
        <v>0</v>
      </c>
      <c r="W17">
        <v>0</v>
      </c>
      <c r="X17">
        <v>0</v>
      </c>
      <c r="Y17" t="s">
        <v>359</v>
      </c>
      <c r="AB17">
        <v>0</v>
      </c>
      <c r="AC17">
        <v>0</v>
      </c>
      <c r="AE17">
        <v>-1</v>
      </c>
      <c r="AH17" t="s">
        <v>341</v>
      </c>
      <c r="AJ17" t="s">
        <v>342</v>
      </c>
      <c r="AK17" t="s">
        <v>353</v>
      </c>
      <c r="AM17">
        <v>0</v>
      </c>
      <c r="AN17">
        <v>0</v>
      </c>
      <c r="AQ17">
        <v>12.99</v>
      </c>
      <c r="AY17">
        <v>0</v>
      </c>
      <c r="BB17">
        <v>0</v>
      </c>
      <c r="BC17">
        <v>0</v>
      </c>
      <c r="BD17">
        <v>0</v>
      </c>
      <c r="BE17">
        <v>0</v>
      </c>
      <c r="BG17">
        <v>0</v>
      </c>
      <c r="BH17">
        <v>0</v>
      </c>
      <c r="CJ17">
        <v>0</v>
      </c>
      <c r="CK17">
        <v>0</v>
      </c>
      <c r="CL17">
        <v>0</v>
      </c>
      <c r="CM17">
        <v>0</v>
      </c>
      <c r="CN17">
        <v>0</v>
      </c>
      <c r="CO17">
        <v>0</v>
      </c>
      <c r="CP17" t="s">
        <v>347</v>
      </c>
      <c r="CQ17" t="s">
        <v>348</v>
      </c>
    </row>
    <row r="18" spans="1:95">
      <c r="A18" s="5">
        <v>46188</v>
      </c>
      <c r="B18" t="s">
        <v>2326</v>
      </c>
      <c r="C18" t="s">
        <v>1940</v>
      </c>
      <c r="D18" t="s">
        <v>2327</v>
      </c>
      <c r="E18" t="s">
        <v>1942</v>
      </c>
      <c r="G18">
        <v>0</v>
      </c>
      <c r="H18">
        <v>-1</v>
      </c>
      <c r="O18" t="s">
        <v>338</v>
      </c>
      <c r="P18">
        <v>0</v>
      </c>
      <c r="Q18">
        <v>0</v>
      </c>
      <c r="R18">
        <v>0</v>
      </c>
      <c r="S18">
        <v>0</v>
      </c>
      <c r="U18">
        <v>0</v>
      </c>
      <c r="V18">
        <v>0</v>
      </c>
      <c r="W18">
        <v>0</v>
      </c>
      <c r="X18">
        <v>0</v>
      </c>
      <c r="Y18" t="s">
        <v>359</v>
      </c>
      <c r="AB18">
        <v>0</v>
      </c>
      <c r="AC18">
        <v>0</v>
      </c>
      <c r="AE18">
        <v>-1</v>
      </c>
      <c r="AH18" t="s">
        <v>341</v>
      </c>
      <c r="AJ18" t="s">
        <v>342</v>
      </c>
      <c r="AK18" t="s">
        <v>353</v>
      </c>
      <c r="AM18">
        <v>0</v>
      </c>
      <c r="AN18">
        <v>0</v>
      </c>
      <c r="AQ18">
        <v>36.99</v>
      </c>
      <c r="AR18">
        <v>0</v>
      </c>
      <c r="AS18">
        <v>0</v>
      </c>
      <c r="AT18">
        <v>0</v>
      </c>
      <c r="AU18">
        <v>0</v>
      </c>
      <c r="AY18">
        <v>0</v>
      </c>
      <c r="BB18">
        <v>0</v>
      </c>
      <c r="BC18">
        <v>0</v>
      </c>
      <c r="BD18">
        <v>0</v>
      </c>
      <c r="BE18">
        <v>0</v>
      </c>
      <c r="BG18">
        <v>0</v>
      </c>
      <c r="BH18">
        <v>0</v>
      </c>
      <c r="BZ18">
        <v>1</v>
      </c>
      <c r="CA18" t="s">
        <v>429</v>
      </c>
      <c r="CJ18">
        <v>0</v>
      </c>
      <c r="CK18">
        <v>0</v>
      </c>
      <c r="CL18">
        <v>0</v>
      </c>
      <c r="CM18">
        <v>0</v>
      </c>
      <c r="CN18">
        <v>0</v>
      </c>
      <c r="CO18">
        <v>0</v>
      </c>
      <c r="CP18" t="s">
        <v>347</v>
      </c>
      <c r="CQ18" t="s">
        <v>348</v>
      </c>
    </row>
    <row r="19" spans="1:95">
      <c r="A19" s="5">
        <v>46188</v>
      </c>
      <c r="B19" t="s">
        <v>2328</v>
      </c>
      <c r="C19" t="s">
        <v>668</v>
      </c>
      <c r="D19" t="s">
        <v>2329</v>
      </c>
      <c r="E19" t="s">
        <v>670</v>
      </c>
      <c r="G19">
        <v>0</v>
      </c>
      <c r="H19">
        <v>-1</v>
      </c>
      <c r="O19" t="s">
        <v>338</v>
      </c>
      <c r="U19">
        <v>0</v>
      </c>
      <c r="V19">
        <v>0</v>
      </c>
      <c r="W19">
        <v>0</v>
      </c>
      <c r="X19">
        <v>0</v>
      </c>
      <c r="Y19" t="s">
        <v>359</v>
      </c>
      <c r="AB19">
        <v>0</v>
      </c>
      <c r="AC19">
        <v>0</v>
      </c>
      <c r="AE19">
        <v>-1</v>
      </c>
      <c r="AH19" t="s">
        <v>341</v>
      </c>
      <c r="AJ19" t="s">
        <v>342</v>
      </c>
      <c r="AK19" t="s">
        <v>353</v>
      </c>
      <c r="AM19">
        <v>0</v>
      </c>
      <c r="AN19">
        <v>0</v>
      </c>
      <c r="AQ19">
        <v>32.9</v>
      </c>
      <c r="AY19">
        <v>0</v>
      </c>
      <c r="BB19">
        <v>0</v>
      </c>
      <c r="BC19">
        <v>0</v>
      </c>
      <c r="BD19">
        <v>0</v>
      </c>
      <c r="BE19">
        <v>0</v>
      </c>
      <c r="BG19">
        <v>0</v>
      </c>
      <c r="BH19">
        <v>0</v>
      </c>
      <c r="CJ19">
        <v>0</v>
      </c>
      <c r="CK19">
        <v>0</v>
      </c>
      <c r="CL19">
        <v>0</v>
      </c>
      <c r="CM19">
        <v>0</v>
      </c>
      <c r="CN19">
        <v>0</v>
      </c>
      <c r="CO19">
        <v>0</v>
      </c>
      <c r="CP19" t="s">
        <v>347</v>
      </c>
      <c r="CQ19" t="s">
        <v>348</v>
      </c>
    </row>
    <row r="20" spans="1:95">
      <c r="A20" s="5">
        <v>46188</v>
      </c>
      <c r="B20" t="s">
        <v>2330</v>
      </c>
      <c r="C20" t="s">
        <v>127</v>
      </c>
      <c r="D20" t="s">
        <v>2331</v>
      </c>
      <c r="E20" t="s">
        <v>992</v>
      </c>
      <c r="G20">
        <v>0</v>
      </c>
      <c r="H20">
        <v>-1</v>
      </c>
      <c r="O20" t="s">
        <v>338</v>
      </c>
      <c r="U20">
        <v>0</v>
      </c>
      <c r="V20">
        <v>0</v>
      </c>
      <c r="W20">
        <v>0</v>
      </c>
      <c r="X20">
        <v>0</v>
      </c>
      <c r="Y20" t="s">
        <v>359</v>
      </c>
      <c r="AB20">
        <v>0</v>
      </c>
      <c r="AC20">
        <v>0</v>
      </c>
      <c r="AE20">
        <v>-1</v>
      </c>
      <c r="AH20" t="s">
        <v>341</v>
      </c>
      <c r="AJ20" t="s">
        <v>342</v>
      </c>
      <c r="AK20" t="s">
        <v>465</v>
      </c>
      <c r="AL20">
        <v>2409</v>
      </c>
      <c r="AN20">
        <v>0</v>
      </c>
      <c r="AQ20">
        <v>14.99</v>
      </c>
      <c r="AY20">
        <v>0</v>
      </c>
      <c r="BB20">
        <v>0</v>
      </c>
      <c r="BC20">
        <v>0</v>
      </c>
      <c r="BD20">
        <v>0</v>
      </c>
      <c r="BE20">
        <v>0</v>
      </c>
      <c r="BG20">
        <v>0</v>
      </c>
      <c r="BH20">
        <v>0</v>
      </c>
      <c r="CJ20">
        <v>0</v>
      </c>
      <c r="CK20">
        <v>0</v>
      </c>
      <c r="CL20">
        <v>0</v>
      </c>
      <c r="CM20">
        <v>0</v>
      </c>
      <c r="CN20">
        <v>0</v>
      </c>
      <c r="CP20" t="s">
        <v>347</v>
      </c>
      <c r="CQ20" t="s">
        <v>348</v>
      </c>
    </row>
    <row r="21" spans="1:95">
      <c r="A21" s="5">
        <v>46188</v>
      </c>
      <c r="B21" t="s">
        <v>2332</v>
      </c>
      <c r="C21" t="s">
        <v>2333</v>
      </c>
      <c r="D21" t="s">
        <v>2334</v>
      </c>
      <c r="E21" t="s">
        <v>2335</v>
      </c>
      <c r="G21">
        <v>0</v>
      </c>
      <c r="H21">
        <v>-1</v>
      </c>
      <c r="O21" t="s">
        <v>338</v>
      </c>
      <c r="U21">
        <v>0</v>
      </c>
      <c r="V21">
        <v>0</v>
      </c>
      <c r="W21">
        <v>0</v>
      </c>
      <c r="X21">
        <v>0</v>
      </c>
      <c r="Y21" t="s">
        <v>359</v>
      </c>
      <c r="AB21">
        <v>0</v>
      </c>
      <c r="AC21">
        <v>0</v>
      </c>
      <c r="AE21">
        <v>-1</v>
      </c>
      <c r="AH21" t="s">
        <v>341</v>
      </c>
      <c r="AJ21" t="s">
        <v>342</v>
      </c>
      <c r="AK21" t="s">
        <v>353</v>
      </c>
      <c r="AN21">
        <v>0</v>
      </c>
      <c r="AQ21">
        <v>10.49</v>
      </c>
      <c r="AY21">
        <v>0</v>
      </c>
      <c r="BB21">
        <v>0</v>
      </c>
      <c r="BC21">
        <v>0</v>
      </c>
      <c r="BD21">
        <v>0</v>
      </c>
      <c r="BE21">
        <v>0</v>
      </c>
      <c r="BG21">
        <v>0</v>
      </c>
      <c r="BH21">
        <v>0</v>
      </c>
      <c r="CJ21">
        <v>0</v>
      </c>
      <c r="CK21">
        <v>0</v>
      </c>
      <c r="CL21">
        <v>0</v>
      </c>
      <c r="CM21">
        <v>0</v>
      </c>
      <c r="CN21">
        <v>0</v>
      </c>
      <c r="CP21" t="s">
        <v>347</v>
      </c>
      <c r="CQ21" t="s">
        <v>348</v>
      </c>
    </row>
    <row r="22" spans="1:95">
      <c r="A22" s="5">
        <v>46188</v>
      </c>
      <c r="B22" t="s">
        <v>2336</v>
      </c>
      <c r="C22" t="s">
        <v>1352</v>
      </c>
      <c r="D22" t="s">
        <v>2337</v>
      </c>
      <c r="E22" t="s">
        <v>1354</v>
      </c>
      <c r="G22">
        <v>0</v>
      </c>
      <c r="H22">
        <v>-1</v>
      </c>
      <c r="O22" t="s">
        <v>338</v>
      </c>
      <c r="U22">
        <v>0</v>
      </c>
      <c r="V22">
        <v>0</v>
      </c>
      <c r="W22">
        <v>0</v>
      </c>
      <c r="X22">
        <v>0</v>
      </c>
      <c r="Y22" t="s">
        <v>359</v>
      </c>
      <c r="AB22">
        <v>0</v>
      </c>
      <c r="AC22">
        <v>0</v>
      </c>
      <c r="AE22">
        <v>-1</v>
      </c>
      <c r="AJ22" t="s">
        <v>342</v>
      </c>
      <c r="AK22" t="s">
        <v>343</v>
      </c>
      <c r="AM22">
        <v>0</v>
      </c>
      <c r="AN22">
        <v>0</v>
      </c>
      <c r="AQ22">
        <v>42.99</v>
      </c>
      <c r="AY22">
        <v>0</v>
      </c>
      <c r="BB22">
        <v>0</v>
      </c>
      <c r="BG22">
        <v>0</v>
      </c>
      <c r="BH22">
        <v>0</v>
      </c>
      <c r="CJ22">
        <v>0</v>
      </c>
      <c r="CK22">
        <v>0</v>
      </c>
      <c r="CL22">
        <v>0</v>
      </c>
      <c r="CM22">
        <v>0</v>
      </c>
      <c r="CN22">
        <v>0</v>
      </c>
      <c r="CO22">
        <v>0</v>
      </c>
      <c r="CP22" t="s">
        <v>347</v>
      </c>
      <c r="CQ22" t="s">
        <v>348</v>
      </c>
    </row>
    <row r="23" spans="1:95">
      <c r="A23" s="5">
        <v>46188</v>
      </c>
      <c r="B23" t="s">
        <v>2338</v>
      </c>
      <c r="C23" t="s">
        <v>113</v>
      </c>
      <c r="D23" t="s">
        <v>2339</v>
      </c>
      <c r="E23" t="s">
        <v>579</v>
      </c>
      <c r="G23">
        <v>0</v>
      </c>
      <c r="H23">
        <v>-1</v>
      </c>
      <c r="O23" t="s">
        <v>338</v>
      </c>
      <c r="U23">
        <v>0</v>
      </c>
      <c r="V23">
        <v>0</v>
      </c>
      <c r="W23">
        <v>0</v>
      </c>
      <c r="X23">
        <v>0</v>
      </c>
      <c r="Y23" t="s">
        <v>359</v>
      </c>
      <c r="AB23">
        <v>0</v>
      </c>
      <c r="AC23">
        <v>0</v>
      </c>
      <c r="AE23">
        <v>-1</v>
      </c>
      <c r="AH23" t="s">
        <v>341</v>
      </c>
      <c r="AJ23" t="s">
        <v>342</v>
      </c>
      <c r="AK23" t="s">
        <v>343</v>
      </c>
      <c r="AL23">
        <v>32209</v>
      </c>
      <c r="AN23">
        <v>0</v>
      </c>
      <c r="AQ23">
        <v>39.99</v>
      </c>
      <c r="AY23">
        <v>0</v>
      </c>
      <c r="BB23">
        <v>0</v>
      </c>
      <c r="BC23">
        <v>0</v>
      </c>
      <c r="BD23">
        <v>0</v>
      </c>
      <c r="BE23">
        <v>0</v>
      </c>
      <c r="BG23">
        <v>0</v>
      </c>
      <c r="BH23">
        <v>0</v>
      </c>
      <c r="CJ23">
        <v>0</v>
      </c>
      <c r="CK23">
        <v>0</v>
      </c>
      <c r="CL23">
        <v>0</v>
      </c>
      <c r="CM23">
        <v>0</v>
      </c>
      <c r="CN23">
        <v>0</v>
      </c>
      <c r="CP23" t="s">
        <v>347</v>
      </c>
      <c r="CQ23" t="s">
        <v>348</v>
      </c>
    </row>
    <row r="24" spans="1:95">
      <c r="A24" s="5">
        <v>46188</v>
      </c>
      <c r="B24" t="s">
        <v>2340</v>
      </c>
      <c r="C24" t="s">
        <v>2341</v>
      </c>
      <c r="D24" t="s">
        <v>2342</v>
      </c>
      <c r="E24" t="s">
        <v>2343</v>
      </c>
      <c r="G24">
        <v>0</v>
      </c>
      <c r="H24">
        <v>-1</v>
      </c>
      <c r="O24" t="s">
        <v>338</v>
      </c>
      <c r="U24">
        <v>0</v>
      </c>
      <c r="V24">
        <v>0</v>
      </c>
      <c r="W24">
        <v>0</v>
      </c>
      <c r="X24">
        <v>0</v>
      </c>
      <c r="Y24" t="s">
        <v>359</v>
      </c>
      <c r="AB24">
        <v>0</v>
      </c>
      <c r="AC24">
        <v>0</v>
      </c>
      <c r="AE24">
        <v>-1</v>
      </c>
      <c r="AJ24" t="s">
        <v>342</v>
      </c>
      <c r="AK24" t="s">
        <v>353</v>
      </c>
      <c r="AM24">
        <v>0</v>
      </c>
      <c r="AN24">
        <v>0</v>
      </c>
      <c r="AQ24">
        <v>7.19</v>
      </c>
      <c r="AY24">
        <v>0</v>
      </c>
      <c r="BB24">
        <v>0</v>
      </c>
      <c r="BG24">
        <v>0</v>
      </c>
      <c r="BH24">
        <v>0</v>
      </c>
      <c r="CJ24">
        <v>0</v>
      </c>
      <c r="CK24">
        <v>0</v>
      </c>
      <c r="CL24">
        <v>0</v>
      </c>
      <c r="CM24">
        <v>0</v>
      </c>
      <c r="CN24">
        <v>0</v>
      </c>
      <c r="CO24">
        <v>0</v>
      </c>
      <c r="CP24" t="s">
        <v>347</v>
      </c>
      <c r="CQ24" t="s">
        <v>348</v>
      </c>
    </row>
    <row r="25" spans="1:95">
      <c r="A25" s="5">
        <v>46188</v>
      </c>
      <c r="B25" t="s">
        <v>2344</v>
      </c>
      <c r="C25" t="s">
        <v>2345</v>
      </c>
      <c r="D25" t="s">
        <v>2346</v>
      </c>
      <c r="E25" t="s">
        <v>2347</v>
      </c>
      <c r="G25">
        <v>0</v>
      </c>
      <c r="H25">
        <v>-1</v>
      </c>
      <c r="O25" t="s">
        <v>338</v>
      </c>
      <c r="U25">
        <v>0</v>
      </c>
      <c r="V25">
        <v>0</v>
      </c>
      <c r="W25">
        <v>0</v>
      </c>
      <c r="X25">
        <v>0</v>
      </c>
      <c r="Y25" t="s">
        <v>359</v>
      </c>
      <c r="AB25">
        <v>0</v>
      </c>
      <c r="AC25">
        <v>0</v>
      </c>
      <c r="AE25">
        <v>-1</v>
      </c>
      <c r="AJ25" t="s">
        <v>342</v>
      </c>
      <c r="AK25" t="s">
        <v>343</v>
      </c>
      <c r="AM25">
        <v>0</v>
      </c>
      <c r="AN25">
        <v>0</v>
      </c>
      <c r="AQ25">
        <v>13.49</v>
      </c>
      <c r="AY25">
        <v>0</v>
      </c>
      <c r="BB25">
        <v>0</v>
      </c>
      <c r="BG25">
        <v>0</v>
      </c>
      <c r="BH25">
        <v>0</v>
      </c>
      <c r="CJ25">
        <v>0</v>
      </c>
      <c r="CK25">
        <v>0</v>
      </c>
      <c r="CL25">
        <v>0</v>
      </c>
      <c r="CM25">
        <v>0</v>
      </c>
      <c r="CN25">
        <v>0</v>
      </c>
      <c r="CO25">
        <v>0</v>
      </c>
      <c r="CP25" t="s">
        <v>347</v>
      </c>
      <c r="CQ25" t="s">
        <v>348</v>
      </c>
    </row>
    <row r="26" spans="1:95">
      <c r="A26" s="5">
        <v>46188</v>
      </c>
      <c r="B26" t="s">
        <v>2348</v>
      </c>
      <c r="C26" t="s">
        <v>200</v>
      </c>
      <c r="D26" t="s">
        <v>2349</v>
      </c>
      <c r="E26" t="s">
        <v>590</v>
      </c>
      <c r="G26">
        <v>0</v>
      </c>
      <c r="H26">
        <v>-1</v>
      </c>
      <c r="O26" t="s">
        <v>338</v>
      </c>
      <c r="U26">
        <v>0</v>
      </c>
      <c r="V26">
        <v>0</v>
      </c>
      <c r="W26">
        <v>0</v>
      </c>
      <c r="X26">
        <v>0</v>
      </c>
      <c r="Y26" t="s">
        <v>359</v>
      </c>
      <c r="AB26">
        <v>0</v>
      </c>
      <c r="AC26">
        <v>0</v>
      </c>
      <c r="AE26">
        <v>-1</v>
      </c>
      <c r="AJ26" t="s">
        <v>342</v>
      </c>
      <c r="AK26" t="s">
        <v>353</v>
      </c>
      <c r="AL26">
        <v>243893</v>
      </c>
      <c r="AN26">
        <v>0</v>
      </c>
      <c r="AQ26">
        <v>15.99</v>
      </c>
      <c r="AY26">
        <v>0</v>
      </c>
      <c r="BB26">
        <v>0</v>
      </c>
      <c r="BG26">
        <v>0</v>
      </c>
      <c r="BH26">
        <v>0</v>
      </c>
      <c r="CJ26">
        <v>0</v>
      </c>
      <c r="CK26">
        <v>0</v>
      </c>
      <c r="CL26">
        <v>0</v>
      </c>
      <c r="CM26">
        <v>0</v>
      </c>
      <c r="CN26">
        <v>0</v>
      </c>
      <c r="CP26" t="s">
        <v>347</v>
      </c>
      <c r="CQ26" t="s">
        <v>348</v>
      </c>
    </row>
    <row r="27" spans="1:95">
      <c r="A27" s="5">
        <v>46188</v>
      </c>
      <c r="B27" t="s">
        <v>2350</v>
      </c>
      <c r="C27" t="s">
        <v>94</v>
      </c>
      <c r="D27" t="s">
        <v>100</v>
      </c>
      <c r="E27" t="s">
        <v>2351</v>
      </c>
      <c r="F27" t="s">
        <v>337</v>
      </c>
      <c r="G27">
        <v>0</v>
      </c>
      <c r="H27">
        <v>-1</v>
      </c>
      <c r="O27" t="s">
        <v>338</v>
      </c>
      <c r="P27">
        <v>0</v>
      </c>
      <c r="Q27">
        <v>8</v>
      </c>
      <c r="R27">
        <v>66</v>
      </c>
      <c r="S27">
        <v>67</v>
      </c>
      <c r="U27">
        <v>19.99</v>
      </c>
      <c r="V27">
        <v>0</v>
      </c>
      <c r="W27">
        <v>0</v>
      </c>
      <c r="X27">
        <v>0</v>
      </c>
      <c r="Y27" t="s">
        <v>359</v>
      </c>
      <c r="AA27">
        <v>0</v>
      </c>
      <c r="AB27">
        <v>0</v>
      </c>
      <c r="AC27">
        <v>0</v>
      </c>
      <c r="AD27">
        <v>0</v>
      </c>
      <c r="AE27">
        <v>-1</v>
      </c>
      <c r="AH27" t="s">
        <v>341</v>
      </c>
      <c r="AJ27" t="s">
        <v>342</v>
      </c>
      <c r="AK27" t="s">
        <v>353</v>
      </c>
      <c r="AL27">
        <v>442941</v>
      </c>
      <c r="AM27">
        <v>35</v>
      </c>
      <c r="AN27">
        <v>0</v>
      </c>
      <c r="AO27">
        <v>131</v>
      </c>
      <c r="AP27">
        <v>51</v>
      </c>
      <c r="AQ27">
        <v>14.19</v>
      </c>
      <c r="AR27">
        <v>0</v>
      </c>
      <c r="AS27">
        <v>119.32</v>
      </c>
      <c r="AT27">
        <v>1024.74</v>
      </c>
      <c r="AU27">
        <v>1040.73</v>
      </c>
      <c r="AY27">
        <v>0</v>
      </c>
      <c r="BA27">
        <v>0.2</v>
      </c>
      <c r="BB27">
        <v>263</v>
      </c>
      <c r="BC27">
        <v>240</v>
      </c>
      <c r="BD27">
        <v>23</v>
      </c>
      <c r="BE27">
        <v>0</v>
      </c>
      <c r="BG27">
        <v>0</v>
      </c>
      <c r="BH27">
        <v>1</v>
      </c>
      <c r="BY27">
        <v>27.6</v>
      </c>
      <c r="CD27" s="5">
        <v>46188</v>
      </c>
      <c r="CE27" t="s">
        <v>345</v>
      </c>
      <c r="CF27" t="s">
        <v>346</v>
      </c>
      <c r="CG27">
        <v>5.3</v>
      </c>
      <c r="CH27">
        <v>27.6</v>
      </c>
      <c r="CJ27">
        <v>263</v>
      </c>
      <c r="CK27">
        <v>0</v>
      </c>
      <c r="CL27">
        <v>0</v>
      </c>
      <c r="CM27">
        <v>0</v>
      </c>
      <c r="CN27">
        <v>0</v>
      </c>
      <c r="CO27">
        <v>326</v>
      </c>
      <c r="CP27" t="s">
        <v>347</v>
      </c>
      <c r="CQ27" t="s">
        <v>348</v>
      </c>
    </row>
    <row r="28" spans="1:95">
      <c r="A28" s="5">
        <v>46188</v>
      </c>
      <c r="B28" t="s">
        <v>2352</v>
      </c>
      <c r="C28" t="s">
        <v>1439</v>
      </c>
      <c r="D28" t="s">
        <v>2353</v>
      </c>
      <c r="E28" t="s">
        <v>1441</v>
      </c>
      <c r="G28">
        <v>0</v>
      </c>
      <c r="H28">
        <v>-1</v>
      </c>
      <c r="O28" t="s">
        <v>338</v>
      </c>
      <c r="U28">
        <v>0</v>
      </c>
      <c r="V28">
        <v>0</v>
      </c>
      <c r="W28">
        <v>0</v>
      </c>
      <c r="X28">
        <v>0</v>
      </c>
      <c r="Y28" t="s">
        <v>359</v>
      </c>
      <c r="AB28">
        <v>0</v>
      </c>
      <c r="AC28">
        <v>0</v>
      </c>
      <c r="AE28">
        <v>-1</v>
      </c>
      <c r="AJ28" t="s">
        <v>342</v>
      </c>
      <c r="AK28" t="s">
        <v>353</v>
      </c>
      <c r="AN28">
        <v>0</v>
      </c>
      <c r="AQ28">
        <v>15.99</v>
      </c>
      <c r="AY28">
        <v>0</v>
      </c>
      <c r="BB28">
        <v>0</v>
      </c>
      <c r="BG28">
        <v>0</v>
      </c>
      <c r="BH28">
        <v>0</v>
      </c>
      <c r="CJ28">
        <v>0</v>
      </c>
      <c r="CK28">
        <v>0</v>
      </c>
      <c r="CL28">
        <v>0</v>
      </c>
      <c r="CM28">
        <v>0</v>
      </c>
      <c r="CN28">
        <v>0</v>
      </c>
      <c r="CP28" t="s">
        <v>347</v>
      </c>
      <c r="CQ28" t="s">
        <v>348</v>
      </c>
    </row>
    <row r="29" spans="1:95">
      <c r="A29" s="5">
        <v>46188</v>
      </c>
      <c r="B29" t="s">
        <v>2354</v>
      </c>
      <c r="C29" t="s">
        <v>2355</v>
      </c>
      <c r="D29" t="s">
        <v>2356</v>
      </c>
      <c r="E29" t="s">
        <v>2357</v>
      </c>
      <c r="G29">
        <v>0</v>
      </c>
      <c r="H29">
        <v>-1</v>
      </c>
      <c r="O29" t="s">
        <v>338</v>
      </c>
      <c r="U29">
        <v>0</v>
      </c>
      <c r="V29">
        <v>0</v>
      </c>
      <c r="W29">
        <v>0</v>
      </c>
      <c r="X29">
        <v>0</v>
      </c>
      <c r="Y29" t="s">
        <v>359</v>
      </c>
      <c r="AB29">
        <v>0</v>
      </c>
      <c r="AC29">
        <v>0</v>
      </c>
      <c r="AE29">
        <v>-1</v>
      </c>
      <c r="AH29" t="s">
        <v>1733</v>
      </c>
      <c r="AJ29" t="s">
        <v>342</v>
      </c>
      <c r="AK29" t="s">
        <v>1734</v>
      </c>
      <c r="AN29">
        <v>0</v>
      </c>
      <c r="AQ29">
        <v>12.99</v>
      </c>
      <c r="AY29">
        <v>0</v>
      </c>
      <c r="BB29">
        <v>0</v>
      </c>
      <c r="BC29">
        <v>0</v>
      </c>
      <c r="BD29">
        <v>0</v>
      </c>
      <c r="BE29">
        <v>0</v>
      </c>
      <c r="BG29">
        <v>0</v>
      </c>
      <c r="BH29">
        <v>0</v>
      </c>
      <c r="CJ29">
        <v>0</v>
      </c>
      <c r="CK29">
        <v>0</v>
      </c>
      <c r="CL29">
        <v>0</v>
      </c>
      <c r="CM29">
        <v>0</v>
      </c>
      <c r="CN29">
        <v>0</v>
      </c>
      <c r="CP29" t="s">
        <v>347</v>
      </c>
      <c r="CQ29" t="s">
        <v>348</v>
      </c>
    </row>
    <row r="30" spans="1:95">
      <c r="A30" s="5">
        <v>46188</v>
      </c>
      <c r="B30" t="s">
        <v>2358</v>
      </c>
      <c r="C30" t="s">
        <v>2359</v>
      </c>
      <c r="D30" t="s">
        <v>2360</v>
      </c>
      <c r="E30" t="s">
        <v>2361</v>
      </c>
      <c r="G30">
        <v>0</v>
      </c>
      <c r="H30">
        <v>-1</v>
      </c>
      <c r="O30" t="s">
        <v>338</v>
      </c>
      <c r="U30">
        <v>0</v>
      </c>
      <c r="V30">
        <v>0</v>
      </c>
      <c r="W30">
        <v>0</v>
      </c>
      <c r="X30">
        <v>0</v>
      </c>
      <c r="Y30" t="s">
        <v>359</v>
      </c>
      <c r="AB30">
        <v>0</v>
      </c>
      <c r="AC30">
        <v>0</v>
      </c>
      <c r="AE30">
        <v>-1</v>
      </c>
      <c r="AJ30" t="s">
        <v>342</v>
      </c>
      <c r="AK30" t="s">
        <v>343</v>
      </c>
      <c r="AN30">
        <v>0</v>
      </c>
      <c r="AQ30">
        <v>22.99</v>
      </c>
      <c r="AY30">
        <v>0</v>
      </c>
      <c r="BB30">
        <v>0</v>
      </c>
      <c r="BG30">
        <v>0</v>
      </c>
      <c r="BH30">
        <v>0</v>
      </c>
      <c r="CJ30">
        <v>0</v>
      </c>
      <c r="CK30">
        <v>0</v>
      </c>
      <c r="CL30">
        <v>0</v>
      </c>
      <c r="CM30">
        <v>0</v>
      </c>
      <c r="CN30">
        <v>0</v>
      </c>
      <c r="CP30" t="s">
        <v>347</v>
      </c>
      <c r="CQ30" t="s">
        <v>348</v>
      </c>
    </row>
    <row r="31" spans="1:95">
      <c r="A31" s="5">
        <v>46188</v>
      </c>
      <c r="B31" t="s">
        <v>2362</v>
      </c>
      <c r="C31" t="s">
        <v>123</v>
      </c>
      <c r="D31" t="s">
        <v>2363</v>
      </c>
      <c r="E31" t="s">
        <v>681</v>
      </c>
      <c r="G31">
        <v>0</v>
      </c>
      <c r="H31">
        <v>-1</v>
      </c>
      <c r="O31" t="s">
        <v>338</v>
      </c>
      <c r="U31">
        <v>0</v>
      </c>
      <c r="V31">
        <v>0</v>
      </c>
      <c r="W31">
        <v>0</v>
      </c>
      <c r="X31">
        <v>0</v>
      </c>
      <c r="Y31" t="s">
        <v>359</v>
      </c>
      <c r="AB31">
        <v>0</v>
      </c>
      <c r="AC31">
        <v>0</v>
      </c>
      <c r="AE31">
        <v>-1</v>
      </c>
      <c r="AJ31" t="s">
        <v>342</v>
      </c>
      <c r="AK31" t="s">
        <v>353</v>
      </c>
      <c r="AM31">
        <v>0</v>
      </c>
      <c r="AN31">
        <v>0</v>
      </c>
      <c r="AQ31">
        <v>39.99</v>
      </c>
      <c r="AY31">
        <v>0</v>
      </c>
      <c r="BB31">
        <v>0</v>
      </c>
      <c r="BG31">
        <v>0</v>
      </c>
      <c r="BH31">
        <v>0</v>
      </c>
      <c r="CJ31">
        <v>0</v>
      </c>
      <c r="CK31">
        <v>0</v>
      </c>
      <c r="CL31">
        <v>0</v>
      </c>
      <c r="CM31">
        <v>0</v>
      </c>
      <c r="CN31">
        <v>0</v>
      </c>
      <c r="CO31">
        <v>0</v>
      </c>
      <c r="CP31" t="s">
        <v>347</v>
      </c>
      <c r="CQ31" t="s">
        <v>348</v>
      </c>
    </row>
    <row r="32" spans="1:95">
      <c r="A32" s="5">
        <v>46188</v>
      </c>
      <c r="B32" t="s">
        <v>2364</v>
      </c>
      <c r="C32" t="s">
        <v>93</v>
      </c>
      <c r="D32" t="s">
        <v>99</v>
      </c>
      <c r="E32" t="s">
        <v>2365</v>
      </c>
      <c r="F32" t="s">
        <v>337</v>
      </c>
      <c r="H32">
        <v>-1</v>
      </c>
      <c r="O32" t="s">
        <v>338</v>
      </c>
      <c r="P32">
        <v>0</v>
      </c>
      <c r="Q32">
        <v>4</v>
      </c>
      <c r="R32">
        <v>14</v>
      </c>
      <c r="S32">
        <v>20</v>
      </c>
      <c r="U32">
        <v>19.99</v>
      </c>
      <c r="V32">
        <v>0</v>
      </c>
      <c r="W32">
        <v>0</v>
      </c>
      <c r="X32">
        <v>0</v>
      </c>
      <c r="Y32" t="s">
        <v>352</v>
      </c>
      <c r="AA32">
        <v>9.93</v>
      </c>
      <c r="AB32">
        <v>2</v>
      </c>
      <c r="AC32">
        <v>0</v>
      </c>
      <c r="AD32">
        <v>16.41</v>
      </c>
      <c r="AE32">
        <v>-1</v>
      </c>
      <c r="AH32" t="s">
        <v>1733</v>
      </c>
      <c r="AJ32" t="s">
        <v>342</v>
      </c>
      <c r="AK32" t="s">
        <v>343</v>
      </c>
      <c r="AL32">
        <v>213208</v>
      </c>
      <c r="AM32">
        <v>0</v>
      </c>
      <c r="AN32">
        <v>0</v>
      </c>
      <c r="AO32">
        <v>0</v>
      </c>
      <c r="AP32">
        <v>0</v>
      </c>
      <c r="AR32">
        <v>0</v>
      </c>
      <c r="AS32">
        <v>62.56</v>
      </c>
      <c r="AT32">
        <v>206.06</v>
      </c>
      <c r="AU32">
        <v>296</v>
      </c>
      <c r="AY32">
        <v>0</v>
      </c>
      <c r="BA32">
        <v>1.88</v>
      </c>
      <c r="BB32">
        <v>0</v>
      </c>
      <c r="BG32">
        <v>0</v>
      </c>
      <c r="BY32">
        <v>267.5</v>
      </c>
      <c r="BZ32">
        <v>9</v>
      </c>
      <c r="CD32" s="5">
        <v>46188</v>
      </c>
      <c r="CE32" t="s">
        <v>345</v>
      </c>
      <c r="CF32" t="s">
        <v>346</v>
      </c>
      <c r="CG32">
        <v>267.5</v>
      </c>
      <c r="CH32">
        <v>193.7</v>
      </c>
      <c r="CJ32">
        <v>0</v>
      </c>
      <c r="CL32">
        <v>0</v>
      </c>
      <c r="CN32">
        <v>0</v>
      </c>
      <c r="CO32">
        <v>0</v>
      </c>
      <c r="CQ32" t="s">
        <v>348</v>
      </c>
    </row>
    <row r="33" spans="1:95">
      <c r="A33" s="5">
        <v>46188</v>
      </c>
      <c r="B33" t="s">
        <v>2366</v>
      </c>
      <c r="C33" t="s">
        <v>2039</v>
      </c>
      <c r="D33" t="s">
        <v>2367</v>
      </c>
      <c r="E33" t="s">
        <v>2041</v>
      </c>
      <c r="G33">
        <v>0</v>
      </c>
      <c r="H33">
        <v>-1</v>
      </c>
      <c r="O33" t="s">
        <v>338</v>
      </c>
      <c r="U33">
        <v>0</v>
      </c>
      <c r="V33">
        <v>0</v>
      </c>
      <c r="W33">
        <v>0</v>
      </c>
      <c r="X33">
        <v>0</v>
      </c>
      <c r="Y33" t="s">
        <v>359</v>
      </c>
      <c r="AB33">
        <v>0</v>
      </c>
      <c r="AC33">
        <v>0</v>
      </c>
      <c r="AE33">
        <v>-1</v>
      </c>
      <c r="AH33" t="s">
        <v>341</v>
      </c>
      <c r="AJ33" t="s">
        <v>342</v>
      </c>
      <c r="AK33" t="s">
        <v>353</v>
      </c>
      <c r="AN33">
        <v>0</v>
      </c>
      <c r="AQ33">
        <v>99</v>
      </c>
      <c r="AY33">
        <v>0</v>
      </c>
      <c r="BB33">
        <v>0</v>
      </c>
      <c r="BC33">
        <v>0</v>
      </c>
      <c r="BD33">
        <v>0</v>
      </c>
      <c r="BE33">
        <v>0</v>
      </c>
      <c r="BG33">
        <v>0</v>
      </c>
      <c r="BH33">
        <v>0</v>
      </c>
      <c r="CJ33">
        <v>0</v>
      </c>
      <c r="CK33">
        <v>0</v>
      </c>
      <c r="CL33">
        <v>0</v>
      </c>
      <c r="CM33">
        <v>0</v>
      </c>
      <c r="CN33">
        <v>0</v>
      </c>
      <c r="CP33" t="s">
        <v>347</v>
      </c>
      <c r="CQ33" t="s">
        <v>348</v>
      </c>
    </row>
    <row r="34" spans="1:95">
      <c r="A34" s="5">
        <v>46188</v>
      </c>
      <c r="B34" t="s">
        <v>2368</v>
      </c>
      <c r="C34" t="s">
        <v>72</v>
      </c>
      <c r="D34" t="s">
        <v>2369</v>
      </c>
      <c r="E34" t="s">
        <v>1932</v>
      </c>
      <c r="F34" t="s">
        <v>337</v>
      </c>
      <c r="G34">
        <v>9</v>
      </c>
      <c r="H34">
        <v>-1</v>
      </c>
      <c r="O34" t="s">
        <v>338</v>
      </c>
      <c r="P34">
        <v>0</v>
      </c>
      <c r="Q34">
        <v>0</v>
      </c>
      <c r="R34">
        <v>1</v>
      </c>
      <c r="S34">
        <v>1</v>
      </c>
      <c r="U34">
        <v>49.99</v>
      </c>
      <c r="V34">
        <v>26.99</v>
      </c>
      <c r="W34">
        <v>0</v>
      </c>
      <c r="X34">
        <v>0</v>
      </c>
      <c r="Y34" t="s">
        <v>352</v>
      </c>
      <c r="AA34">
        <v>16.79</v>
      </c>
      <c r="AB34">
        <v>2</v>
      </c>
      <c r="AC34">
        <v>0</v>
      </c>
      <c r="AD34">
        <v>42.23</v>
      </c>
      <c r="AE34">
        <v>-1</v>
      </c>
      <c r="AH34" t="s">
        <v>341</v>
      </c>
      <c r="AJ34" t="s">
        <v>342</v>
      </c>
      <c r="AK34" t="s">
        <v>353</v>
      </c>
      <c r="AM34">
        <v>366</v>
      </c>
      <c r="AN34">
        <v>0</v>
      </c>
      <c r="AP34">
        <v>117</v>
      </c>
      <c r="AQ34">
        <v>23.99</v>
      </c>
      <c r="AR34">
        <v>0</v>
      </c>
      <c r="AS34">
        <v>0</v>
      </c>
      <c r="AT34">
        <v>24.99</v>
      </c>
      <c r="AU34">
        <v>24.99</v>
      </c>
      <c r="AY34">
        <v>0</v>
      </c>
      <c r="BA34">
        <v>12.2</v>
      </c>
      <c r="BB34">
        <v>0</v>
      </c>
      <c r="BC34">
        <v>0</v>
      </c>
      <c r="BD34">
        <v>0</v>
      </c>
      <c r="BE34">
        <v>0</v>
      </c>
      <c r="BG34">
        <v>0</v>
      </c>
      <c r="BH34">
        <v>0</v>
      </c>
      <c r="BZ34">
        <v>1</v>
      </c>
      <c r="CA34" t="s">
        <v>360</v>
      </c>
      <c r="CH34">
        <v>852</v>
      </c>
      <c r="CJ34">
        <v>9</v>
      </c>
      <c r="CK34">
        <v>0</v>
      </c>
      <c r="CL34">
        <v>0</v>
      </c>
      <c r="CM34">
        <v>0</v>
      </c>
      <c r="CN34">
        <v>0</v>
      </c>
      <c r="CO34">
        <v>366</v>
      </c>
      <c r="CP34" t="s">
        <v>347</v>
      </c>
      <c r="CQ34" t="s">
        <v>348</v>
      </c>
    </row>
    <row r="35" spans="1:95">
      <c r="A35" s="5">
        <v>46188</v>
      </c>
      <c r="B35" t="s">
        <v>2370</v>
      </c>
      <c r="C35" t="s">
        <v>804</v>
      </c>
      <c r="D35" t="s">
        <v>2371</v>
      </c>
      <c r="E35" t="s">
        <v>806</v>
      </c>
      <c r="G35">
        <v>0</v>
      </c>
      <c r="H35">
        <v>-1</v>
      </c>
      <c r="O35" t="s">
        <v>338</v>
      </c>
      <c r="U35">
        <v>0</v>
      </c>
      <c r="V35">
        <v>0</v>
      </c>
      <c r="W35">
        <v>0</v>
      </c>
      <c r="X35">
        <v>0</v>
      </c>
      <c r="Y35" t="s">
        <v>359</v>
      </c>
      <c r="AB35">
        <v>0</v>
      </c>
      <c r="AC35">
        <v>0</v>
      </c>
      <c r="AE35">
        <v>-1</v>
      </c>
      <c r="AH35" t="s">
        <v>341</v>
      </c>
      <c r="AJ35" t="s">
        <v>342</v>
      </c>
      <c r="AK35" t="s">
        <v>353</v>
      </c>
      <c r="AM35">
        <v>0</v>
      </c>
      <c r="AN35">
        <v>0</v>
      </c>
      <c r="AQ35">
        <v>35</v>
      </c>
      <c r="AY35">
        <v>0</v>
      </c>
      <c r="BB35">
        <v>0</v>
      </c>
      <c r="BC35">
        <v>0</v>
      </c>
      <c r="BD35">
        <v>0</v>
      </c>
      <c r="BE35">
        <v>0</v>
      </c>
      <c r="BG35">
        <v>0</v>
      </c>
      <c r="BH35">
        <v>0</v>
      </c>
      <c r="CJ35">
        <v>0</v>
      </c>
      <c r="CK35">
        <v>0</v>
      </c>
      <c r="CL35">
        <v>0</v>
      </c>
      <c r="CM35">
        <v>0</v>
      </c>
      <c r="CN35">
        <v>0</v>
      </c>
      <c r="CO35">
        <v>0</v>
      </c>
      <c r="CP35" t="s">
        <v>347</v>
      </c>
      <c r="CQ35" t="s">
        <v>348</v>
      </c>
    </row>
    <row r="36" spans="1:95">
      <c r="A36" s="5">
        <v>46188</v>
      </c>
      <c r="B36" t="s">
        <v>2372</v>
      </c>
      <c r="C36" t="s">
        <v>218</v>
      </c>
      <c r="D36" t="s">
        <v>2373</v>
      </c>
      <c r="E36" t="s">
        <v>946</v>
      </c>
      <c r="G36">
        <v>0</v>
      </c>
      <c r="H36">
        <v>-1</v>
      </c>
      <c r="O36" t="s">
        <v>338</v>
      </c>
      <c r="U36">
        <v>0</v>
      </c>
      <c r="V36">
        <v>0</v>
      </c>
      <c r="W36">
        <v>0</v>
      </c>
      <c r="X36">
        <v>0</v>
      </c>
      <c r="Y36" t="s">
        <v>359</v>
      </c>
      <c r="AB36">
        <v>0</v>
      </c>
      <c r="AC36">
        <v>0</v>
      </c>
      <c r="AE36">
        <v>-1</v>
      </c>
      <c r="AH36" t="s">
        <v>341</v>
      </c>
      <c r="AJ36" t="s">
        <v>342</v>
      </c>
      <c r="AK36" t="s">
        <v>353</v>
      </c>
      <c r="AL36">
        <v>26497</v>
      </c>
      <c r="AN36">
        <v>0</v>
      </c>
      <c r="AQ36">
        <v>29.99</v>
      </c>
      <c r="AY36">
        <v>0</v>
      </c>
      <c r="BB36">
        <v>0</v>
      </c>
      <c r="BC36">
        <v>0</v>
      </c>
      <c r="BD36">
        <v>0</v>
      </c>
      <c r="BE36">
        <v>0</v>
      </c>
      <c r="BG36">
        <v>0</v>
      </c>
      <c r="BH36">
        <v>0</v>
      </c>
      <c r="CJ36">
        <v>0</v>
      </c>
      <c r="CK36">
        <v>0</v>
      </c>
      <c r="CL36">
        <v>0</v>
      </c>
      <c r="CM36">
        <v>0</v>
      </c>
      <c r="CN36">
        <v>0</v>
      </c>
      <c r="CP36" t="s">
        <v>347</v>
      </c>
      <c r="CQ36" t="s">
        <v>348</v>
      </c>
    </row>
    <row r="37" spans="1:95">
      <c r="A37" s="5">
        <v>46188</v>
      </c>
      <c r="B37" t="s">
        <v>2374</v>
      </c>
      <c r="C37" t="s">
        <v>1499</v>
      </c>
      <c r="D37" t="s">
        <v>2375</v>
      </c>
      <c r="E37" t="s">
        <v>1745</v>
      </c>
      <c r="F37" t="s">
        <v>337</v>
      </c>
      <c r="G37">
        <v>3</v>
      </c>
      <c r="H37">
        <v>0</v>
      </c>
      <c r="I37">
        <v>0</v>
      </c>
      <c r="J37">
        <v>0</v>
      </c>
      <c r="K37">
        <v>1</v>
      </c>
      <c r="L37">
        <v>0</v>
      </c>
      <c r="M37">
        <v>2</v>
      </c>
      <c r="N37">
        <v>0</v>
      </c>
      <c r="O37" t="s">
        <v>338</v>
      </c>
      <c r="T37" t="s">
        <v>409</v>
      </c>
      <c r="U37">
        <v>59.99</v>
      </c>
      <c r="V37">
        <v>0</v>
      </c>
      <c r="W37">
        <v>39.89</v>
      </c>
      <c r="X37">
        <v>0</v>
      </c>
      <c r="Y37" t="s">
        <v>391</v>
      </c>
      <c r="AA37">
        <v>0</v>
      </c>
      <c r="AB37">
        <v>0</v>
      </c>
      <c r="AC37">
        <v>0</v>
      </c>
      <c r="AD37">
        <v>365.05</v>
      </c>
      <c r="AE37">
        <v>0</v>
      </c>
      <c r="AF37">
        <v>0.390973</v>
      </c>
      <c r="AG37" t="s">
        <v>340</v>
      </c>
      <c r="AH37" t="s">
        <v>341</v>
      </c>
      <c r="AI37">
        <v>1.172919</v>
      </c>
      <c r="AJ37" t="s">
        <v>342</v>
      </c>
      <c r="AK37" t="s">
        <v>353</v>
      </c>
      <c r="AL37">
        <v>760704</v>
      </c>
      <c r="AM37">
        <v>366</v>
      </c>
      <c r="AN37">
        <v>2</v>
      </c>
      <c r="AQ37">
        <v>32.99</v>
      </c>
      <c r="AV37">
        <v>0</v>
      </c>
      <c r="AW37">
        <v>0</v>
      </c>
      <c r="AX37">
        <v>0</v>
      </c>
      <c r="AY37">
        <v>1</v>
      </c>
      <c r="AZ37">
        <v>0</v>
      </c>
      <c r="BA37">
        <v>6.57</v>
      </c>
      <c r="BB37">
        <v>0</v>
      </c>
      <c r="BC37">
        <v>0</v>
      </c>
      <c r="BD37">
        <v>0</v>
      </c>
      <c r="BE37">
        <v>0</v>
      </c>
      <c r="BF37">
        <v>1</v>
      </c>
      <c r="BG37">
        <v>0</v>
      </c>
      <c r="BH37">
        <v>0</v>
      </c>
      <c r="BI37">
        <v>0</v>
      </c>
      <c r="BJ37">
        <v>0</v>
      </c>
      <c r="BK37">
        <v>0</v>
      </c>
      <c r="BL37">
        <v>0</v>
      </c>
      <c r="BM37">
        <v>0</v>
      </c>
      <c r="BN37">
        <v>0</v>
      </c>
      <c r="BO37">
        <v>0</v>
      </c>
      <c r="BP37">
        <v>0</v>
      </c>
      <c r="BQ37">
        <v>0</v>
      </c>
      <c r="BR37">
        <v>0</v>
      </c>
      <c r="BS37">
        <v>0</v>
      </c>
      <c r="BT37">
        <v>0</v>
      </c>
      <c r="BU37">
        <v>2</v>
      </c>
      <c r="BV37">
        <v>5.4</v>
      </c>
      <c r="BW37">
        <v>0</v>
      </c>
      <c r="BX37">
        <v>0</v>
      </c>
      <c r="BZ37">
        <v>1</v>
      </c>
      <c r="CA37" t="s">
        <v>354</v>
      </c>
      <c r="CI37" s="5">
        <v>46186</v>
      </c>
      <c r="CJ37">
        <v>3</v>
      </c>
      <c r="CK37">
        <v>0</v>
      </c>
      <c r="CL37">
        <v>0</v>
      </c>
      <c r="CM37">
        <v>0</v>
      </c>
      <c r="CN37">
        <v>0</v>
      </c>
      <c r="CO37">
        <v>366</v>
      </c>
      <c r="CP37" t="s">
        <v>347</v>
      </c>
      <c r="CQ37" t="s">
        <v>348</v>
      </c>
    </row>
    <row r="38" spans="1:95">
      <c r="A38" s="5">
        <v>46188</v>
      </c>
      <c r="B38" t="s">
        <v>2376</v>
      </c>
      <c r="C38" t="s">
        <v>2377</v>
      </c>
      <c r="D38" t="s">
        <v>2378</v>
      </c>
      <c r="E38" t="s">
        <v>2379</v>
      </c>
      <c r="G38">
        <v>0</v>
      </c>
      <c r="H38">
        <v>-1</v>
      </c>
      <c r="O38" t="s">
        <v>338</v>
      </c>
      <c r="U38">
        <v>0</v>
      </c>
      <c r="V38">
        <v>0</v>
      </c>
      <c r="W38">
        <v>0</v>
      </c>
      <c r="X38">
        <v>0</v>
      </c>
      <c r="Y38" t="s">
        <v>359</v>
      </c>
      <c r="AB38">
        <v>0</v>
      </c>
      <c r="AC38">
        <v>0</v>
      </c>
      <c r="AE38">
        <v>-1</v>
      </c>
      <c r="AJ38" t="s">
        <v>342</v>
      </c>
      <c r="AK38" t="s">
        <v>353</v>
      </c>
      <c r="AM38">
        <v>0</v>
      </c>
      <c r="AN38">
        <v>0</v>
      </c>
      <c r="AQ38">
        <v>9.47</v>
      </c>
      <c r="AY38">
        <v>0</v>
      </c>
      <c r="BB38">
        <v>0</v>
      </c>
      <c r="BG38">
        <v>0</v>
      </c>
      <c r="BH38">
        <v>0</v>
      </c>
      <c r="CJ38">
        <v>0</v>
      </c>
      <c r="CK38">
        <v>0</v>
      </c>
      <c r="CL38">
        <v>0</v>
      </c>
      <c r="CM38">
        <v>0</v>
      </c>
      <c r="CN38">
        <v>0</v>
      </c>
      <c r="CO38">
        <v>0</v>
      </c>
      <c r="CP38" t="s">
        <v>347</v>
      </c>
      <c r="CQ38" t="s">
        <v>348</v>
      </c>
    </row>
    <row r="39" spans="1:95">
      <c r="A39" s="5">
        <v>46188</v>
      </c>
      <c r="B39" t="s">
        <v>2380</v>
      </c>
      <c r="C39" t="s">
        <v>1205</v>
      </c>
      <c r="D39" t="s">
        <v>2381</v>
      </c>
      <c r="E39" t="s">
        <v>1207</v>
      </c>
      <c r="G39">
        <v>0</v>
      </c>
      <c r="H39">
        <v>-1</v>
      </c>
      <c r="O39" t="s">
        <v>338</v>
      </c>
      <c r="U39">
        <v>0</v>
      </c>
      <c r="V39">
        <v>0</v>
      </c>
      <c r="W39">
        <v>0</v>
      </c>
      <c r="X39">
        <v>0</v>
      </c>
      <c r="Y39" t="s">
        <v>359</v>
      </c>
      <c r="AB39">
        <v>0</v>
      </c>
      <c r="AC39">
        <v>0</v>
      </c>
      <c r="AE39">
        <v>-1</v>
      </c>
      <c r="AH39" t="s">
        <v>341</v>
      </c>
      <c r="AJ39" t="s">
        <v>342</v>
      </c>
      <c r="AK39" t="s">
        <v>353</v>
      </c>
      <c r="AL39">
        <v>2409</v>
      </c>
      <c r="AN39">
        <v>0</v>
      </c>
      <c r="AQ39">
        <v>16.99</v>
      </c>
      <c r="AY39">
        <v>0</v>
      </c>
      <c r="BB39">
        <v>0</v>
      </c>
      <c r="BC39">
        <v>0</v>
      </c>
      <c r="BD39">
        <v>0</v>
      </c>
      <c r="BE39">
        <v>0</v>
      </c>
      <c r="BG39">
        <v>0</v>
      </c>
      <c r="BH39">
        <v>0</v>
      </c>
      <c r="CJ39">
        <v>0</v>
      </c>
      <c r="CK39">
        <v>0</v>
      </c>
      <c r="CL39">
        <v>0</v>
      </c>
      <c r="CM39">
        <v>0</v>
      </c>
      <c r="CN39">
        <v>0</v>
      </c>
      <c r="CP39" t="s">
        <v>347</v>
      </c>
      <c r="CQ39" t="s">
        <v>348</v>
      </c>
    </row>
    <row r="40" spans="1:95">
      <c r="A40" s="5">
        <v>46188</v>
      </c>
      <c r="B40" t="s">
        <v>2382</v>
      </c>
      <c r="C40" t="s">
        <v>165</v>
      </c>
      <c r="D40" t="s">
        <v>2383</v>
      </c>
      <c r="E40" t="s">
        <v>1076</v>
      </c>
      <c r="G40">
        <v>0</v>
      </c>
      <c r="H40">
        <v>-1</v>
      </c>
      <c r="O40" t="s">
        <v>338</v>
      </c>
      <c r="U40">
        <v>0</v>
      </c>
      <c r="V40">
        <v>0</v>
      </c>
      <c r="W40">
        <v>0</v>
      </c>
      <c r="X40">
        <v>0</v>
      </c>
      <c r="Y40" t="s">
        <v>359</v>
      </c>
      <c r="AB40">
        <v>0</v>
      </c>
      <c r="AC40">
        <v>0</v>
      </c>
      <c r="AE40">
        <v>-1</v>
      </c>
      <c r="AH40" t="s">
        <v>341</v>
      </c>
      <c r="AJ40" t="s">
        <v>342</v>
      </c>
      <c r="AK40" t="s">
        <v>353</v>
      </c>
      <c r="AL40">
        <v>9437</v>
      </c>
      <c r="AN40">
        <v>0</v>
      </c>
      <c r="AY40">
        <v>0</v>
      </c>
      <c r="BB40">
        <v>0</v>
      </c>
      <c r="BC40">
        <v>0</v>
      </c>
      <c r="BD40">
        <v>0</v>
      </c>
      <c r="BE40">
        <v>0</v>
      </c>
      <c r="BG40">
        <v>0</v>
      </c>
      <c r="BH40">
        <v>0</v>
      </c>
      <c r="CJ40">
        <v>0</v>
      </c>
      <c r="CK40">
        <v>0</v>
      </c>
      <c r="CL40">
        <v>0</v>
      </c>
      <c r="CM40">
        <v>0</v>
      </c>
      <c r="CN40">
        <v>0</v>
      </c>
      <c r="CP40" t="s">
        <v>347</v>
      </c>
      <c r="CQ40" t="s">
        <v>348</v>
      </c>
    </row>
    <row r="41" spans="1:95">
      <c r="A41" s="5">
        <v>46188</v>
      </c>
      <c r="B41" t="s">
        <v>2384</v>
      </c>
      <c r="C41" t="s">
        <v>2385</v>
      </c>
      <c r="D41" t="s">
        <v>2386</v>
      </c>
      <c r="E41" t="s">
        <v>2387</v>
      </c>
      <c r="G41">
        <v>0</v>
      </c>
      <c r="H41">
        <v>-1</v>
      </c>
      <c r="O41" t="s">
        <v>338</v>
      </c>
      <c r="U41">
        <v>0</v>
      </c>
      <c r="V41">
        <v>0</v>
      </c>
      <c r="W41">
        <v>0</v>
      </c>
      <c r="X41">
        <v>0</v>
      </c>
      <c r="Y41" t="s">
        <v>359</v>
      </c>
      <c r="AB41">
        <v>0</v>
      </c>
      <c r="AC41">
        <v>0</v>
      </c>
      <c r="AE41">
        <v>-1</v>
      </c>
      <c r="AH41" t="s">
        <v>341</v>
      </c>
      <c r="AJ41" t="s">
        <v>342</v>
      </c>
      <c r="AK41" t="s">
        <v>353</v>
      </c>
      <c r="AN41">
        <v>0</v>
      </c>
      <c r="AQ41">
        <v>12.99</v>
      </c>
      <c r="AY41">
        <v>0</v>
      </c>
      <c r="BB41">
        <v>0</v>
      </c>
      <c r="BC41">
        <v>0</v>
      </c>
      <c r="BD41">
        <v>0</v>
      </c>
      <c r="BE41">
        <v>0</v>
      </c>
      <c r="BG41">
        <v>0</v>
      </c>
      <c r="BH41">
        <v>0</v>
      </c>
      <c r="CJ41">
        <v>0</v>
      </c>
      <c r="CK41">
        <v>0</v>
      </c>
      <c r="CL41">
        <v>0</v>
      </c>
      <c r="CM41">
        <v>0</v>
      </c>
      <c r="CN41">
        <v>0</v>
      </c>
      <c r="CP41" t="s">
        <v>347</v>
      </c>
      <c r="CQ41" t="s">
        <v>348</v>
      </c>
    </row>
    <row r="42" spans="1:95">
      <c r="A42" s="5">
        <v>46188</v>
      </c>
      <c r="B42" t="s">
        <v>2388</v>
      </c>
      <c r="C42" t="s">
        <v>2065</v>
      </c>
      <c r="D42" t="s">
        <v>2389</v>
      </c>
      <c r="E42" t="s">
        <v>2067</v>
      </c>
      <c r="G42">
        <v>0</v>
      </c>
      <c r="H42">
        <v>-1</v>
      </c>
      <c r="O42" t="s">
        <v>338</v>
      </c>
      <c r="P42">
        <v>0</v>
      </c>
      <c r="Q42">
        <v>0</v>
      </c>
      <c r="R42">
        <v>0</v>
      </c>
      <c r="S42">
        <v>0</v>
      </c>
      <c r="U42">
        <v>0</v>
      </c>
      <c r="V42">
        <v>0</v>
      </c>
      <c r="W42">
        <v>0</v>
      </c>
      <c r="X42">
        <v>0</v>
      </c>
      <c r="Y42" t="s">
        <v>359</v>
      </c>
      <c r="AB42">
        <v>0</v>
      </c>
      <c r="AC42">
        <v>0</v>
      </c>
      <c r="AE42">
        <v>-1</v>
      </c>
      <c r="AH42" t="s">
        <v>341</v>
      </c>
      <c r="AJ42" t="s">
        <v>342</v>
      </c>
      <c r="AK42" t="s">
        <v>353</v>
      </c>
      <c r="AM42">
        <v>0</v>
      </c>
      <c r="AN42">
        <v>0</v>
      </c>
      <c r="AQ42">
        <v>41.99</v>
      </c>
      <c r="AR42">
        <v>0</v>
      </c>
      <c r="AS42">
        <v>0</v>
      </c>
      <c r="AT42">
        <v>0</v>
      </c>
      <c r="AU42">
        <v>0</v>
      </c>
      <c r="AY42">
        <v>0</v>
      </c>
      <c r="BB42">
        <v>0</v>
      </c>
      <c r="BC42">
        <v>0</v>
      </c>
      <c r="BD42">
        <v>0</v>
      </c>
      <c r="BE42">
        <v>0</v>
      </c>
      <c r="BG42">
        <v>0</v>
      </c>
      <c r="BH42">
        <v>0</v>
      </c>
      <c r="BZ42">
        <v>1</v>
      </c>
      <c r="CA42" t="s">
        <v>429</v>
      </c>
      <c r="CJ42">
        <v>0</v>
      </c>
      <c r="CK42">
        <v>0</v>
      </c>
      <c r="CL42">
        <v>0</v>
      </c>
      <c r="CM42">
        <v>0</v>
      </c>
      <c r="CN42">
        <v>0</v>
      </c>
      <c r="CO42">
        <v>0</v>
      </c>
      <c r="CP42" t="s">
        <v>347</v>
      </c>
      <c r="CQ42" t="s">
        <v>348</v>
      </c>
    </row>
    <row r="43" spans="1:95">
      <c r="A43" s="5">
        <v>46188</v>
      </c>
      <c r="B43" t="s">
        <v>2390</v>
      </c>
      <c r="C43" t="s">
        <v>1163</v>
      </c>
      <c r="D43" t="s">
        <v>2391</v>
      </c>
      <c r="E43" t="s">
        <v>1165</v>
      </c>
      <c r="G43">
        <v>0</v>
      </c>
      <c r="H43">
        <v>-1</v>
      </c>
      <c r="O43" t="s">
        <v>338</v>
      </c>
      <c r="U43">
        <v>0</v>
      </c>
      <c r="V43">
        <v>0</v>
      </c>
      <c r="W43">
        <v>0</v>
      </c>
      <c r="X43">
        <v>0</v>
      </c>
      <c r="Y43" t="s">
        <v>359</v>
      </c>
      <c r="AB43">
        <v>0</v>
      </c>
      <c r="AC43">
        <v>0</v>
      </c>
      <c r="AE43">
        <v>-1</v>
      </c>
      <c r="AJ43" t="s">
        <v>342</v>
      </c>
      <c r="AK43" t="s">
        <v>343</v>
      </c>
      <c r="AM43">
        <v>0</v>
      </c>
      <c r="AN43">
        <v>0</v>
      </c>
      <c r="AQ43">
        <v>33.14</v>
      </c>
      <c r="AY43">
        <v>0</v>
      </c>
      <c r="BB43">
        <v>0</v>
      </c>
      <c r="BG43">
        <v>0</v>
      </c>
      <c r="BH43">
        <v>0</v>
      </c>
      <c r="CJ43">
        <v>0</v>
      </c>
      <c r="CK43">
        <v>0</v>
      </c>
      <c r="CL43">
        <v>0</v>
      </c>
      <c r="CM43">
        <v>0</v>
      </c>
      <c r="CN43">
        <v>0</v>
      </c>
      <c r="CO43">
        <v>0</v>
      </c>
      <c r="CP43" t="s">
        <v>347</v>
      </c>
      <c r="CQ43" t="s">
        <v>348</v>
      </c>
    </row>
    <row r="44" spans="1:95">
      <c r="A44" s="5">
        <v>46188</v>
      </c>
      <c r="B44" t="s">
        <v>2392</v>
      </c>
      <c r="C44" t="s">
        <v>123</v>
      </c>
      <c r="D44" t="s">
        <v>2393</v>
      </c>
      <c r="E44" t="s">
        <v>681</v>
      </c>
      <c r="G44">
        <v>0</v>
      </c>
      <c r="H44">
        <v>-1</v>
      </c>
      <c r="O44" t="s">
        <v>338</v>
      </c>
      <c r="U44">
        <v>0</v>
      </c>
      <c r="V44">
        <v>0</v>
      </c>
      <c r="W44">
        <v>0</v>
      </c>
      <c r="X44">
        <v>0</v>
      </c>
      <c r="Y44" t="s">
        <v>359</v>
      </c>
      <c r="AB44">
        <v>0</v>
      </c>
      <c r="AC44">
        <v>0</v>
      </c>
      <c r="AE44">
        <v>-1</v>
      </c>
      <c r="AH44" t="s">
        <v>341</v>
      </c>
      <c r="AJ44" t="s">
        <v>342</v>
      </c>
      <c r="AK44" t="s">
        <v>353</v>
      </c>
      <c r="AM44">
        <v>0</v>
      </c>
      <c r="AN44">
        <v>0</v>
      </c>
      <c r="AQ44">
        <v>39.99</v>
      </c>
      <c r="AY44">
        <v>0</v>
      </c>
      <c r="BB44">
        <v>0</v>
      </c>
      <c r="BC44">
        <v>0</v>
      </c>
      <c r="BD44">
        <v>0</v>
      </c>
      <c r="BE44">
        <v>0</v>
      </c>
      <c r="BG44">
        <v>0</v>
      </c>
      <c r="BH44">
        <v>0</v>
      </c>
      <c r="CJ44">
        <v>0</v>
      </c>
      <c r="CK44">
        <v>0</v>
      </c>
      <c r="CL44">
        <v>0</v>
      </c>
      <c r="CM44">
        <v>0</v>
      </c>
      <c r="CN44">
        <v>0</v>
      </c>
      <c r="CO44">
        <v>0</v>
      </c>
      <c r="CP44" t="s">
        <v>347</v>
      </c>
      <c r="CQ44" t="s">
        <v>348</v>
      </c>
    </row>
    <row r="45" spans="1:95">
      <c r="A45" s="5">
        <v>46188</v>
      </c>
      <c r="B45" t="s">
        <v>2394</v>
      </c>
      <c r="C45" t="s">
        <v>116</v>
      </c>
      <c r="D45" t="s">
        <v>2395</v>
      </c>
      <c r="E45" t="s">
        <v>558</v>
      </c>
      <c r="G45">
        <v>0</v>
      </c>
      <c r="H45">
        <v>-1</v>
      </c>
      <c r="O45" t="s">
        <v>338</v>
      </c>
      <c r="U45">
        <v>0</v>
      </c>
      <c r="V45">
        <v>0</v>
      </c>
      <c r="W45">
        <v>0</v>
      </c>
      <c r="X45">
        <v>0</v>
      </c>
      <c r="Y45" t="s">
        <v>359</v>
      </c>
      <c r="AB45">
        <v>0</v>
      </c>
      <c r="AC45">
        <v>0</v>
      </c>
      <c r="AE45">
        <v>-1</v>
      </c>
      <c r="AH45" t="s">
        <v>341</v>
      </c>
      <c r="AJ45" t="s">
        <v>342</v>
      </c>
      <c r="AK45" t="s">
        <v>353</v>
      </c>
      <c r="AL45">
        <v>2409</v>
      </c>
      <c r="AN45">
        <v>0</v>
      </c>
      <c r="AQ45">
        <v>14.24</v>
      </c>
      <c r="AY45">
        <v>0</v>
      </c>
      <c r="BB45">
        <v>0</v>
      </c>
      <c r="BC45">
        <v>0</v>
      </c>
      <c r="BD45">
        <v>0</v>
      </c>
      <c r="BE45">
        <v>0</v>
      </c>
      <c r="BG45">
        <v>0</v>
      </c>
      <c r="BH45">
        <v>0</v>
      </c>
      <c r="CJ45">
        <v>0</v>
      </c>
      <c r="CK45">
        <v>0</v>
      </c>
      <c r="CL45">
        <v>0</v>
      </c>
      <c r="CM45">
        <v>0</v>
      </c>
      <c r="CN45">
        <v>0</v>
      </c>
      <c r="CP45" t="s">
        <v>347</v>
      </c>
      <c r="CQ45" t="s">
        <v>348</v>
      </c>
    </row>
    <row r="46" spans="1:95">
      <c r="A46" s="5">
        <v>46188</v>
      </c>
      <c r="B46" t="s">
        <v>2396</v>
      </c>
      <c r="C46" t="s">
        <v>91</v>
      </c>
      <c r="D46" t="s">
        <v>97</v>
      </c>
      <c r="E46" t="s">
        <v>2397</v>
      </c>
      <c r="F46" t="s">
        <v>337</v>
      </c>
      <c r="G46">
        <v>32</v>
      </c>
      <c r="H46">
        <v>0</v>
      </c>
      <c r="I46">
        <v>35</v>
      </c>
      <c r="J46">
        <v>0</v>
      </c>
      <c r="K46">
        <v>0</v>
      </c>
      <c r="L46">
        <v>0</v>
      </c>
      <c r="M46">
        <v>0</v>
      </c>
      <c r="N46">
        <v>0</v>
      </c>
      <c r="O46" t="s">
        <v>338</v>
      </c>
      <c r="P46">
        <v>0</v>
      </c>
      <c r="Q46">
        <v>2</v>
      </c>
      <c r="R46">
        <v>4</v>
      </c>
      <c r="S46">
        <v>13</v>
      </c>
      <c r="T46" t="s">
        <v>351</v>
      </c>
      <c r="U46">
        <v>18.99</v>
      </c>
      <c r="V46">
        <v>0</v>
      </c>
      <c r="W46">
        <v>15.99</v>
      </c>
      <c r="X46">
        <v>0</v>
      </c>
      <c r="Y46" t="s">
        <v>339</v>
      </c>
      <c r="AA46">
        <v>0</v>
      </c>
      <c r="AB46">
        <v>0</v>
      </c>
      <c r="AC46">
        <v>0</v>
      </c>
      <c r="AD46">
        <v>0</v>
      </c>
      <c r="AE46">
        <v>0.63</v>
      </c>
      <c r="AF46">
        <v>0.028178</v>
      </c>
      <c r="AG46" t="s">
        <v>340</v>
      </c>
      <c r="AH46" t="s">
        <v>341</v>
      </c>
      <c r="AI46">
        <v>0.901696</v>
      </c>
      <c r="AJ46" t="s">
        <v>342</v>
      </c>
      <c r="AK46" t="s">
        <v>353</v>
      </c>
      <c r="AL46">
        <v>213208</v>
      </c>
      <c r="AM46">
        <v>160</v>
      </c>
      <c r="AN46">
        <v>0</v>
      </c>
      <c r="AO46">
        <v>64</v>
      </c>
      <c r="AP46">
        <v>32</v>
      </c>
      <c r="AQ46">
        <v>15.19</v>
      </c>
      <c r="AR46">
        <v>0</v>
      </c>
      <c r="AS46">
        <v>37.98</v>
      </c>
      <c r="AT46">
        <v>75.96</v>
      </c>
      <c r="AU46">
        <v>213.62</v>
      </c>
      <c r="AV46">
        <v>1</v>
      </c>
      <c r="AW46">
        <v>34</v>
      </c>
      <c r="AX46">
        <v>0</v>
      </c>
      <c r="AY46">
        <v>0</v>
      </c>
      <c r="AZ46">
        <v>0</v>
      </c>
      <c r="BA46">
        <v>0.68</v>
      </c>
      <c r="BB46">
        <v>0</v>
      </c>
      <c r="BC46">
        <v>0</v>
      </c>
      <c r="BD46">
        <v>0</v>
      </c>
      <c r="BE46">
        <v>0</v>
      </c>
      <c r="BG46">
        <v>2</v>
      </c>
      <c r="BH46">
        <v>0</v>
      </c>
      <c r="BY46">
        <v>534.5</v>
      </c>
      <c r="BZ46">
        <v>10</v>
      </c>
      <c r="CA46" t="s">
        <v>360</v>
      </c>
      <c r="CD46" s="5">
        <v>46188</v>
      </c>
      <c r="CE46" t="s">
        <v>345</v>
      </c>
      <c r="CF46" t="s">
        <v>346</v>
      </c>
      <c r="CG46">
        <v>534.5</v>
      </c>
      <c r="CH46">
        <v>127.5</v>
      </c>
      <c r="CI46" s="5">
        <v>46186</v>
      </c>
      <c r="CJ46">
        <v>34</v>
      </c>
      <c r="CK46">
        <v>2</v>
      </c>
      <c r="CL46">
        <v>1</v>
      </c>
      <c r="CM46">
        <v>1</v>
      </c>
      <c r="CN46">
        <v>0</v>
      </c>
      <c r="CO46">
        <v>164</v>
      </c>
      <c r="CP46" t="s">
        <v>347</v>
      </c>
      <c r="CQ46" t="s">
        <v>348</v>
      </c>
    </row>
    <row r="47" spans="1:95">
      <c r="A47" s="5">
        <v>46188</v>
      </c>
      <c r="B47" t="s">
        <v>2398</v>
      </c>
      <c r="C47" t="s">
        <v>2399</v>
      </c>
      <c r="D47" t="s">
        <v>2400</v>
      </c>
      <c r="E47" t="s">
        <v>2401</v>
      </c>
      <c r="G47">
        <v>0</v>
      </c>
      <c r="H47">
        <v>-1</v>
      </c>
      <c r="O47" t="s">
        <v>338</v>
      </c>
      <c r="U47">
        <v>0</v>
      </c>
      <c r="V47">
        <v>0</v>
      </c>
      <c r="W47">
        <v>0</v>
      </c>
      <c r="X47">
        <v>0</v>
      </c>
      <c r="Y47" t="s">
        <v>359</v>
      </c>
      <c r="AB47">
        <v>0</v>
      </c>
      <c r="AC47">
        <v>0</v>
      </c>
      <c r="AE47">
        <v>-1</v>
      </c>
      <c r="AH47" t="s">
        <v>341</v>
      </c>
      <c r="AJ47" t="s">
        <v>342</v>
      </c>
      <c r="AK47" t="s">
        <v>343</v>
      </c>
      <c r="AN47">
        <v>0</v>
      </c>
      <c r="AQ47">
        <v>15.99</v>
      </c>
      <c r="AY47">
        <v>0</v>
      </c>
      <c r="BB47">
        <v>0</v>
      </c>
      <c r="BC47">
        <v>0</v>
      </c>
      <c r="BD47">
        <v>0</v>
      </c>
      <c r="BE47">
        <v>0</v>
      </c>
      <c r="BG47">
        <v>0</v>
      </c>
      <c r="BH47">
        <v>0</v>
      </c>
      <c r="CJ47">
        <v>0</v>
      </c>
      <c r="CK47">
        <v>0</v>
      </c>
      <c r="CL47">
        <v>0</v>
      </c>
      <c r="CM47">
        <v>0</v>
      </c>
      <c r="CN47">
        <v>0</v>
      </c>
      <c r="CP47" t="s">
        <v>347</v>
      </c>
      <c r="CQ47" t="s">
        <v>348</v>
      </c>
    </row>
    <row r="48" spans="1:95">
      <c r="A48" s="5">
        <v>46188</v>
      </c>
      <c r="B48" t="s">
        <v>2402</v>
      </c>
      <c r="C48" t="s">
        <v>1882</v>
      </c>
      <c r="D48" t="s">
        <v>2403</v>
      </c>
      <c r="E48" t="s">
        <v>1884</v>
      </c>
      <c r="G48">
        <v>0</v>
      </c>
      <c r="H48">
        <v>-1</v>
      </c>
      <c r="O48" t="s">
        <v>338</v>
      </c>
      <c r="U48">
        <v>0</v>
      </c>
      <c r="V48">
        <v>0</v>
      </c>
      <c r="W48">
        <v>0</v>
      </c>
      <c r="X48">
        <v>0</v>
      </c>
      <c r="Y48" t="s">
        <v>359</v>
      </c>
      <c r="AB48">
        <v>0</v>
      </c>
      <c r="AC48">
        <v>0</v>
      </c>
      <c r="AE48">
        <v>-1</v>
      </c>
      <c r="AH48" t="s">
        <v>341</v>
      </c>
      <c r="AJ48" t="s">
        <v>342</v>
      </c>
      <c r="AK48" t="s">
        <v>353</v>
      </c>
      <c r="AN48">
        <v>0</v>
      </c>
      <c r="AQ48">
        <v>59.99</v>
      </c>
      <c r="AY48">
        <v>0</v>
      </c>
      <c r="BB48">
        <v>0</v>
      </c>
      <c r="BC48">
        <v>0</v>
      </c>
      <c r="BD48">
        <v>0</v>
      </c>
      <c r="BE48">
        <v>0</v>
      </c>
      <c r="BG48">
        <v>0</v>
      </c>
      <c r="BH48">
        <v>0</v>
      </c>
      <c r="CJ48">
        <v>0</v>
      </c>
      <c r="CK48">
        <v>0</v>
      </c>
      <c r="CL48">
        <v>0</v>
      </c>
      <c r="CM48">
        <v>0</v>
      </c>
      <c r="CN48">
        <v>0</v>
      </c>
      <c r="CP48" t="s">
        <v>347</v>
      </c>
      <c r="CQ48" t="s">
        <v>348</v>
      </c>
    </row>
    <row r="49" spans="1:95">
      <c r="A49" s="5">
        <v>46188</v>
      </c>
      <c r="B49" t="s">
        <v>2404</v>
      </c>
      <c r="C49" t="s">
        <v>90</v>
      </c>
      <c r="D49" t="s">
        <v>96</v>
      </c>
      <c r="E49" t="s">
        <v>2405</v>
      </c>
      <c r="F49" t="s">
        <v>337</v>
      </c>
      <c r="G49">
        <v>38</v>
      </c>
      <c r="H49">
        <v>0</v>
      </c>
      <c r="I49">
        <v>38</v>
      </c>
      <c r="J49">
        <v>0</v>
      </c>
      <c r="K49">
        <v>0</v>
      </c>
      <c r="L49">
        <v>0</v>
      </c>
      <c r="M49">
        <v>0</v>
      </c>
      <c r="N49">
        <v>0</v>
      </c>
      <c r="O49" t="s">
        <v>338</v>
      </c>
      <c r="P49">
        <v>1</v>
      </c>
      <c r="Q49">
        <v>5</v>
      </c>
      <c r="R49">
        <v>8</v>
      </c>
      <c r="S49">
        <v>9</v>
      </c>
      <c r="T49" t="s">
        <v>351</v>
      </c>
      <c r="U49">
        <v>29.99</v>
      </c>
      <c r="V49">
        <v>23.99</v>
      </c>
      <c r="W49">
        <v>23.99</v>
      </c>
      <c r="X49">
        <v>0</v>
      </c>
      <c r="Y49" t="s">
        <v>352</v>
      </c>
      <c r="AA49">
        <v>11.99</v>
      </c>
      <c r="AB49">
        <v>2</v>
      </c>
      <c r="AC49">
        <v>0</v>
      </c>
      <c r="AD49">
        <v>861.72</v>
      </c>
      <c r="AE49">
        <v>0.34</v>
      </c>
      <c r="AF49">
        <v>0.093576</v>
      </c>
      <c r="AG49" t="s">
        <v>340</v>
      </c>
      <c r="AH49" t="s">
        <v>341</v>
      </c>
      <c r="AI49">
        <v>3.555888</v>
      </c>
      <c r="AJ49" t="s">
        <v>342</v>
      </c>
      <c r="AK49" t="s">
        <v>343</v>
      </c>
      <c r="AL49">
        <v>213208</v>
      </c>
      <c r="AM49">
        <v>232</v>
      </c>
      <c r="AN49">
        <v>0</v>
      </c>
      <c r="AO49">
        <v>30</v>
      </c>
      <c r="AP49">
        <v>54</v>
      </c>
      <c r="AQ49">
        <v>23.99</v>
      </c>
      <c r="AR49">
        <v>22.49</v>
      </c>
      <c r="AS49">
        <v>112.45</v>
      </c>
      <c r="AT49">
        <v>184.42</v>
      </c>
      <c r="AU49">
        <v>208.41</v>
      </c>
      <c r="AV49">
        <v>0</v>
      </c>
      <c r="AW49">
        <v>24</v>
      </c>
      <c r="AX49">
        <v>14</v>
      </c>
      <c r="AY49">
        <v>0</v>
      </c>
      <c r="AZ49">
        <v>0</v>
      </c>
      <c r="BA49">
        <v>2.54</v>
      </c>
      <c r="BB49">
        <v>0</v>
      </c>
      <c r="BC49">
        <v>0</v>
      </c>
      <c r="BD49">
        <v>0</v>
      </c>
      <c r="BE49">
        <v>0</v>
      </c>
      <c r="BG49">
        <v>0</v>
      </c>
      <c r="BH49">
        <v>0</v>
      </c>
      <c r="BY49">
        <v>259.3</v>
      </c>
      <c r="BZ49">
        <v>6</v>
      </c>
      <c r="CA49" t="s">
        <v>360</v>
      </c>
      <c r="CD49" s="5">
        <v>46188</v>
      </c>
      <c r="CE49" t="s">
        <v>345</v>
      </c>
      <c r="CF49" t="s">
        <v>346</v>
      </c>
      <c r="CG49">
        <v>244.8</v>
      </c>
      <c r="CH49">
        <v>259.3</v>
      </c>
      <c r="CI49" s="5">
        <v>46186</v>
      </c>
      <c r="CJ49">
        <v>38</v>
      </c>
      <c r="CK49">
        <v>0</v>
      </c>
      <c r="CL49">
        <v>0</v>
      </c>
      <c r="CM49">
        <v>0</v>
      </c>
      <c r="CN49">
        <v>0</v>
      </c>
      <c r="CO49">
        <v>232</v>
      </c>
      <c r="CQ49" t="s">
        <v>348</v>
      </c>
    </row>
    <row r="50" spans="1:95">
      <c r="A50" s="5">
        <v>46188</v>
      </c>
      <c r="B50" t="s">
        <v>2406</v>
      </c>
      <c r="C50" t="s">
        <v>2077</v>
      </c>
      <c r="D50" t="s">
        <v>2407</v>
      </c>
      <c r="E50" t="s">
        <v>2079</v>
      </c>
      <c r="G50">
        <v>0</v>
      </c>
      <c r="H50">
        <v>-1</v>
      </c>
      <c r="O50" t="s">
        <v>338</v>
      </c>
      <c r="U50">
        <v>0</v>
      </c>
      <c r="V50">
        <v>0</v>
      </c>
      <c r="W50">
        <v>0</v>
      </c>
      <c r="X50">
        <v>0</v>
      </c>
      <c r="Y50" t="s">
        <v>359</v>
      </c>
      <c r="AB50">
        <v>0</v>
      </c>
      <c r="AC50">
        <v>0</v>
      </c>
      <c r="AE50">
        <v>-1</v>
      </c>
      <c r="AH50" t="s">
        <v>341</v>
      </c>
      <c r="AJ50" t="s">
        <v>342</v>
      </c>
      <c r="AK50" t="s">
        <v>353</v>
      </c>
      <c r="AM50">
        <v>0</v>
      </c>
      <c r="AN50">
        <v>0</v>
      </c>
      <c r="AQ50">
        <v>16.99</v>
      </c>
      <c r="AY50">
        <v>0</v>
      </c>
      <c r="BB50">
        <v>0</v>
      </c>
      <c r="BC50">
        <v>0</v>
      </c>
      <c r="BD50">
        <v>0</v>
      </c>
      <c r="BE50">
        <v>0</v>
      </c>
      <c r="BG50">
        <v>0</v>
      </c>
      <c r="BH50">
        <v>0</v>
      </c>
      <c r="CJ50">
        <v>0</v>
      </c>
      <c r="CK50">
        <v>0</v>
      </c>
      <c r="CL50">
        <v>0</v>
      </c>
      <c r="CM50">
        <v>0</v>
      </c>
      <c r="CN50">
        <v>0</v>
      </c>
      <c r="CO50">
        <v>0</v>
      </c>
      <c r="CP50" t="s">
        <v>347</v>
      </c>
      <c r="CQ50" t="s">
        <v>348</v>
      </c>
    </row>
    <row r="51" spans="1:95">
      <c r="A51" s="5">
        <v>46188</v>
      </c>
      <c r="B51" t="s">
        <v>2408</v>
      </c>
      <c r="C51" t="s">
        <v>862</v>
      </c>
      <c r="D51" t="s">
        <v>2409</v>
      </c>
      <c r="E51" t="s">
        <v>864</v>
      </c>
      <c r="G51">
        <v>0</v>
      </c>
      <c r="H51">
        <v>-1</v>
      </c>
      <c r="O51" t="s">
        <v>338</v>
      </c>
      <c r="U51">
        <v>0</v>
      </c>
      <c r="V51">
        <v>0</v>
      </c>
      <c r="W51">
        <v>0</v>
      </c>
      <c r="X51">
        <v>0</v>
      </c>
      <c r="Y51" t="s">
        <v>359</v>
      </c>
      <c r="AB51">
        <v>0</v>
      </c>
      <c r="AC51">
        <v>0</v>
      </c>
      <c r="AE51">
        <v>-1</v>
      </c>
      <c r="AJ51" t="s">
        <v>342</v>
      </c>
      <c r="AK51" t="s">
        <v>343</v>
      </c>
      <c r="AN51">
        <v>0</v>
      </c>
      <c r="AQ51">
        <v>9.99</v>
      </c>
      <c r="AY51">
        <v>0</v>
      </c>
      <c r="BB51">
        <v>0</v>
      </c>
      <c r="BG51">
        <v>0</v>
      </c>
      <c r="BH51">
        <v>0</v>
      </c>
      <c r="CJ51">
        <v>0</v>
      </c>
      <c r="CK51">
        <v>0</v>
      </c>
      <c r="CL51">
        <v>0</v>
      </c>
      <c r="CM51">
        <v>0</v>
      </c>
      <c r="CN51">
        <v>0</v>
      </c>
      <c r="CP51" t="s">
        <v>347</v>
      </c>
      <c r="CQ51" t="s">
        <v>348</v>
      </c>
    </row>
    <row r="52" spans="1:95">
      <c r="A52" s="5">
        <v>46188</v>
      </c>
      <c r="B52" t="s">
        <v>2410</v>
      </c>
      <c r="C52" t="s">
        <v>2411</v>
      </c>
      <c r="D52" t="s">
        <v>2412</v>
      </c>
      <c r="E52" t="s">
        <v>2413</v>
      </c>
      <c r="G52">
        <v>0</v>
      </c>
      <c r="H52">
        <v>-1</v>
      </c>
      <c r="O52" t="s">
        <v>338</v>
      </c>
      <c r="U52">
        <v>0</v>
      </c>
      <c r="V52">
        <v>0</v>
      </c>
      <c r="W52">
        <v>0</v>
      </c>
      <c r="X52">
        <v>0</v>
      </c>
      <c r="Y52" t="s">
        <v>359</v>
      </c>
      <c r="AB52">
        <v>0</v>
      </c>
      <c r="AC52">
        <v>0</v>
      </c>
      <c r="AE52">
        <v>-1</v>
      </c>
      <c r="AJ52" t="s">
        <v>342</v>
      </c>
      <c r="AK52" t="s">
        <v>353</v>
      </c>
      <c r="AM52">
        <v>0</v>
      </c>
      <c r="AN52">
        <v>0</v>
      </c>
      <c r="AQ52">
        <v>7.99</v>
      </c>
      <c r="AY52">
        <v>0</v>
      </c>
      <c r="BB52">
        <v>0</v>
      </c>
      <c r="BG52">
        <v>0</v>
      </c>
      <c r="BH52">
        <v>0</v>
      </c>
      <c r="CJ52">
        <v>0</v>
      </c>
      <c r="CK52">
        <v>0</v>
      </c>
      <c r="CL52">
        <v>0</v>
      </c>
      <c r="CM52">
        <v>0</v>
      </c>
      <c r="CN52">
        <v>0</v>
      </c>
      <c r="CO52">
        <v>0</v>
      </c>
      <c r="CP52" t="s">
        <v>347</v>
      </c>
      <c r="CQ52" t="s">
        <v>348</v>
      </c>
    </row>
    <row r="53" spans="1:95">
      <c r="A53" s="5">
        <v>46188</v>
      </c>
      <c r="B53" t="s">
        <v>2414</v>
      </c>
      <c r="C53" t="s">
        <v>2415</v>
      </c>
      <c r="D53" t="s">
        <v>2416</v>
      </c>
      <c r="E53" t="s">
        <v>2417</v>
      </c>
      <c r="G53">
        <v>0</v>
      </c>
      <c r="H53">
        <v>-1</v>
      </c>
      <c r="O53" t="s">
        <v>338</v>
      </c>
      <c r="U53">
        <v>0</v>
      </c>
      <c r="V53">
        <v>0</v>
      </c>
      <c r="W53">
        <v>0</v>
      </c>
      <c r="X53">
        <v>0</v>
      </c>
      <c r="Y53" t="s">
        <v>359</v>
      </c>
      <c r="AB53">
        <v>0</v>
      </c>
      <c r="AC53">
        <v>0</v>
      </c>
      <c r="AE53">
        <v>-1</v>
      </c>
      <c r="AJ53" t="s">
        <v>342</v>
      </c>
      <c r="AK53" t="s">
        <v>353</v>
      </c>
      <c r="AM53">
        <v>0</v>
      </c>
      <c r="AN53">
        <v>0</v>
      </c>
      <c r="AQ53">
        <v>5.52</v>
      </c>
      <c r="AY53">
        <v>0</v>
      </c>
      <c r="BB53">
        <v>0</v>
      </c>
      <c r="BG53">
        <v>0</v>
      </c>
      <c r="BH53">
        <v>0</v>
      </c>
      <c r="CJ53">
        <v>0</v>
      </c>
      <c r="CK53">
        <v>0</v>
      </c>
      <c r="CL53">
        <v>0</v>
      </c>
      <c r="CM53">
        <v>0</v>
      </c>
      <c r="CN53">
        <v>0</v>
      </c>
      <c r="CO53">
        <v>0</v>
      </c>
      <c r="CP53" t="s">
        <v>347</v>
      </c>
      <c r="CQ53" t="s">
        <v>348</v>
      </c>
    </row>
    <row r="54" spans="1:95">
      <c r="A54" s="5">
        <v>46188</v>
      </c>
      <c r="B54" t="s">
        <v>2418</v>
      </c>
      <c r="C54" t="s">
        <v>1375</v>
      </c>
      <c r="D54" t="s">
        <v>2419</v>
      </c>
      <c r="E54" t="s">
        <v>1377</v>
      </c>
      <c r="G54">
        <v>0</v>
      </c>
      <c r="H54">
        <v>-1</v>
      </c>
      <c r="O54" t="s">
        <v>338</v>
      </c>
      <c r="U54">
        <v>0</v>
      </c>
      <c r="V54">
        <v>0</v>
      </c>
      <c r="W54">
        <v>0</v>
      </c>
      <c r="X54">
        <v>0</v>
      </c>
      <c r="Y54" t="s">
        <v>359</v>
      </c>
      <c r="AB54">
        <v>0</v>
      </c>
      <c r="AC54">
        <v>0</v>
      </c>
      <c r="AE54">
        <v>-1</v>
      </c>
      <c r="AH54" t="s">
        <v>341</v>
      </c>
      <c r="AJ54" t="s">
        <v>342</v>
      </c>
      <c r="AK54" t="s">
        <v>353</v>
      </c>
      <c r="AL54">
        <v>525023</v>
      </c>
      <c r="AN54">
        <v>0</v>
      </c>
      <c r="AQ54">
        <v>24.99</v>
      </c>
      <c r="AY54">
        <v>0</v>
      </c>
      <c r="BB54">
        <v>0</v>
      </c>
      <c r="BC54">
        <v>0</v>
      </c>
      <c r="BD54">
        <v>0</v>
      </c>
      <c r="BE54">
        <v>0</v>
      </c>
      <c r="BG54">
        <v>0</v>
      </c>
      <c r="BH54">
        <v>0</v>
      </c>
      <c r="CJ54">
        <v>0</v>
      </c>
      <c r="CK54">
        <v>0</v>
      </c>
      <c r="CL54">
        <v>0</v>
      </c>
      <c r="CM54">
        <v>0</v>
      </c>
      <c r="CN54">
        <v>0</v>
      </c>
      <c r="CP54" t="s">
        <v>347</v>
      </c>
      <c r="CQ54" t="s">
        <v>348</v>
      </c>
    </row>
    <row r="55" spans="1:95">
      <c r="A55" s="5">
        <v>46188</v>
      </c>
      <c r="B55" t="s">
        <v>2420</v>
      </c>
      <c r="C55" t="s">
        <v>467</v>
      </c>
      <c r="D55" t="s">
        <v>2421</v>
      </c>
      <c r="E55" t="s">
        <v>469</v>
      </c>
      <c r="G55">
        <v>0</v>
      </c>
      <c r="H55">
        <v>-1</v>
      </c>
      <c r="O55" t="s">
        <v>338</v>
      </c>
      <c r="U55">
        <v>0</v>
      </c>
      <c r="V55">
        <v>0</v>
      </c>
      <c r="W55">
        <v>0</v>
      </c>
      <c r="X55">
        <v>0</v>
      </c>
      <c r="Y55" t="s">
        <v>359</v>
      </c>
      <c r="AB55">
        <v>0</v>
      </c>
      <c r="AC55">
        <v>0</v>
      </c>
      <c r="AE55">
        <v>-1</v>
      </c>
      <c r="AJ55" t="s">
        <v>342</v>
      </c>
      <c r="AK55" t="s">
        <v>353</v>
      </c>
      <c r="AL55">
        <v>203254</v>
      </c>
      <c r="AN55">
        <v>0</v>
      </c>
      <c r="AQ55">
        <v>29.99</v>
      </c>
      <c r="AY55">
        <v>0</v>
      </c>
      <c r="BB55">
        <v>0</v>
      </c>
      <c r="BG55">
        <v>0</v>
      </c>
      <c r="BH55">
        <v>0</v>
      </c>
      <c r="CJ55">
        <v>0</v>
      </c>
      <c r="CK55">
        <v>0</v>
      </c>
      <c r="CL55">
        <v>0</v>
      </c>
      <c r="CM55">
        <v>0</v>
      </c>
      <c r="CN55">
        <v>0</v>
      </c>
      <c r="CP55" t="s">
        <v>347</v>
      </c>
      <c r="CQ55" t="s">
        <v>348</v>
      </c>
    </row>
    <row r="56" spans="1:95">
      <c r="A56" s="5">
        <v>46188</v>
      </c>
      <c r="B56" t="s">
        <v>2422</v>
      </c>
      <c r="C56" t="s">
        <v>2423</v>
      </c>
      <c r="D56" t="s">
        <v>2424</v>
      </c>
      <c r="E56" t="s">
        <v>2425</v>
      </c>
      <c r="G56">
        <v>0</v>
      </c>
      <c r="H56">
        <v>-1</v>
      </c>
      <c r="O56" t="s">
        <v>338</v>
      </c>
      <c r="U56">
        <v>0</v>
      </c>
      <c r="V56">
        <v>0</v>
      </c>
      <c r="W56">
        <v>0</v>
      </c>
      <c r="X56">
        <v>0</v>
      </c>
      <c r="Y56" t="s">
        <v>359</v>
      </c>
      <c r="AB56">
        <v>0</v>
      </c>
      <c r="AC56">
        <v>0</v>
      </c>
      <c r="AE56">
        <v>-1</v>
      </c>
      <c r="AH56" t="s">
        <v>1733</v>
      </c>
      <c r="AJ56" t="s">
        <v>342</v>
      </c>
      <c r="AK56" t="s">
        <v>1734</v>
      </c>
      <c r="AN56">
        <v>0</v>
      </c>
      <c r="AQ56">
        <v>12.99</v>
      </c>
      <c r="AY56">
        <v>0</v>
      </c>
      <c r="BB56">
        <v>0</v>
      </c>
      <c r="BC56">
        <v>0</v>
      </c>
      <c r="BD56">
        <v>0</v>
      </c>
      <c r="BE56">
        <v>0</v>
      </c>
      <c r="BG56">
        <v>0</v>
      </c>
      <c r="BH56">
        <v>0</v>
      </c>
      <c r="CJ56">
        <v>0</v>
      </c>
      <c r="CK56">
        <v>0</v>
      </c>
      <c r="CL56">
        <v>0</v>
      </c>
      <c r="CM56">
        <v>0</v>
      </c>
      <c r="CN56">
        <v>0</v>
      </c>
      <c r="CP56" t="s">
        <v>347</v>
      </c>
      <c r="CQ56" t="s">
        <v>348</v>
      </c>
    </row>
    <row r="57" spans="1:95">
      <c r="A57" s="5">
        <v>46188</v>
      </c>
      <c r="B57" t="s">
        <v>2426</v>
      </c>
      <c r="C57" t="s">
        <v>2427</v>
      </c>
      <c r="D57" t="s">
        <v>2428</v>
      </c>
      <c r="E57" t="s">
        <v>2429</v>
      </c>
      <c r="G57">
        <v>0</v>
      </c>
      <c r="H57">
        <v>-1</v>
      </c>
      <c r="O57" t="s">
        <v>338</v>
      </c>
      <c r="U57">
        <v>0</v>
      </c>
      <c r="V57">
        <v>0</v>
      </c>
      <c r="W57">
        <v>0</v>
      </c>
      <c r="X57">
        <v>0</v>
      </c>
      <c r="Y57" t="s">
        <v>359</v>
      </c>
      <c r="AB57">
        <v>0</v>
      </c>
      <c r="AC57">
        <v>0</v>
      </c>
      <c r="AE57">
        <v>-1</v>
      </c>
      <c r="AJ57" t="s">
        <v>342</v>
      </c>
      <c r="AK57" t="s">
        <v>353</v>
      </c>
      <c r="AM57">
        <v>0</v>
      </c>
      <c r="AN57">
        <v>0</v>
      </c>
      <c r="AQ57">
        <v>10.43</v>
      </c>
      <c r="AY57">
        <v>0</v>
      </c>
      <c r="BB57">
        <v>0</v>
      </c>
      <c r="BG57">
        <v>0</v>
      </c>
      <c r="BH57">
        <v>0</v>
      </c>
      <c r="CJ57">
        <v>0</v>
      </c>
      <c r="CK57">
        <v>0</v>
      </c>
      <c r="CL57">
        <v>0</v>
      </c>
      <c r="CM57">
        <v>0</v>
      </c>
      <c r="CN57">
        <v>0</v>
      </c>
      <c r="CO57">
        <v>0</v>
      </c>
      <c r="CP57" t="s">
        <v>347</v>
      </c>
      <c r="CQ57" t="s">
        <v>348</v>
      </c>
    </row>
    <row r="58" spans="1:95">
      <c r="A58" s="5">
        <v>46188</v>
      </c>
      <c r="B58" t="s">
        <v>2430</v>
      </c>
      <c r="C58" t="s">
        <v>120</v>
      </c>
      <c r="D58" t="s">
        <v>2431</v>
      </c>
      <c r="E58" t="s">
        <v>1032</v>
      </c>
      <c r="G58">
        <v>0</v>
      </c>
      <c r="H58">
        <v>-1</v>
      </c>
      <c r="O58" t="s">
        <v>338</v>
      </c>
      <c r="U58">
        <v>0</v>
      </c>
      <c r="V58">
        <v>0</v>
      </c>
      <c r="W58">
        <v>0</v>
      </c>
      <c r="X58">
        <v>0</v>
      </c>
      <c r="Y58" t="s">
        <v>359</v>
      </c>
      <c r="AB58">
        <v>0</v>
      </c>
      <c r="AC58">
        <v>0</v>
      </c>
      <c r="AE58">
        <v>-1</v>
      </c>
      <c r="AH58" t="s">
        <v>424</v>
      </c>
      <c r="AJ58" t="s">
        <v>342</v>
      </c>
      <c r="AK58" t="s">
        <v>353</v>
      </c>
      <c r="AN58">
        <v>0</v>
      </c>
      <c r="AQ58">
        <v>75.99</v>
      </c>
      <c r="AY58">
        <v>0</v>
      </c>
      <c r="BB58">
        <v>0</v>
      </c>
      <c r="BC58">
        <v>0</v>
      </c>
      <c r="BD58">
        <v>0</v>
      </c>
      <c r="BE58">
        <v>0</v>
      </c>
      <c r="BG58">
        <v>0</v>
      </c>
      <c r="BH58">
        <v>0</v>
      </c>
      <c r="CJ58">
        <v>0</v>
      </c>
      <c r="CK58">
        <v>0</v>
      </c>
      <c r="CL58">
        <v>0</v>
      </c>
      <c r="CM58">
        <v>0</v>
      </c>
      <c r="CN58">
        <v>0</v>
      </c>
      <c r="CP58" t="s">
        <v>347</v>
      </c>
      <c r="CQ58" t="s">
        <v>348</v>
      </c>
    </row>
    <row r="59" spans="1:95">
      <c r="A59" s="5">
        <v>46188</v>
      </c>
      <c r="B59" t="s">
        <v>2432</v>
      </c>
      <c r="C59" t="s">
        <v>118</v>
      </c>
      <c r="D59" t="s">
        <v>2433</v>
      </c>
      <c r="E59" t="s">
        <v>2237</v>
      </c>
      <c r="G59">
        <v>0</v>
      </c>
      <c r="H59">
        <v>-1</v>
      </c>
      <c r="O59" t="s">
        <v>338</v>
      </c>
      <c r="U59">
        <v>0</v>
      </c>
      <c r="V59">
        <v>0</v>
      </c>
      <c r="W59">
        <v>0</v>
      </c>
      <c r="X59">
        <v>0</v>
      </c>
      <c r="Y59" t="s">
        <v>359</v>
      </c>
      <c r="AB59">
        <v>0</v>
      </c>
      <c r="AC59">
        <v>0</v>
      </c>
      <c r="AE59">
        <v>-1</v>
      </c>
      <c r="AH59" t="s">
        <v>341</v>
      </c>
      <c r="AJ59" t="s">
        <v>342</v>
      </c>
      <c r="AK59" t="s">
        <v>343</v>
      </c>
      <c r="AL59">
        <v>495700</v>
      </c>
      <c r="AN59">
        <v>0</v>
      </c>
      <c r="AY59">
        <v>0</v>
      </c>
      <c r="BB59">
        <v>0</v>
      </c>
      <c r="BC59">
        <v>0</v>
      </c>
      <c r="BD59">
        <v>0</v>
      </c>
      <c r="BE59">
        <v>0</v>
      </c>
      <c r="BG59">
        <v>0</v>
      </c>
      <c r="BH59">
        <v>0</v>
      </c>
      <c r="CJ59">
        <v>0</v>
      </c>
      <c r="CK59">
        <v>0</v>
      </c>
      <c r="CL59">
        <v>0</v>
      </c>
      <c r="CM59">
        <v>0</v>
      </c>
      <c r="CN59">
        <v>0</v>
      </c>
      <c r="CP59" t="s">
        <v>347</v>
      </c>
      <c r="CQ59" t="s">
        <v>348</v>
      </c>
    </row>
    <row r="60" spans="1:95">
      <c r="A60" s="5">
        <v>46188</v>
      </c>
      <c r="B60" t="s">
        <v>2434</v>
      </c>
      <c r="C60" t="s">
        <v>89</v>
      </c>
      <c r="D60" t="s">
        <v>95</v>
      </c>
      <c r="E60" t="s">
        <v>2435</v>
      </c>
      <c r="F60" t="s">
        <v>337</v>
      </c>
      <c r="G60">
        <v>5</v>
      </c>
      <c r="H60">
        <v>0</v>
      </c>
      <c r="I60">
        <v>0</v>
      </c>
      <c r="J60">
        <v>0</v>
      </c>
      <c r="K60">
        <v>2</v>
      </c>
      <c r="L60">
        <v>3</v>
      </c>
      <c r="M60">
        <v>0</v>
      </c>
      <c r="N60">
        <v>0</v>
      </c>
      <c r="O60" t="s">
        <v>338</v>
      </c>
      <c r="P60">
        <v>0</v>
      </c>
      <c r="Q60">
        <v>1</v>
      </c>
      <c r="R60">
        <v>3</v>
      </c>
      <c r="S60">
        <v>3</v>
      </c>
      <c r="T60" t="s">
        <v>351</v>
      </c>
      <c r="U60">
        <v>43.99</v>
      </c>
      <c r="V60">
        <v>0</v>
      </c>
      <c r="W60">
        <v>43.99</v>
      </c>
      <c r="X60">
        <v>0</v>
      </c>
      <c r="Y60" t="s">
        <v>352</v>
      </c>
      <c r="AA60">
        <v>24.63</v>
      </c>
      <c r="AB60">
        <v>2</v>
      </c>
      <c r="AC60">
        <v>0</v>
      </c>
      <c r="AD60">
        <v>362.19</v>
      </c>
      <c r="AE60">
        <v>0.44</v>
      </c>
      <c r="AF60">
        <v>0.185879</v>
      </c>
      <c r="AG60" t="s">
        <v>340</v>
      </c>
      <c r="AH60" t="s">
        <v>341</v>
      </c>
      <c r="AI60">
        <v>0.929395</v>
      </c>
      <c r="AJ60" t="s">
        <v>342</v>
      </c>
      <c r="AK60" t="s">
        <v>353</v>
      </c>
      <c r="AL60">
        <v>710672</v>
      </c>
      <c r="AM60">
        <v>171</v>
      </c>
      <c r="AN60">
        <v>5</v>
      </c>
      <c r="AO60">
        <v>60</v>
      </c>
      <c r="AP60">
        <v>65</v>
      </c>
      <c r="AQ60">
        <v>33.43</v>
      </c>
      <c r="AR60">
        <v>0</v>
      </c>
      <c r="AS60">
        <v>35.63</v>
      </c>
      <c r="AT60">
        <v>106.01</v>
      </c>
      <c r="AU60">
        <v>106.01</v>
      </c>
      <c r="AV60">
        <v>0</v>
      </c>
      <c r="AW60">
        <v>0</v>
      </c>
      <c r="AX60">
        <v>0</v>
      </c>
      <c r="AY60">
        <v>2</v>
      </c>
      <c r="AZ60">
        <v>3</v>
      </c>
      <c r="BA60">
        <v>5.03</v>
      </c>
      <c r="BB60">
        <v>10</v>
      </c>
      <c r="BC60">
        <v>10</v>
      </c>
      <c r="BD60">
        <v>0</v>
      </c>
      <c r="BE60">
        <v>0</v>
      </c>
      <c r="BG60">
        <v>0</v>
      </c>
      <c r="BH60">
        <v>0</v>
      </c>
      <c r="BI60">
        <v>0</v>
      </c>
      <c r="BJ60">
        <v>0</v>
      </c>
      <c r="BK60">
        <v>2</v>
      </c>
      <c r="BL60">
        <v>0.37</v>
      </c>
      <c r="BM60">
        <v>0</v>
      </c>
      <c r="BN60">
        <v>0</v>
      </c>
      <c r="BO60">
        <v>0</v>
      </c>
      <c r="BP60">
        <v>0</v>
      </c>
      <c r="BQ60">
        <v>0</v>
      </c>
      <c r="BR60">
        <v>0</v>
      </c>
      <c r="BS60">
        <v>3</v>
      </c>
      <c r="BT60">
        <v>3.29</v>
      </c>
      <c r="BU60">
        <v>0</v>
      </c>
      <c r="BV60">
        <v>0</v>
      </c>
      <c r="BW60">
        <v>0</v>
      </c>
      <c r="BX60">
        <v>0</v>
      </c>
      <c r="BY60">
        <v>206.3</v>
      </c>
      <c r="BZ60">
        <v>3</v>
      </c>
      <c r="CA60" t="s">
        <v>354</v>
      </c>
      <c r="CD60" s="5">
        <v>46188</v>
      </c>
      <c r="CE60" t="s">
        <v>345</v>
      </c>
      <c r="CF60" t="s">
        <v>346</v>
      </c>
      <c r="CG60">
        <v>164</v>
      </c>
      <c r="CH60">
        <v>206.3</v>
      </c>
      <c r="CI60" s="5">
        <v>46186</v>
      </c>
      <c r="CJ60">
        <v>15</v>
      </c>
      <c r="CK60">
        <v>0</v>
      </c>
      <c r="CL60">
        <v>0</v>
      </c>
      <c r="CM60">
        <v>0</v>
      </c>
      <c r="CN60">
        <v>0</v>
      </c>
      <c r="CO60">
        <v>366</v>
      </c>
      <c r="CP60" t="s">
        <v>347</v>
      </c>
      <c r="CQ60" t="s">
        <v>348</v>
      </c>
    </row>
    <row r="61" spans="1:95">
      <c r="A61" s="5">
        <v>46188</v>
      </c>
      <c r="B61" t="s">
        <v>2436</v>
      </c>
      <c r="C61" t="s">
        <v>2437</v>
      </c>
      <c r="D61" t="s">
        <v>2438</v>
      </c>
      <c r="E61" t="s">
        <v>2439</v>
      </c>
      <c r="G61">
        <v>0</v>
      </c>
      <c r="H61">
        <v>-1</v>
      </c>
      <c r="O61" t="s">
        <v>338</v>
      </c>
      <c r="U61">
        <v>0</v>
      </c>
      <c r="V61">
        <v>0</v>
      </c>
      <c r="W61">
        <v>0</v>
      </c>
      <c r="X61">
        <v>0</v>
      </c>
      <c r="Y61" t="s">
        <v>359</v>
      </c>
      <c r="AB61">
        <v>0</v>
      </c>
      <c r="AC61">
        <v>0</v>
      </c>
      <c r="AE61">
        <v>-1</v>
      </c>
      <c r="AH61" t="s">
        <v>341</v>
      </c>
      <c r="AJ61" t="s">
        <v>342</v>
      </c>
      <c r="AK61" t="s">
        <v>353</v>
      </c>
      <c r="AM61">
        <v>0</v>
      </c>
      <c r="AN61">
        <v>0</v>
      </c>
      <c r="AQ61">
        <v>12.99</v>
      </c>
      <c r="AY61">
        <v>0</v>
      </c>
      <c r="BB61">
        <v>0</v>
      </c>
      <c r="BC61">
        <v>0</v>
      </c>
      <c r="BD61">
        <v>0</v>
      </c>
      <c r="BE61">
        <v>0</v>
      </c>
      <c r="BG61">
        <v>0</v>
      </c>
      <c r="BH61">
        <v>0</v>
      </c>
      <c r="CJ61">
        <v>0</v>
      </c>
      <c r="CK61">
        <v>0</v>
      </c>
      <c r="CL61">
        <v>0</v>
      </c>
      <c r="CM61">
        <v>0</v>
      </c>
      <c r="CN61">
        <v>0</v>
      </c>
      <c r="CO61">
        <v>0</v>
      </c>
      <c r="CP61" t="s">
        <v>347</v>
      </c>
      <c r="CQ61" t="s">
        <v>348</v>
      </c>
    </row>
    <row r="62" spans="1:95">
      <c r="A62" s="5">
        <v>46188</v>
      </c>
      <c r="B62" t="s">
        <v>2440</v>
      </c>
      <c r="C62" t="s">
        <v>219</v>
      </c>
      <c r="D62" t="s">
        <v>2441</v>
      </c>
      <c r="E62" t="s">
        <v>415</v>
      </c>
      <c r="G62">
        <v>0</v>
      </c>
      <c r="H62">
        <v>-1</v>
      </c>
      <c r="O62" t="s">
        <v>338</v>
      </c>
      <c r="U62">
        <v>0</v>
      </c>
      <c r="V62">
        <v>0</v>
      </c>
      <c r="W62">
        <v>0</v>
      </c>
      <c r="X62">
        <v>0</v>
      </c>
      <c r="Y62" t="s">
        <v>359</v>
      </c>
      <c r="AB62">
        <v>0</v>
      </c>
      <c r="AC62">
        <v>0</v>
      </c>
      <c r="AE62">
        <v>-1</v>
      </c>
      <c r="AH62" t="s">
        <v>341</v>
      </c>
      <c r="AJ62" t="s">
        <v>342</v>
      </c>
      <c r="AK62" t="s">
        <v>343</v>
      </c>
      <c r="AM62">
        <v>0</v>
      </c>
      <c r="AN62">
        <v>0</v>
      </c>
      <c r="AQ62">
        <v>18.85</v>
      </c>
      <c r="AY62">
        <v>0</v>
      </c>
      <c r="BB62">
        <v>0</v>
      </c>
      <c r="BC62">
        <v>0</v>
      </c>
      <c r="BD62">
        <v>0</v>
      </c>
      <c r="BE62">
        <v>0</v>
      </c>
      <c r="BG62">
        <v>0</v>
      </c>
      <c r="BH62">
        <v>0</v>
      </c>
      <c r="CJ62">
        <v>0</v>
      </c>
      <c r="CK62">
        <v>0</v>
      </c>
      <c r="CL62">
        <v>0</v>
      </c>
      <c r="CM62">
        <v>0</v>
      </c>
      <c r="CN62">
        <v>0</v>
      </c>
      <c r="CO62">
        <v>0</v>
      </c>
      <c r="CP62" t="s">
        <v>347</v>
      </c>
      <c r="CQ62" t="s">
        <v>348</v>
      </c>
    </row>
    <row r="63" spans="1:95">
      <c r="A63" s="5">
        <v>46188</v>
      </c>
      <c r="B63" t="s">
        <v>2442</v>
      </c>
      <c r="C63" t="s">
        <v>200</v>
      </c>
      <c r="D63" t="s">
        <v>2443</v>
      </c>
      <c r="E63" t="s">
        <v>590</v>
      </c>
      <c r="G63">
        <v>0</v>
      </c>
      <c r="H63">
        <v>-1</v>
      </c>
      <c r="O63" t="s">
        <v>338</v>
      </c>
      <c r="U63">
        <v>0</v>
      </c>
      <c r="V63">
        <v>0</v>
      </c>
      <c r="W63">
        <v>0</v>
      </c>
      <c r="X63">
        <v>0</v>
      </c>
      <c r="Y63" t="s">
        <v>359</v>
      </c>
      <c r="AB63">
        <v>0</v>
      </c>
      <c r="AC63">
        <v>0</v>
      </c>
      <c r="AE63">
        <v>-1</v>
      </c>
      <c r="AJ63" t="s">
        <v>342</v>
      </c>
      <c r="AK63" t="s">
        <v>353</v>
      </c>
      <c r="AL63">
        <v>243893</v>
      </c>
      <c r="AN63">
        <v>0</v>
      </c>
      <c r="AQ63">
        <v>15.99</v>
      </c>
      <c r="AY63">
        <v>0</v>
      </c>
      <c r="BB63">
        <v>0</v>
      </c>
      <c r="BG63">
        <v>0</v>
      </c>
      <c r="BH63">
        <v>0</v>
      </c>
      <c r="CJ63">
        <v>0</v>
      </c>
      <c r="CK63">
        <v>0</v>
      </c>
      <c r="CL63">
        <v>0</v>
      </c>
      <c r="CM63">
        <v>0</v>
      </c>
      <c r="CN63">
        <v>0</v>
      </c>
      <c r="CP63" t="s">
        <v>347</v>
      </c>
      <c r="CQ63" t="s">
        <v>348</v>
      </c>
    </row>
    <row r="64" spans="1:95">
      <c r="A64" s="5">
        <v>46188</v>
      </c>
      <c r="B64" t="s">
        <v>2444</v>
      </c>
      <c r="C64" t="s">
        <v>2445</v>
      </c>
      <c r="D64" t="s">
        <v>2446</v>
      </c>
      <c r="E64" t="s">
        <v>2447</v>
      </c>
      <c r="G64">
        <v>0</v>
      </c>
      <c r="H64">
        <v>-1</v>
      </c>
      <c r="O64" t="s">
        <v>338</v>
      </c>
      <c r="U64">
        <v>0</v>
      </c>
      <c r="V64">
        <v>0</v>
      </c>
      <c r="W64">
        <v>0</v>
      </c>
      <c r="X64">
        <v>0</v>
      </c>
      <c r="Y64" t="s">
        <v>359</v>
      </c>
      <c r="AB64">
        <v>0</v>
      </c>
      <c r="AC64">
        <v>0</v>
      </c>
      <c r="AE64">
        <v>-1</v>
      </c>
      <c r="AH64" t="s">
        <v>341</v>
      </c>
      <c r="AJ64" t="s">
        <v>342</v>
      </c>
      <c r="AK64" t="s">
        <v>353</v>
      </c>
      <c r="AM64">
        <v>0</v>
      </c>
      <c r="AN64">
        <v>0</v>
      </c>
      <c r="AQ64">
        <v>9.99</v>
      </c>
      <c r="AY64">
        <v>0</v>
      </c>
      <c r="BB64">
        <v>0</v>
      </c>
      <c r="BC64">
        <v>0</v>
      </c>
      <c r="BD64">
        <v>0</v>
      </c>
      <c r="BE64">
        <v>0</v>
      </c>
      <c r="BG64">
        <v>0</v>
      </c>
      <c r="BH64">
        <v>0</v>
      </c>
      <c r="CJ64">
        <v>0</v>
      </c>
      <c r="CK64">
        <v>0</v>
      </c>
      <c r="CL64">
        <v>0</v>
      </c>
      <c r="CM64">
        <v>0</v>
      </c>
      <c r="CN64">
        <v>0</v>
      </c>
      <c r="CO64">
        <v>0</v>
      </c>
      <c r="CP64" t="s">
        <v>347</v>
      </c>
      <c r="CQ64" t="s">
        <v>348</v>
      </c>
    </row>
    <row r="65" spans="1:95">
      <c r="A65" s="5">
        <v>46188</v>
      </c>
      <c r="B65" t="s">
        <v>2448</v>
      </c>
      <c r="C65" t="s">
        <v>2449</v>
      </c>
      <c r="D65" t="s">
        <v>2450</v>
      </c>
      <c r="E65" t="s">
        <v>2451</v>
      </c>
      <c r="G65">
        <v>0</v>
      </c>
      <c r="H65">
        <v>-1</v>
      </c>
      <c r="O65" t="s">
        <v>338</v>
      </c>
      <c r="U65">
        <v>0</v>
      </c>
      <c r="V65">
        <v>0</v>
      </c>
      <c r="W65">
        <v>0</v>
      </c>
      <c r="X65">
        <v>0</v>
      </c>
      <c r="Y65" t="s">
        <v>359</v>
      </c>
      <c r="AB65">
        <v>0</v>
      </c>
      <c r="AC65">
        <v>0</v>
      </c>
      <c r="AE65">
        <v>-1</v>
      </c>
      <c r="AH65" t="s">
        <v>341</v>
      </c>
      <c r="AJ65" t="s">
        <v>342</v>
      </c>
      <c r="AK65" t="s">
        <v>353</v>
      </c>
      <c r="AN65">
        <v>0</v>
      </c>
      <c r="AQ65">
        <v>13.99</v>
      </c>
      <c r="AY65">
        <v>0</v>
      </c>
      <c r="BB65">
        <v>0</v>
      </c>
      <c r="BC65">
        <v>0</v>
      </c>
      <c r="BD65">
        <v>0</v>
      </c>
      <c r="BE65">
        <v>0</v>
      </c>
      <c r="BG65">
        <v>0</v>
      </c>
      <c r="BH65">
        <v>0</v>
      </c>
      <c r="CJ65">
        <v>0</v>
      </c>
      <c r="CK65">
        <v>0</v>
      </c>
      <c r="CL65">
        <v>0</v>
      </c>
      <c r="CM65">
        <v>0</v>
      </c>
      <c r="CN65">
        <v>0</v>
      </c>
      <c r="CP65" t="s">
        <v>347</v>
      </c>
      <c r="CQ65" t="s">
        <v>348</v>
      </c>
    </row>
    <row r="66" spans="1:95">
      <c r="A66" s="5">
        <v>46188</v>
      </c>
      <c r="B66" t="s">
        <v>2452</v>
      </c>
      <c r="C66" t="s">
        <v>2453</v>
      </c>
      <c r="D66" t="s">
        <v>2454</v>
      </c>
      <c r="E66" t="s">
        <v>2455</v>
      </c>
      <c r="G66">
        <v>0</v>
      </c>
      <c r="H66">
        <v>-1</v>
      </c>
      <c r="O66" t="s">
        <v>338</v>
      </c>
      <c r="U66">
        <v>0</v>
      </c>
      <c r="V66">
        <v>0</v>
      </c>
      <c r="W66">
        <v>0</v>
      </c>
      <c r="X66">
        <v>0</v>
      </c>
      <c r="Y66" t="s">
        <v>359</v>
      </c>
      <c r="AB66">
        <v>0</v>
      </c>
      <c r="AC66">
        <v>0</v>
      </c>
      <c r="AE66">
        <v>-1</v>
      </c>
      <c r="AH66" t="s">
        <v>341</v>
      </c>
      <c r="AJ66" t="s">
        <v>342</v>
      </c>
      <c r="AK66" t="s">
        <v>353</v>
      </c>
      <c r="AL66">
        <v>618687</v>
      </c>
      <c r="AN66">
        <v>0</v>
      </c>
      <c r="AQ66">
        <v>31.99</v>
      </c>
      <c r="AY66">
        <v>0</v>
      </c>
      <c r="BB66">
        <v>0</v>
      </c>
      <c r="BC66">
        <v>0</v>
      </c>
      <c r="BD66">
        <v>0</v>
      </c>
      <c r="BE66">
        <v>0</v>
      </c>
      <c r="BG66">
        <v>0</v>
      </c>
      <c r="BH66">
        <v>0</v>
      </c>
      <c r="CJ66">
        <v>0</v>
      </c>
      <c r="CK66">
        <v>0</v>
      </c>
      <c r="CL66">
        <v>0</v>
      </c>
      <c r="CM66">
        <v>0</v>
      </c>
      <c r="CN66">
        <v>0</v>
      </c>
      <c r="CP66" t="s">
        <v>347</v>
      </c>
      <c r="CQ66" t="s">
        <v>348</v>
      </c>
    </row>
    <row r="67" spans="1:95">
      <c r="A67" s="5">
        <v>46188</v>
      </c>
      <c r="B67" t="s">
        <v>2456</v>
      </c>
      <c r="C67" t="s">
        <v>2457</v>
      </c>
      <c r="D67" t="s">
        <v>2458</v>
      </c>
      <c r="E67" t="s">
        <v>2401</v>
      </c>
      <c r="G67">
        <v>0</v>
      </c>
      <c r="H67">
        <v>-1</v>
      </c>
      <c r="O67" t="s">
        <v>338</v>
      </c>
      <c r="U67">
        <v>0</v>
      </c>
      <c r="V67">
        <v>0</v>
      </c>
      <c r="W67">
        <v>0</v>
      </c>
      <c r="X67">
        <v>0</v>
      </c>
      <c r="Y67" t="s">
        <v>359</v>
      </c>
      <c r="AB67">
        <v>0</v>
      </c>
      <c r="AC67">
        <v>0</v>
      </c>
      <c r="AE67">
        <v>-1</v>
      </c>
      <c r="AJ67" t="s">
        <v>342</v>
      </c>
      <c r="AK67" t="s">
        <v>343</v>
      </c>
      <c r="AN67">
        <v>0</v>
      </c>
      <c r="AY67">
        <v>0</v>
      </c>
      <c r="BB67">
        <v>0</v>
      </c>
      <c r="BG67">
        <v>0</v>
      </c>
      <c r="BH67">
        <v>0</v>
      </c>
      <c r="CJ67">
        <v>0</v>
      </c>
      <c r="CK67">
        <v>0</v>
      </c>
      <c r="CL67">
        <v>0</v>
      </c>
      <c r="CM67">
        <v>0</v>
      </c>
      <c r="CN67">
        <v>0</v>
      </c>
      <c r="CP67" t="s">
        <v>347</v>
      </c>
      <c r="CQ67" t="s">
        <v>348</v>
      </c>
    </row>
    <row r="68" spans="1:95">
      <c r="A68" s="5">
        <v>46188</v>
      </c>
      <c r="B68" t="s">
        <v>2459</v>
      </c>
      <c r="C68" t="s">
        <v>1983</v>
      </c>
      <c r="D68" t="s">
        <v>2460</v>
      </c>
      <c r="E68" t="s">
        <v>1985</v>
      </c>
      <c r="G68">
        <v>0</v>
      </c>
      <c r="H68">
        <v>-1</v>
      </c>
      <c r="O68" t="s">
        <v>338</v>
      </c>
      <c r="U68">
        <v>0</v>
      </c>
      <c r="V68">
        <v>0</v>
      </c>
      <c r="W68">
        <v>0</v>
      </c>
      <c r="X68">
        <v>0</v>
      </c>
      <c r="Y68" t="s">
        <v>359</v>
      </c>
      <c r="AB68">
        <v>0</v>
      </c>
      <c r="AC68">
        <v>0</v>
      </c>
      <c r="AE68">
        <v>-1</v>
      </c>
      <c r="AH68" t="s">
        <v>341</v>
      </c>
      <c r="AJ68" t="s">
        <v>342</v>
      </c>
      <c r="AK68" t="s">
        <v>353</v>
      </c>
      <c r="AM68">
        <v>0</v>
      </c>
      <c r="AN68">
        <v>0</v>
      </c>
      <c r="AQ68">
        <v>18.04</v>
      </c>
      <c r="AY68">
        <v>0</v>
      </c>
      <c r="BB68">
        <v>0</v>
      </c>
      <c r="BC68">
        <v>0</v>
      </c>
      <c r="BD68">
        <v>0</v>
      </c>
      <c r="BE68">
        <v>0</v>
      </c>
      <c r="BG68">
        <v>0</v>
      </c>
      <c r="BH68">
        <v>0</v>
      </c>
      <c r="CJ68">
        <v>0</v>
      </c>
      <c r="CK68">
        <v>0</v>
      </c>
      <c r="CL68">
        <v>0</v>
      </c>
      <c r="CM68">
        <v>0</v>
      </c>
      <c r="CN68">
        <v>0</v>
      </c>
      <c r="CO68">
        <v>0</v>
      </c>
      <c r="CP68" t="s">
        <v>347</v>
      </c>
      <c r="CQ68" t="s">
        <v>348</v>
      </c>
    </row>
    <row r="69" spans="1:95">
      <c r="A69" s="5">
        <v>46188</v>
      </c>
      <c r="B69" t="s">
        <v>2461</v>
      </c>
      <c r="C69" t="s">
        <v>201</v>
      </c>
      <c r="D69" t="s">
        <v>2462</v>
      </c>
      <c r="E69" t="s">
        <v>363</v>
      </c>
      <c r="G69">
        <v>0</v>
      </c>
      <c r="H69">
        <v>-1</v>
      </c>
      <c r="O69" t="s">
        <v>338</v>
      </c>
      <c r="U69">
        <v>0</v>
      </c>
      <c r="V69">
        <v>0</v>
      </c>
      <c r="W69">
        <v>0</v>
      </c>
      <c r="X69">
        <v>0</v>
      </c>
      <c r="Y69" t="s">
        <v>359</v>
      </c>
      <c r="AB69">
        <v>0</v>
      </c>
      <c r="AC69">
        <v>0</v>
      </c>
      <c r="AE69">
        <v>-1</v>
      </c>
      <c r="AH69" t="s">
        <v>341</v>
      </c>
      <c r="AJ69" t="s">
        <v>342</v>
      </c>
      <c r="AK69" t="s">
        <v>353</v>
      </c>
      <c r="AL69">
        <v>2409</v>
      </c>
      <c r="AN69">
        <v>0</v>
      </c>
      <c r="AQ69">
        <v>15.99</v>
      </c>
      <c r="AY69">
        <v>0</v>
      </c>
      <c r="BB69">
        <v>0</v>
      </c>
      <c r="BC69">
        <v>0</v>
      </c>
      <c r="BD69">
        <v>0</v>
      </c>
      <c r="BE69">
        <v>0</v>
      </c>
      <c r="BG69">
        <v>0</v>
      </c>
      <c r="BH69">
        <v>0</v>
      </c>
      <c r="CJ69">
        <v>0</v>
      </c>
      <c r="CK69">
        <v>0</v>
      </c>
      <c r="CL69">
        <v>0</v>
      </c>
      <c r="CM69">
        <v>0</v>
      </c>
      <c r="CN69">
        <v>0</v>
      </c>
      <c r="CP69" t="s">
        <v>347</v>
      </c>
      <c r="CQ69" t="s">
        <v>348</v>
      </c>
    </row>
    <row r="70" spans="1:95">
      <c r="A70" s="5">
        <v>46188</v>
      </c>
      <c r="B70" t="s">
        <v>2463</v>
      </c>
      <c r="C70" t="s">
        <v>2464</v>
      </c>
      <c r="D70" t="s">
        <v>2465</v>
      </c>
      <c r="E70" t="s">
        <v>2466</v>
      </c>
      <c r="G70">
        <v>0</v>
      </c>
      <c r="H70">
        <v>-1</v>
      </c>
      <c r="O70" t="s">
        <v>338</v>
      </c>
      <c r="U70">
        <v>0</v>
      </c>
      <c r="V70">
        <v>0</v>
      </c>
      <c r="W70">
        <v>0</v>
      </c>
      <c r="X70">
        <v>0</v>
      </c>
      <c r="Y70" t="s">
        <v>359</v>
      </c>
      <c r="AB70">
        <v>0</v>
      </c>
      <c r="AC70">
        <v>0</v>
      </c>
      <c r="AE70">
        <v>-1</v>
      </c>
      <c r="AJ70" t="s">
        <v>342</v>
      </c>
      <c r="AK70" t="s">
        <v>353</v>
      </c>
      <c r="AN70">
        <v>0</v>
      </c>
      <c r="AY70">
        <v>0</v>
      </c>
      <c r="BB70">
        <v>0</v>
      </c>
      <c r="BG70">
        <v>0</v>
      </c>
      <c r="BH70">
        <v>0</v>
      </c>
      <c r="CJ70">
        <v>0</v>
      </c>
      <c r="CK70">
        <v>0</v>
      </c>
      <c r="CL70">
        <v>0</v>
      </c>
      <c r="CM70">
        <v>0</v>
      </c>
      <c r="CN70">
        <v>0</v>
      </c>
      <c r="CP70" t="s">
        <v>347</v>
      </c>
      <c r="CQ70" t="s">
        <v>348</v>
      </c>
    </row>
    <row r="71" spans="1:95">
      <c r="A71" s="5">
        <v>46188</v>
      </c>
      <c r="B71" t="s">
        <v>2467</v>
      </c>
      <c r="C71" t="s">
        <v>908</v>
      </c>
      <c r="D71" t="s">
        <v>2468</v>
      </c>
      <c r="E71" t="s">
        <v>910</v>
      </c>
      <c r="G71">
        <v>0</v>
      </c>
      <c r="H71">
        <v>-1</v>
      </c>
      <c r="O71" t="s">
        <v>338</v>
      </c>
      <c r="P71">
        <v>0</v>
      </c>
      <c r="Q71">
        <v>0</v>
      </c>
      <c r="R71">
        <v>0</v>
      </c>
      <c r="S71">
        <v>0</v>
      </c>
      <c r="U71">
        <v>0</v>
      </c>
      <c r="V71">
        <v>0</v>
      </c>
      <c r="W71">
        <v>0</v>
      </c>
      <c r="X71">
        <v>0</v>
      </c>
      <c r="Y71" t="s">
        <v>359</v>
      </c>
      <c r="AB71">
        <v>0</v>
      </c>
      <c r="AC71">
        <v>0</v>
      </c>
      <c r="AE71">
        <v>-1</v>
      </c>
      <c r="AH71" t="s">
        <v>424</v>
      </c>
      <c r="AJ71" t="s">
        <v>342</v>
      </c>
      <c r="AK71" t="s">
        <v>587</v>
      </c>
      <c r="AM71">
        <v>0</v>
      </c>
      <c r="AN71">
        <v>0</v>
      </c>
      <c r="AQ71">
        <v>133.99</v>
      </c>
      <c r="AR71">
        <v>0</v>
      </c>
      <c r="AS71">
        <v>0</v>
      </c>
      <c r="AT71">
        <v>0</v>
      </c>
      <c r="AU71">
        <v>0</v>
      </c>
      <c r="AY71">
        <v>0</v>
      </c>
      <c r="BB71">
        <v>0</v>
      </c>
      <c r="BC71">
        <v>0</v>
      </c>
      <c r="BD71">
        <v>0</v>
      </c>
      <c r="BE71">
        <v>0</v>
      </c>
      <c r="BG71">
        <v>0</v>
      </c>
      <c r="BH71">
        <v>0</v>
      </c>
      <c r="BZ71">
        <v>1</v>
      </c>
      <c r="CA71" t="s">
        <v>429</v>
      </c>
      <c r="CJ71">
        <v>0</v>
      </c>
      <c r="CK71">
        <v>0</v>
      </c>
      <c r="CL71">
        <v>0</v>
      </c>
      <c r="CM71">
        <v>0</v>
      </c>
      <c r="CN71">
        <v>0</v>
      </c>
      <c r="CO71">
        <v>0</v>
      </c>
      <c r="CQ71" t="s">
        <v>348</v>
      </c>
    </row>
    <row r="72" spans="1:95">
      <c r="A72" s="5">
        <v>46188</v>
      </c>
      <c r="B72" t="s">
        <v>2469</v>
      </c>
      <c r="C72" t="s">
        <v>2470</v>
      </c>
      <c r="D72" t="s">
        <v>2471</v>
      </c>
      <c r="E72" t="s">
        <v>2472</v>
      </c>
      <c r="G72">
        <v>0</v>
      </c>
      <c r="H72">
        <v>-1</v>
      </c>
      <c r="O72" t="s">
        <v>338</v>
      </c>
      <c r="U72">
        <v>0</v>
      </c>
      <c r="V72">
        <v>0</v>
      </c>
      <c r="W72">
        <v>0</v>
      </c>
      <c r="X72">
        <v>0</v>
      </c>
      <c r="Y72" t="s">
        <v>359</v>
      </c>
      <c r="AB72">
        <v>0</v>
      </c>
      <c r="AC72">
        <v>0</v>
      </c>
      <c r="AE72">
        <v>-1</v>
      </c>
      <c r="AJ72" t="s">
        <v>342</v>
      </c>
      <c r="AK72" t="s">
        <v>2473</v>
      </c>
      <c r="AN72">
        <v>0</v>
      </c>
      <c r="AQ72">
        <v>30.99</v>
      </c>
      <c r="AY72">
        <v>0</v>
      </c>
      <c r="BB72">
        <v>0</v>
      </c>
      <c r="BG72">
        <v>0</v>
      </c>
      <c r="BH72">
        <v>0</v>
      </c>
      <c r="CJ72">
        <v>0</v>
      </c>
      <c r="CK72">
        <v>0</v>
      </c>
      <c r="CL72">
        <v>0</v>
      </c>
      <c r="CM72">
        <v>0</v>
      </c>
      <c r="CN72">
        <v>0</v>
      </c>
      <c r="CP72" t="s">
        <v>347</v>
      </c>
      <c r="CQ72" t="s">
        <v>348</v>
      </c>
    </row>
    <row r="73" spans="1:95">
      <c r="A73" s="5">
        <v>46188</v>
      </c>
      <c r="B73" t="s">
        <v>2474</v>
      </c>
      <c r="C73" t="s">
        <v>2475</v>
      </c>
      <c r="D73" t="s">
        <v>2476</v>
      </c>
      <c r="E73" t="s">
        <v>2477</v>
      </c>
      <c r="G73">
        <v>0</v>
      </c>
      <c r="H73">
        <v>-1</v>
      </c>
      <c r="O73" t="s">
        <v>338</v>
      </c>
      <c r="U73">
        <v>0</v>
      </c>
      <c r="V73">
        <v>0</v>
      </c>
      <c r="W73">
        <v>0</v>
      </c>
      <c r="X73">
        <v>0</v>
      </c>
      <c r="Y73" t="s">
        <v>359</v>
      </c>
      <c r="AB73">
        <v>0</v>
      </c>
      <c r="AC73">
        <v>0</v>
      </c>
      <c r="AE73">
        <v>-1</v>
      </c>
      <c r="AH73" t="s">
        <v>341</v>
      </c>
      <c r="AJ73" t="s">
        <v>342</v>
      </c>
      <c r="AK73" t="s">
        <v>353</v>
      </c>
      <c r="AN73">
        <v>0</v>
      </c>
      <c r="AQ73">
        <v>32.99</v>
      </c>
      <c r="AY73">
        <v>0</v>
      </c>
      <c r="BB73">
        <v>0</v>
      </c>
      <c r="BC73">
        <v>0</v>
      </c>
      <c r="BD73">
        <v>0</v>
      </c>
      <c r="BE73">
        <v>0</v>
      </c>
      <c r="BG73">
        <v>0</v>
      </c>
      <c r="BH73">
        <v>0</v>
      </c>
      <c r="CJ73">
        <v>0</v>
      </c>
      <c r="CK73">
        <v>0</v>
      </c>
      <c r="CL73">
        <v>0</v>
      </c>
      <c r="CM73">
        <v>0</v>
      </c>
      <c r="CN73">
        <v>0</v>
      </c>
      <c r="CP73" t="s">
        <v>347</v>
      </c>
      <c r="CQ73" t="s">
        <v>348</v>
      </c>
    </row>
    <row r="74" spans="1:95">
      <c r="A74" s="5">
        <v>46188</v>
      </c>
      <c r="B74" t="s">
        <v>2478</v>
      </c>
      <c r="C74" t="s">
        <v>2479</v>
      </c>
      <c r="D74" t="s">
        <v>2480</v>
      </c>
      <c r="E74" t="s">
        <v>2481</v>
      </c>
      <c r="G74">
        <v>0</v>
      </c>
      <c r="H74">
        <v>-1</v>
      </c>
      <c r="O74" t="s">
        <v>338</v>
      </c>
      <c r="U74">
        <v>0</v>
      </c>
      <c r="V74">
        <v>0</v>
      </c>
      <c r="W74">
        <v>0</v>
      </c>
      <c r="X74">
        <v>0</v>
      </c>
      <c r="Y74" t="s">
        <v>359</v>
      </c>
      <c r="AB74">
        <v>0</v>
      </c>
      <c r="AC74">
        <v>0</v>
      </c>
      <c r="AE74">
        <v>-1</v>
      </c>
      <c r="AJ74" t="s">
        <v>342</v>
      </c>
      <c r="AK74" t="s">
        <v>343</v>
      </c>
      <c r="AN74">
        <v>0</v>
      </c>
      <c r="AQ74">
        <v>22.99</v>
      </c>
      <c r="AY74">
        <v>0</v>
      </c>
      <c r="BB74">
        <v>0</v>
      </c>
      <c r="BG74">
        <v>0</v>
      </c>
      <c r="BH74">
        <v>0</v>
      </c>
      <c r="CJ74">
        <v>0</v>
      </c>
      <c r="CK74">
        <v>0</v>
      </c>
      <c r="CL74">
        <v>0</v>
      </c>
      <c r="CM74">
        <v>0</v>
      </c>
      <c r="CN74">
        <v>0</v>
      </c>
      <c r="CP74" t="s">
        <v>347</v>
      </c>
      <c r="CQ74" t="s">
        <v>348</v>
      </c>
    </row>
    <row r="75" spans="1:95">
      <c r="A75" s="5">
        <v>46188</v>
      </c>
      <c r="B75" t="s">
        <v>2482</v>
      </c>
      <c r="C75" t="s">
        <v>71</v>
      </c>
      <c r="D75" t="s">
        <v>2483</v>
      </c>
      <c r="E75" t="s">
        <v>1990</v>
      </c>
      <c r="G75">
        <v>0</v>
      </c>
      <c r="H75">
        <v>-1</v>
      </c>
      <c r="O75" t="s">
        <v>338</v>
      </c>
      <c r="P75">
        <v>0</v>
      </c>
      <c r="Q75">
        <v>0</v>
      </c>
      <c r="R75">
        <v>0</v>
      </c>
      <c r="S75">
        <v>0</v>
      </c>
      <c r="U75">
        <v>0</v>
      </c>
      <c r="V75">
        <v>0</v>
      </c>
      <c r="W75">
        <v>0</v>
      </c>
      <c r="X75">
        <v>0</v>
      </c>
      <c r="Y75" t="s">
        <v>359</v>
      </c>
      <c r="AB75">
        <v>0</v>
      </c>
      <c r="AC75">
        <v>0</v>
      </c>
      <c r="AE75">
        <v>-1</v>
      </c>
      <c r="AH75" t="s">
        <v>341</v>
      </c>
      <c r="AJ75" t="s">
        <v>342</v>
      </c>
      <c r="AK75" t="s">
        <v>353</v>
      </c>
      <c r="AN75">
        <v>0</v>
      </c>
      <c r="AQ75">
        <v>29.99</v>
      </c>
      <c r="AR75">
        <v>0</v>
      </c>
      <c r="AS75">
        <v>0</v>
      </c>
      <c r="AT75">
        <v>0</v>
      </c>
      <c r="AU75">
        <v>0</v>
      </c>
      <c r="AY75">
        <v>0</v>
      </c>
      <c r="BB75">
        <v>0</v>
      </c>
      <c r="BC75">
        <v>0</v>
      </c>
      <c r="BD75">
        <v>0</v>
      </c>
      <c r="BE75">
        <v>0</v>
      </c>
      <c r="BG75">
        <v>0</v>
      </c>
      <c r="BH75">
        <v>0</v>
      </c>
      <c r="CJ75">
        <v>0</v>
      </c>
      <c r="CK75">
        <v>0</v>
      </c>
      <c r="CL75">
        <v>0</v>
      </c>
      <c r="CM75">
        <v>0</v>
      </c>
      <c r="CN75">
        <v>0</v>
      </c>
      <c r="CP75" t="s">
        <v>347</v>
      </c>
      <c r="CQ75" t="s">
        <v>348</v>
      </c>
    </row>
    <row r="76" spans="1:95">
      <c r="A76" s="5">
        <v>46188</v>
      </c>
      <c r="B76" t="s">
        <v>2484</v>
      </c>
      <c r="C76" t="s">
        <v>2485</v>
      </c>
      <c r="D76" t="s">
        <v>2486</v>
      </c>
      <c r="E76" t="s">
        <v>2487</v>
      </c>
      <c r="G76">
        <v>0</v>
      </c>
      <c r="H76">
        <v>-1</v>
      </c>
      <c r="O76" t="s">
        <v>338</v>
      </c>
      <c r="U76">
        <v>0</v>
      </c>
      <c r="V76">
        <v>0</v>
      </c>
      <c r="W76">
        <v>0</v>
      </c>
      <c r="X76">
        <v>0</v>
      </c>
      <c r="Y76" t="s">
        <v>359</v>
      </c>
      <c r="AB76">
        <v>0</v>
      </c>
      <c r="AC76">
        <v>0</v>
      </c>
      <c r="AE76">
        <v>-1</v>
      </c>
      <c r="AJ76" t="s">
        <v>342</v>
      </c>
      <c r="AK76" t="s">
        <v>353</v>
      </c>
      <c r="AM76">
        <v>0</v>
      </c>
      <c r="AN76">
        <v>0</v>
      </c>
      <c r="AQ76">
        <v>34.99</v>
      </c>
      <c r="AY76">
        <v>0</v>
      </c>
      <c r="BB76">
        <v>0</v>
      </c>
      <c r="BG76">
        <v>0</v>
      </c>
      <c r="BH76">
        <v>0</v>
      </c>
      <c r="CJ76">
        <v>0</v>
      </c>
      <c r="CK76">
        <v>0</v>
      </c>
      <c r="CL76">
        <v>0</v>
      </c>
      <c r="CM76">
        <v>0</v>
      </c>
      <c r="CN76">
        <v>0</v>
      </c>
      <c r="CO76">
        <v>0</v>
      </c>
      <c r="CP76" t="s">
        <v>347</v>
      </c>
      <c r="CQ76" t="s">
        <v>348</v>
      </c>
    </row>
    <row r="77" spans="1:95">
      <c r="A77" s="5">
        <v>46188</v>
      </c>
      <c r="B77" t="s">
        <v>2488</v>
      </c>
      <c r="C77" t="s">
        <v>128</v>
      </c>
      <c r="D77" t="s">
        <v>2489</v>
      </c>
      <c r="E77" t="s">
        <v>412</v>
      </c>
      <c r="F77" t="s">
        <v>337</v>
      </c>
      <c r="G77">
        <v>1</v>
      </c>
      <c r="H77">
        <v>0</v>
      </c>
      <c r="I77">
        <v>1</v>
      </c>
      <c r="J77">
        <v>0</v>
      </c>
      <c r="K77">
        <v>0</v>
      </c>
      <c r="L77">
        <v>0</v>
      </c>
      <c r="M77">
        <v>0</v>
      </c>
      <c r="N77">
        <v>0</v>
      </c>
      <c r="O77" t="s">
        <v>338</v>
      </c>
      <c r="T77" t="s">
        <v>409</v>
      </c>
      <c r="U77">
        <v>26.99</v>
      </c>
      <c r="V77">
        <v>0</v>
      </c>
      <c r="W77">
        <v>19.99</v>
      </c>
      <c r="X77">
        <v>0</v>
      </c>
      <c r="Y77" t="s">
        <v>391</v>
      </c>
      <c r="AA77">
        <v>16.98</v>
      </c>
      <c r="AB77">
        <v>9</v>
      </c>
      <c r="AC77">
        <v>0</v>
      </c>
      <c r="AD77">
        <v>33.95</v>
      </c>
      <c r="AE77">
        <v>0</v>
      </c>
      <c r="AF77">
        <v>0.13395</v>
      </c>
      <c r="AG77" t="s">
        <v>340</v>
      </c>
      <c r="AH77" t="s">
        <v>341</v>
      </c>
      <c r="AI77">
        <v>0.13395</v>
      </c>
      <c r="AJ77" t="s">
        <v>342</v>
      </c>
      <c r="AK77" t="s">
        <v>353</v>
      </c>
      <c r="AL77">
        <v>26497</v>
      </c>
      <c r="AM77">
        <v>366</v>
      </c>
      <c r="AN77">
        <v>0</v>
      </c>
      <c r="AQ77">
        <v>19.99</v>
      </c>
      <c r="AV77">
        <v>0</v>
      </c>
      <c r="AW77">
        <v>0</v>
      </c>
      <c r="AX77">
        <v>1</v>
      </c>
      <c r="AY77">
        <v>0</v>
      </c>
      <c r="AZ77">
        <v>0</v>
      </c>
      <c r="BA77">
        <v>0.1</v>
      </c>
      <c r="BB77">
        <v>0</v>
      </c>
      <c r="BC77">
        <v>0</v>
      </c>
      <c r="BD77">
        <v>0</v>
      </c>
      <c r="BE77">
        <v>0</v>
      </c>
      <c r="BG77">
        <v>0</v>
      </c>
      <c r="BH77">
        <v>0</v>
      </c>
      <c r="CI77" s="5">
        <v>46186</v>
      </c>
      <c r="CJ77">
        <v>1</v>
      </c>
      <c r="CK77">
        <v>0</v>
      </c>
      <c r="CL77">
        <v>0</v>
      </c>
      <c r="CM77">
        <v>0</v>
      </c>
      <c r="CN77">
        <v>0</v>
      </c>
      <c r="CO77">
        <v>366</v>
      </c>
      <c r="CP77" t="s">
        <v>347</v>
      </c>
      <c r="CQ77" t="s">
        <v>348</v>
      </c>
    </row>
    <row r="78" spans="1:95">
      <c r="A78" s="5">
        <v>46188</v>
      </c>
      <c r="B78" t="s">
        <v>2490</v>
      </c>
      <c r="C78" t="s">
        <v>2491</v>
      </c>
      <c r="D78" t="s">
        <v>2492</v>
      </c>
      <c r="E78" t="s">
        <v>2493</v>
      </c>
      <c r="G78">
        <v>0</v>
      </c>
      <c r="H78">
        <v>-1</v>
      </c>
      <c r="O78" t="s">
        <v>338</v>
      </c>
      <c r="U78">
        <v>0</v>
      </c>
      <c r="V78">
        <v>0</v>
      </c>
      <c r="W78">
        <v>0</v>
      </c>
      <c r="X78">
        <v>0</v>
      </c>
      <c r="Y78" t="s">
        <v>359</v>
      </c>
      <c r="AB78">
        <v>0</v>
      </c>
      <c r="AC78">
        <v>0</v>
      </c>
      <c r="AE78">
        <v>-1</v>
      </c>
      <c r="AH78" t="s">
        <v>341</v>
      </c>
      <c r="AJ78" t="s">
        <v>342</v>
      </c>
      <c r="AK78" t="s">
        <v>404</v>
      </c>
      <c r="AM78">
        <v>0</v>
      </c>
      <c r="AN78">
        <v>0</v>
      </c>
      <c r="AQ78">
        <v>21.99</v>
      </c>
      <c r="AY78">
        <v>0</v>
      </c>
      <c r="BB78">
        <v>0</v>
      </c>
      <c r="BC78">
        <v>0</v>
      </c>
      <c r="BD78">
        <v>0</v>
      </c>
      <c r="BE78">
        <v>0</v>
      </c>
      <c r="BG78">
        <v>0</v>
      </c>
      <c r="BH78">
        <v>0</v>
      </c>
      <c r="CJ78">
        <v>0</v>
      </c>
      <c r="CK78">
        <v>0</v>
      </c>
      <c r="CL78">
        <v>0</v>
      </c>
      <c r="CM78">
        <v>0</v>
      </c>
      <c r="CN78">
        <v>0</v>
      </c>
      <c r="CO78">
        <v>0</v>
      </c>
      <c r="CP78" t="s">
        <v>347</v>
      </c>
      <c r="CQ78" t="s">
        <v>348</v>
      </c>
    </row>
    <row r="79" spans="1:95">
      <c r="A79" s="5">
        <v>46188</v>
      </c>
      <c r="B79" t="s">
        <v>2494</v>
      </c>
      <c r="C79" t="s">
        <v>219</v>
      </c>
      <c r="D79" t="s">
        <v>2495</v>
      </c>
      <c r="E79" t="s">
        <v>415</v>
      </c>
      <c r="G79">
        <v>0</v>
      </c>
      <c r="H79">
        <v>-1</v>
      </c>
      <c r="O79" t="s">
        <v>338</v>
      </c>
      <c r="U79">
        <v>0</v>
      </c>
      <c r="V79">
        <v>0</v>
      </c>
      <c r="W79">
        <v>0</v>
      </c>
      <c r="X79">
        <v>0</v>
      </c>
      <c r="Y79" t="s">
        <v>359</v>
      </c>
      <c r="AB79">
        <v>0</v>
      </c>
      <c r="AC79">
        <v>0</v>
      </c>
      <c r="AE79">
        <v>-1</v>
      </c>
      <c r="AJ79" t="s">
        <v>342</v>
      </c>
      <c r="AK79" t="s">
        <v>343</v>
      </c>
      <c r="AM79">
        <v>0</v>
      </c>
      <c r="AN79">
        <v>0</v>
      </c>
      <c r="AQ79">
        <v>18.85</v>
      </c>
      <c r="AY79">
        <v>0</v>
      </c>
      <c r="BB79">
        <v>0</v>
      </c>
      <c r="BG79">
        <v>0</v>
      </c>
      <c r="BH79">
        <v>0</v>
      </c>
      <c r="CJ79">
        <v>0</v>
      </c>
      <c r="CK79">
        <v>0</v>
      </c>
      <c r="CL79">
        <v>0</v>
      </c>
      <c r="CM79">
        <v>0</v>
      </c>
      <c r="CN79">
        <v>0</v>
      </c>
      <c r="CO79">
        <v>0</v>
      </c>
      <c r="CP79" t="s">
        <v>347</v>
      </c>
      <c r="CQ79" t="s">
        <v>348</v>
      </c>
    </row>
    <row r="80" spans="1:95">
      <c r="A80" s="5">
        <v>46188</v>
      </c>
      <c r="B80" t="s">
        <v>2496</v>
      </c>
      <c r="C80" t="s">
        <v>1866</v>
      </c>
      <c r="D80" t="s">
        <v>2497</v>
      </c>
      <c r="E80" t="s">
        <v>1868</v>
      </c>
      <c r="G80">
        <v>0</v>
      </c>
      <c r="H80">
        <v>-1</v>
      </c>
      <c r="O80" t="s">
        <v>338</v>
      </c>
      <c r="P80">
        <v>0</v>
      </c>
      <c r="Q80">
        <v>0</v>
      </c>
      <c r="R80">
        <v>0</v>
      </c>
      <c r="S80">
        <v>0</v>
      </c>
      <c r="U80">
        <v>0</v>
      </c>
      <c r="V80">
        <v>0</v>
      </c>
      <c r="W80">
        <v>0</v>
      </c>
      <c r="X80">
        <v>0</v>
      </c>
      <c r="Y80" t="s">
        <v>359</v>
      </c>
      <c r="AB80">
        <v>0</v>
      </c>
      <c r="AC80">
        <v>0</v>
      </c>
      <c r="AE80">
        <v>-1</v>
      </c>
      <c r="AH80" t="s">
        <v>341</v>
      </c>
      <c r="AJ80" t="s">
        <v>342</v>
      </c>
      <c r="AK80" t="s">
        <v>353</v>
      </c>
      <c r="AL80">
        <v>247408</v>
      </c>
      <c r="AN80">
        <v>0</v>
      </c>
      <c r="AQ80">
        <v>26.99</v>
      </c>
      <c r="AR80">
        <v>0</v>
      </c>
      <c r="AS80">
        <v>0</v>
      </c>
      <c r="AT80">
        <v>0</v>
      </c>
      <c r="AU80">
        <v>0</v>
      </c>
      <c r="AY80">
        <v>0</v>
      </c>
      <c r="BB80">
        <v>0</v>
      </c>
      <c r="BC80">
        <v>0</v>
      </c>
      <c r="BD80">
        <v>0</v>
      </c>
      <c r="BE80">
        <v>0</v>
      </c>
      <c r="BG80">
        <v>0</v>
      </c>
      <c r="BH80">
        <v>0</v>
      </c>
      <c r="CJ80">
        <v>0</v>
      </c>
      <c r="CK80">
        <v>0</v>
      </c>
      <c r="CL80">
        <v>0</v>
      </c>
      <c r="CM80">
        <v>0</v>
      </c>
      <c r="CN80">
        <v>0</v>
      </c>
      <c r="CP80" t="s">
        <v>347</v>
      </c>
      <c r="CQ80" t="s">
        <v>348</v>
      </c>
    </row>
    <row r="81" spans="1:95">
      <c r="A81" s="5">
        <v>46188</v>
      </c>
      <c r="B81" t="s">
        <v>2498</v>
      </c>
      <c r="C81" t="s">
        <v>108</v>
      </c>
      <c r="D81" t="s">
        <v>2499</v>
      </c>
      <c r="E81" t="s">
        <v>497</v>
      </c>
      <c r="G81">
        <v>0</v>
      </c>
      <c r="H81">
        <v>-1</v>
      </c>
      <c r="O81" t="s">
        <v>338</v>
      </c>
      <c r="U81">
        <v>0</v>
      </c>
      <c r="V81">
        <v>0</v>
      </c>
      <c r="W81">
        <v>0</v>
      </c>
      <c r="X81">
        <v>0</v>
      </c>
      <c r="Y81" t="s">
        <v>359</v>
      </c>
      <c r="AB81">
        <v>0</v>
      </c>
      <c r="AC81">
        <v>0</v>
      </c>
      <c r="AE81">
        <v>-1</v>
      </c>
      <c r="AH81" t="s">
        <v>341</v>
      </c>
      <c r="AJ81" t="s">
        <v>342</v>
      </c>
      <c r="AK81" t="s">
        <v>343</v>
      </c>
      <c r="AL81">
        <v>32209</v>
      </c>
      <c r="AN81">
        <v>0</v>
      </c>
      <c r="AQ81">
        <v>34.99</v>
      </c>
      <c r="AY81">
        <v>0</v>
      </c>
      <c r="BB81">
        <v>0</v>
      </c>
      <c r="BC81">
        <v>0</v>
      </c>
      <c r="BD81">
        <v>0</v>
      </c>
      <c r="BE81">
        <v>0</v>
      </c>
      <c r="BG81">
        <v>0</v>
      </c>
      <c r="BH81">
        <v>0</v>
      </c>
      <c r="CJ81">
        <v>0</v>
      </c>
      <c r="CK81">
        <v>0</v>
      </c>
      <c r="CL81">
        <v>0</v>
      </c>
      <c r="CM81">
        <v>0</v>
      </c>
      <c r="CN81">
        <v>0</v>
      </c>
      <c r="CP81" t="s">
        <v>347</v>
      </c>
      <c r="CQ81" t="s">
        <v>348</v>
      </c>
    </row>
    <row r="82" spans="1:95">
      <c r="A82" s="5">
        <v>46188</v>
      </c>
      <c r="B82" t="s">
        <v>2500</v>
      </c>
      <c r="C82" t="s">
        <v>874</v>
      </c>
      <c r="D82" t="s">
        <v>2501</v>
      </c>
      <c r="E82" t="s">
        <v>876</v>
      </c>
      <c r="G82">
        <v>0</v>
      </c>
      <c r="H82">
        <v>-1</v>
      </c>
      <c r="O82" t="s">
        <v>338</v>
      </c>
      <c r="U82">
        <v>0</v>
      </c>
      <c r="V82">
        <v>0</v>
      </c>
      <c r="W82">
        <v>0</v>
      </c>
      <c r="X82">
        <v>0</v>
      </c>
      <c r="Y82" t="s">
        <v>359</v>
      </c>
      <c r="AB82">
        <v>0</v>
      </c>
      <c r="AC82">
        <v>0</v>
      </c>
      <c r="AE82">
        <v>-1</v>
      </c>
      <c r="AJ82" t="s">
        <v>342</v>
      </c>
      <c r="AK82" t="s">
        <v>343</v>
      </c>
      <c r="AN82">
        <v>0</v>
      </c>
      <c r="AQ82">
        <v>14.99</v>
      </c>
      <c r="AY82">
        <v>0</v>
      </c>
      <c r="BB82">
        <v>0</v>
      </c>
      <c r="BG82">
        <v>0</v>
      </c>
      <c r="BH82">
        <v>0</v>
      </c>
      <c r="CJ82">
        <v>0</v>
      </c>
      <c r="CK82">
        <v>0</v>
      </c>
      <c r="CL82">
        <v>0</v>
      </c>
      <c r="CM82">
        <v>0</v>
      </c>
      <c r="CN82">
        <v>0</v>
      </c>
      <c r="CP82" t="s">
        <v>347</v>
      </c>
      <c r="CQ82" t="s">
        <v>348</v>
      </c>
    </row>
    <row r="83" spans="1:95">
      <c r="A83" s="5">
        <v>46188</v>
      </c>
      <c r="B83" t="s">
        <v>2502</v>
      </c>
      <c r="C83" t="s">
        <v>2503</v>
      </c>
      <c r="D83" t="s">
        <v>2504</v>
      </c>
      <c r="E83" t="s">
        <v>2505</v>
      </c>
      <c r="G83">
        <v>0</v>
      </c>
      <c r="H83">
        <v>-1</v>
      </c>
      <c r="O83" t="s">
        <v>338</v>
      </c>
      <c r="U83">
        <v>0</v>
      </c>
      <c r="V83">
        <v>0</v>
      </c>
      <c r="W83">
        <v>0</v>
      </c>
      <c r="X83">
        <v>0</v>
      </c>
      <c r="Y83" t="s">
        <v>359</v>
      </c>
      <c r="AB83">
        <v>0</v>
      </c>
      <c r="AC83">
        <v>0</v>
      </c>
      <c r="AE83">
        <v>-1</v>
      </c>
      <c r="AH83" t="s">
        <v>1733</v>
      </c>
      <c r="AJ83" t="s">
        <v>342</v>
      </c>
      <c r="AK83" t="s">
        <v>1734</v>
      </c>
      <c r="AN83">
        <v>0</v>
      </c>
      <c r="AQ83">
        <v>12.99</v>
      </c>
      <c r="AY83">
        <v>0</v>
      </c>
      <c r="BB83">
        <v>0</v>
      </c>
      <c r="BC83">
        <v>0</v>
      </c>
      <c r="BD83">
        <v>0</v>
      </c>
      <c r="BE83">
        <v>0</v>
      </c>
      <c r="BG83">
        <v>0</v>
      </c>
      <c r="BH83">
        <v>0</v>
      </c>
      <c r="CJ83">
        <v>0</v>
      </c>
      <c r="CK83">
        <v>0</v>
      </c>
      <c r="CL83">
        <v>0</v>
      </c>
      <c r="CM83">
        <v>0</v>
      </c>
      <c r="CN83">
        <v>0</v>
      </c>
      <c r="CP83" t="s">
        <v>347</v>
      </c>
      <c r="CQ83" t="s">
        <v>348</v>
      </c>
    </row>
    <row r="84" spans="1:95">
      <c r="A84" s="5">
        <v>46188</v>
      </c>
      <c r="B84" t="s">
        <v>2506</v>
      </c>
      <c r="C84" t="s">
        <v>2244</v>
      </c>
      <c r="D84" t="s">
        <v>2507</v>
      </c>
      <c r="E84" t="s">
        <v>2246</v>
      </c>
      <c r="G84">
        <v>12</v>
      </c>
      <c r="H84">
        <v>0</v>
      </c>
      <c r="I84">
        <v>0</v>
      </c>
      <c r="J84">
        <v>1</v>
      </c>
      <c r="K84">
        <v>0</v>
      </c>
      <c r="L84">
        <v>1</v>
      </c>
      <c r="M84">
        <v>10</v>
      </c>
      <c r="N84">
        <v>0</v>
      </c>
      <c r="O84" t="s">
        <v>338</v>
      </c>
      <c r="P84">
        <v>0</v>
      </c>
      <c r="Q84">
        <v>0</v>
      </c>
      <c r="R84">
        <v>0</v>
      </c>
      <c r="S84">
        <v>0</v>
      </c>
      <c r="U84">
        <v>0</v>
      </c>
      <c r="V84">
        <v>0</v>
      </c>
      <c r="W84">
        <v>0</v>
      </c>
      <c r="X84">
        <v>0</v>
      </c>
      <c r="Y84" t="s">
        <v>2230</v>
      </c>
      <c r="AB84">
        <v>0</v>
      </c>
      <c r="AC84">
        <v>0</v>
      </c>
      <c r="AE84">
        <v>0</v>
      </c>
      <c r="AF84">
        <v>0.062622</v>
      </c>
      <c r="AG84" t="s">
        <v>340</v>
      </c>
      <c r="AH84" t="s">
        <v>341</v>
      </c>
      <c r="AI84">
        <v>0.751464</v>
      </c>
      <c r="AJ84" t="s">
        <v>342</v>
      </c>
      <c r="AK84" t="s">
        <v>353</v>
      </c>
      <c r="AL84">
        <v>244622</v>
      </c>
      <c r="AM84">
        <v>366</v>
      </c>
      <c r="AN84">
        <v>0</v>
      </c>
      <c r="AQ84">
        <v>9.99</v>
      </c>
      <c r="AR84">
        <v>0</v>
      </c>
      <c r="AS84">
        <v>0</v>
      </c>
      <c r="AT84">
        <v>0</v>
      </c>
      <c r="AU84">
        <v>0</v>
      </c>
      <c r="AV84">
        <v>0</v>
      </c>
      <c r="AW84">
        <v>0</v>
      </c>
      <c r="AX84">
        <v>0</v>
      </c>
      <c r="AY84">
        <v>0</v>
      </c>
      <c r="AZ84">
        <v>1</v>
      </c>
      <c r="BB84">
        <v>0</v>
      </c>
      <c r="BC84">
        <v>0</v>
      </c>
      <c r="BD84">
        <v>0</v>
      </c>
      <c r="BE84">
        <v>0</v>
      </c>
      <c r="BG84">
        <v>0</v>
      </c>
      <c r="BH84">
        <v>0</v>
      </c>
      <c r="BI84">
        <v>0</v>
      </c>
      <c r="BJ84">
        <v>0</v>
      </c>
      <c r="BK84">
        <v>0</v>
      </c>
      <c r="BL84">
        <v>0</v>
      </c>
      <c r="BM84">
        <v>0</v>
      </c>
      <c r="BN84">
        <v>0</v>
      </c>
      <c r="BO84">
        <v>0</v>
      </c>
      <c r="BP84">
        <v>0</v>
      </c>
      <c r="BQ84">
        <v>0</v>
      </c>
      <c r="BR84">
        <v>0</v>
      </c>
      <c r="BS84">
        <v>1</v>
      </c>
      <c r="BT84">
        <v>0.37</v>
      </c>
      <c r="BU84">
        <v>10</v>
      </c>
      <c r="BV84">
        <v>4.31</v>
      </c>
      <c r="BW84">
        <v>0</v>
      </c>
      <c r="BX84">
        <v>0</v>
      </c>
      <c r="BZ84">
        <v>1</v>
      </c>
      <c r="CA84" t="s">
        <v>360</v>
      </c>
      <c r="CI84" s="5">
        <v>46186</v>
      </c>
      <c r="CJ84">
        <v>12</v>
      </c>
      <c r="CK84">
        <v>0</v>
      </c>
      <c r="CL84">
        <v>0</v>
      </c>
      <c r="CM84">
        <v>0</v>
      </c>
      <c r="CN84">
        <v>0</v>
      </c>
      <c r="CO84">
        <v>366</v>
      </c>
      <c r="CP84" t="s">
        <v>347</v>
      </c>
      <c r="CQ84" t="s">
        <v>348</v>
      </c>
    </row>
    <row r="85" spans="1:95">
      <c r="A85" s="5">
        <v>46188</v>
      </c>
      <c r="B85" t="s">
        <v>2508</v>
      </c>
      <c r="C85" t="s">
        <v>2509</v>
      </c>
      <c r="D85" t="s">
        <v>2510</v>
      </c>
      <c r="E85" t="s">
        <v>2511</v>
      </c>
      <c r="G85">
        <v>0</v>
      </c>
      <c r="H85">
        <v>-1</v>
      </c>
      <c r="O85" t="s">
        <v>338</v>
      </c>
      <c r="U85">
        <v>0</v>
      </c>
      <c r="V85">
        <v>0</v>
      </c>
      <c r="W85">
        <v>0</v>
      </c>
      <c r="X85">
        <v>0</v>
      </c>
      <c r="Y85" t="s">
        <v>359</v>
      </c>
      <c r="AB85">
        <v>0</v>
      </c>
      <c r="AC85">
        <v>0</v>
      </c>
      <c r="AE85">
        <v>-1</v>
      </c>
      <c r="AJ85" t="s">
        <v>342</v>
      </c>
      <c r="AK85" t="s">
        <v>353</v>
      </c>
      <c r="AM85">
        <v>0</v>
      </c>
      <c r="AN85">
        <v>0</v>
      </c>
      <c r="AQ85">
        <v>5.59</v>
      </c>
      <c r="AY85">
        <v>0</v>
      </c>
      <c r="BB85">
        <v>0</v>
      </c>
      <c r="BG85">
        <v>0</v>
      </c>
      <c r="BH85">
        <v>0</v>
      </c>
      <c r="CJ85">
        <v>0</v>
      </c>
      <c r="CK85">
        <v>0</v>
      </c>
      <c r="CL85">
        <v>0</v>
      </c>
      <c r="CM85">
        <v>0</v>
      </c>
      <c r="CN85">
        <v>0</v>
      </c>
      <c r="CO85">
        <v>0</v>
      </c>
      <c r="CP85" t="s">
        <v>347</v>
      </c>
      <c r="CQ85" t="s">
        <v>348</v>
      </c>
    </row>
    <row r="86" spans="1:95">
      <c r="A86" s="5">
        <v>46188</v>
      </c>
      <c r="B86" t="s">
        <v>2512</v>
      </c>
      <c r="C86" t="s">
        <v>165</v>
      </c>
      <c r="D86" t="s">
        <v>2513</v>
      </c>
      <c r="E86" t="s">
        <v>1076</v>
      </c>
      <c r="G86">
        <v>0</v>
      </c>
      <c r="H86">
        <v>-1</v>
      </c>
      <c r="O86" t="s">
        <v>338</v>
      </c>
      <c r="U86">
        <v>0</v>
      </c>
      <c r="V86">
        <v>0</v>
      </c>
      <c r="W86">
        <v>0</v>
      </c>
      <c r="X86">
        <v>0</v>
      </c>
      <c r="Y86" t="s">
        <v>359</v>
      </c>
      <c r="AB86">
        <v>0</v>
      </c>
      <c r="AC86">
        <v>0</v>
      </c>
      <c r="AE86">
        <v>-1</v>
      </c>
      <c r="AH86" t="s">
        <v>341</v>
      </c>
      <c r="AJ86" t="s">
        <v>342</v>
      </c>
      <c r="AK86" t="s">
        <v>353</v>
      </c>
      <c r="AL86">
        <v>9437</v>
      </c>
      <c r="AN86">
        <v>0</v>
      </c>
      <c r="AQ86">
        <v>15.49</v>
      </c>
      <c r="AY86">
        <v>0</v>
      </c>
      <c r="BB86">
        <v>0</v>
      </c>
      <c r="BC86">
        <v>0</v>
      </c>
      <c r="BD86">
        <v>0</v>
      </c>
      <c r="BE86">
        <v>0</v>
      </c>
      <c r="BG86">
        <v>0</v>
      </c>
      <c r="BH86">
        <v>0</v>
      </c>
      <c r="CJ86">
        <v>0</v>
      </c>
      <c r="CK86">
        <v>0</v>
      </c>
      <c r="CL86">
        <v>0</v>
      </c>
      <c r="CM86">
        <v>0</v>
      </c>
      <c r="CN86">
        <v>0</v>
      </c>
      <c r="CP86" t="s">
        <v>347</v>
      </c>
      <c r="CQ86" t="s">
        <v>348</v>
      </c>
    </row>
    <row r="87" spans="1:95">
      <c r="A87" s="5">
        <v>46188</v>
      </c>
      <c r="B87" t="s">
        <v>2514</v>
      </c>
      <c r="C87" t="s">
        <v>2515</v>
      </c>
      <c r="D87" t="s">
        <v>2516</v>
      </c>
      <c r="E87" t="s">
        <v>2517</v>
      </c>
      <c r="G87">
        <v>0</v>
      </c>
      <c r="H87">
        <v>-1</v>
      </c>
      <c r="O87" t="s">
        <v>338</v>
      </c>
      <c r="U87">
        <v>0</v>
      </c>
      <c r="V87">
        <v>0</v>
      </c>
      <c r="W87">
        <v>0</v>
      </c>
      <c r="X87">
        <v>0</v>
      </c>
      <c r="Y87" t="s">
        <v>359</v>
      </c>
      <c r="AB87">
        <v>0</v>
      </c>
      <c r="AC87">
        <v>0</v>
      </c>
      <c r="AE87">
        <v>-1</v>
      </c>
      <c r="AJ87" t="s">
        <v>342</v>
      </c>
      <c r="AK87" t="s">
        <v>343</v>
      </c>
      <c r="AN87">
        <v>0</v>
      </c>
      <c r="AQ87">
        <v>39.99</v>
      </c>
      <c r="AY87">
        <v>0</v>
      </c>
      <c r="BB87">
        <v>0</v>
      </c>
      <c r="BG87">
        <v>0</v>
      </c>
      <c r="BH87">
        <v>0</v>
      </c>
      <c r="CJ87">
        <v>0</v>
      </c>
      <c r="CK87">
        <v>0</v>
      </c>
      <c r="CL87">
        <v>0</v>
      </c>
      <c r="CM87">
        <v>0</v>
      </c>
      <c r="CN87">
        <v>0</v>
      </c>
      <c r="CP87" t="s">
        <v>347</v>
      </c>
      <c r="CQ87" t="s">
        <v>348</v>
      </c>
    </row>
    <row r="88" spans="1:95">
      <c r="A88" s="5">
        <v>46188</v>
      </c>
      <c r="B88" t="s">
        <v>2518</v>
      </c>
      <c r="C88" t="s">
        <v>2519</v>
      </c>
      <c r="D88" t="s">
        <v>2520</v>
      </c>
      <c r="E88" t="s">
        <v>2521</v>
      </c>
      <c r="G88">
        <v>0</v>
      </c>
      <c r="H88">
        <v>-1</v>
      </c>
      <c r="O88" t="s">
        <v>338</v>
      </c>
      <c r="U88">
        <v>0</v>
      </c>
      <c r="V88">
        <v>0</v>
      </c>
      <c r="W88">
        <v>0</v>
      </c>
      <c r="X88">
        <v>0</v>
      </c>
      <c r="Y88" t="s">
        <v>359</v>
      </c>
      <c r="AB88">
        <v>0</v>
      </c>
      <c r="AC88">
        <v>0</v>
      </c>
      <c r="AE88">
        <v>-1</v>
      </c>
      <c r="AH88" t="s">
        <v>341</v>
      </c>
      <c r="AJ88" t="s">
        <v>342</v>
      </c>
      <c r="AK88" t="s">
        <v>353</v>
      </c>
      <c r="AM88">
        <v>0</v>
      </c>
      <c r="AN88">
        <v>0</v>
      </c>
      <c r="AQ88">
        <v>18.89</v>
      </c>
      <c r="AY88">
        <v>0</v>
      </c>
      <c r="BB88">
        <v>0</v>
      </c>
      <c r="BC88">
        <v>0</v>
      </c>
      <c r="BD88">
        <v>0</v>
      </c>
      <c r="BE88">
        <v>0</v>
      </c>
      <c r="BG88">
        <v>0</v>
      </c>
      <c r="BH88">
        <v>0</v>
      </c>
      <c r="CJ88">
        <v>0</v>
      </c>
      <c r="CK88">
        <v>0</v>
      </c>
      <c r="CL88">
        <v>0</v>
      </c>
      <c r="CM88">
        <v>0</v>
      </c>
      <c r="CN88">
        <v>0</v>
      </c>
      <c r="CO88">
        <v>0</v>
      </c>
      <c r="CP88" t="s">
        <v>347</v>
      </c>
      <c r="CQ88" t="s">
        <v>348</v>
      </c>
    </row>
    <row r="89" spans="1:95">
      <c r="A89" s="5">
        <v>46188</v>
      </c>
      <c r="B89" t="s">
        <v>2522</v>
      </c>
      <c r="C89" t="s">
        <v>1587</v>
      </c>
      <c r="D89" t="s">
        <v>2523</v>
      </c>
      <c r="E89" t="s">
        <v>2063</v>
      </c>
      <c r="G89">
        <v>0</v>
      </c>
      <c r="H89">
        <v>-1</v>
      </c>
      <c r="O89" t="s">
        <v>338</v>
      </c>
      <c r="U89">
        <v>0</v>
      </c>
      <c r="V89">
        <v>0</v>
      </c>
      <c r="W89">
        <v>0</v>
      </c>
      <c r="X89">
        <v>0</v>
      </c>
      <c r="Y89" t="s">
        <v>359</v>
      </c>
      <c r="AB89">
        <v>0</v>
      </c>
      <c r="AC89">
        <v>0</v>
      </c>
      <c r="AE89">
        <v>-1</v>
      </c>
      <c r="AH89" t="s">
        <v>341</v>
      </c>
      <c r="AJ89" t="s">
        <v>342</v>
      </c>
      <c r="AK89" t="s">
        <v>353</v>
      </c>
      <c r="AL89">
        <v>133442</v>
      </c>
      <c r="AN89">
        <v>0</v>
      </c>
      <c r="AQ89">
        <v>31.99</v>
      </c>
      <c r="AY89">
        <v>0</v>
      </c>
      <c r="BB89">
        <v>0</v>
      </c>
      <c r="BC89">
        <v>0</v>
      </c>
      <c r="BD89">
        <v>0</v>
      </c>
      <c r="BE89">
        <v>0</v>
      </c>
      <c r="BG89">
        <v>0</v>
      </c>
      <c r="BH89">
        <v>0</v>
      </c>
      <c r="CJ89">
        <v>0</v>
      </c>
      <c r="CK89">
        <v>0</v>
      </c>
      <c r="CL89">
        <v>0</v>
      </c>
      <c r="CM89">
        <v>0</v>
      </c>
      <c r="CN89">
        <v>0</v>
      </c>
      <c r="CP89" t="s">
        <v>347</v>
      </c>
      <c r="CQ89" t="s">
        <v>348</v>
      </c>
    </row>
    <row r="90" spans="1:95">
      <c r="A90" s="5">
        <v>46188</v>
      </c>
      <c r="B90" t="s">
        <v>2524</v>
      </c>
      <c r="C90" t="s">
        <v>201</v>
      </c>
      <c r="D90" t="s">
        <v>2525</v>
      </c>
      <c r="E90" t="s">
        <v>363</v>
      </c>
      <c r="G90">
        <v>0</v>
      </c>
      <c r="H90">
        <v>-1</v>
      </c>
      <c r="O90" t="s">
        <v>338</v>
      </c>
      <c r="U90">
        <v>0</v>
      </c>
      <c r="V90">
        <v>0</v>
      </c>
      <c r="W90">
        <v>0</v>
      </c>
      <c r="X90">
        <v>0</v>
      </c>
      <c r="Y90" t="s">
        <v>359</v>
      </c>
      <c r="AB90">
        <v>0</v>
      </c>
      <c r="AC90">
        <v>0</v>
      </c>
      <c r="AE90">
        <v>-1</v>
      </c>
      <c r="AH90" t="s">
        <v>341</v>
      </c>
      <c r="AJ90" t="s">
        <v>342</v>
      </c>
      <c r="AK90" t="s">
        <v>353</v>
      </c>
      <c r="AL90">
        <v>2409</v>
      </c>
      <c r="AN90">
        <v>0</v>
      </c>
      <c r="AQ90">
        <v>15.99</v>
      </c>
      <c r="AY90">
        <v>0</v>
      </c>
      <c r="BB90">
        <v>0</v>
      </c>
      <c r="BC90">
        <v>0</v>
      </c>
      <c r="BD90">
        <v>0</v>
      </c>
      <c r="BE90">
        <v>0</v>
      </c>
      <c r="BG90">
        <v>0</v>
      </c>
      <c r="BH90">
        <v>0</v>
      </c>
      <c r="CJ90">
        <v>0</v>
      </c>
      <c r="CK90">
        <v>0</v>
      </c>
      <c r="CL90">
        <v>0</v>
      </c>
      <c r="CM90">
        <v>0</v>
      </c>
      <c r="CN90">
        <v>0</v>
      </c>
      <c r="CP90" t="s">
        <v>347</v>
      </c>
      <c r="CQ90" t="s">
        <v>348</v>
      </c>
    </row>
    <row r="91" spans="1:95">
      <c r="A91" s="5">
        <v>46188</v>
      </c>
      <c r="B91" t="s">
        <v>2526</v>
      </c>
      <c r="C91" t="s">
        <v>2527</v>
      </c>
      <c r="D91" t="s">
        <v>2528</v>
      </c>
      <c r="E91" t="s">
        <v>2529</v>
      </c>
      <c r="G91">
        <v>0</v>
      </c>
      <c r="H91">
        <v>-1</v>
      </c>
      <c r="O91" t="s">
        <v>338</v>
      </c>
      <c r="U91">
        <v>0</v>
      </c>
      <c r="V91">
        <v>0</v>
      </c>
      <c r="W91">
        <v>0</v>
      </c>
      <c r="X91">
        <v>0</v>
      </c>
      <c r="Y91" t="s">
        <v>359</v>
      </c>
      <c r="AB91">
        <v>0</v>
      </c>
      <c r="AC91">
        <v>0</v>
      </c>
      <c r="AE91">
        <v>-1</v>
      </c>
      <c r="AH91" t="s">
        <v>1733</v>
      </c>
      <c r="AJ91" t="s">
        <v>342</v>
      </c>
      <c r="AK91" t="s">
        <v>1734</v>
      </c>
      <c r="AN91">
        <v>0</v>
      </c>
      <c r="AQ91">
        <v>12.99</v>
      </c>
      <c r="AY91">
        <v>0</v>
      </c>
      <c r="BB91">
        <v>0</v>
      </c>
      <c r="BC91">
        <v>0</v>
      </c>
      <c r="BD91">
        <v>0</v>
      </c>
      <c r="BE91">
        <v>0</v>
      </c>
      <c r="BG91">
        <v>0</v>
      </c>
      <c r="BH91">
        <v>0</v>
      </c>
      <c r="CJ91">
        <v>0</v>
      </c>
      <c r="CK91">
        <v>0</v>
      </c>
      <c r="CL91">
        <v>0</v>
      </c>
      <c r="CM91">
        <v>0</v>
      </c>
      <c r="CN91">
        <v>0</v>
      </c>
      <c r="CP91" t="s">
        <v>347</v>
      </c>
      <c r="CQ91" t="s">
        <v>348</v>
      </c>
    </row>
    <row r="92" spans="1:95">
      <c r="A92" s="5">
        <v>46188</v>
      </c>
      <c r="B92" t="s">
        <v>2530</v>
      </c>
      <c r="C92" t="s">
        <v>2531</v>
      </c>
      <c r="D92" t="s">
        <v>2532</v>
      </c>
      <c r="E92" t="s">
        <v>2533</v>
      </c>
      <c r="G92">
        <v>0</v>
      </c>
      <c r="H92">
        <v>-1</v>
      </c>
      <c r="O92" t="s">
        <v>338</v>
      </c>
      <c r="U92">
        <v>0</v>
      </c>
      <c r="V92">
        <v>0</v>
      </c>
      <c r="W92">
        <v>0</v>
      </c>
      <c r="X92">
        <v>0</v>
      </c>
      <c r="Y92" t="s">
        <v>359</v>
      </c>
      <c r="AB92">
        <v>0</v>
      </c>
      <c r="AC92">
        <v>0</v>
      </c>
      <c r="AE92">
        <v>-1</v>
      </c>
      <c r="AH92" t="s">
        <v>341</v>
      </c>
      <c r="AJ92" t="s">
        <v>342</v>
      </c>
      <c r="AK92" t="s">
        <v>353</v>
      </c>
      <c r="AM92">
        <v>0</v>
      </c>
      <c r="AN92">
        <v>0</v>
      </c>
      <c r="AQ92">
        <v>27.19</v>
      </c>
      <c r="AY92">
        <v>0</v>
      </c>
      <c r="BB92">
        <v>0</v>
      </c>
      <c r="BC92">
        <v>0</v>
      </c>
      <c r="BD92">
        <v>0</v>
      </c>
      <c r="BE92">
        <v>0</v>
      </c>
      <c r="BG92">
        <v>0</v>
      </c>
      <c r="BH92">
        <v>0</v>
      </c>
      <c r="CJ92">
        <v>0</v>
      </c>
      <c r="CK92">
        <v>0</v>
      </c>
      <c r="CL92">
        <v>0</v>
      </c>
      <c r="CM92">
        <v>0</v>
      </c>
      <c r="CN92">
        <v>0</v>
      </c>
      <c r="CO92">
        <v>0</v>
      </c>
      <c r="CP92" t="s">
        <v>347</v>
      </c>
      <c r="CQ92" t="s">
        <v>348</v>
      </c>
    </row>
    <row r="93" spans="1:95">
      <c r="A93" s="5">
        <v>46188</v>
      </c>
      <c r="B93" t="s">
        <v>2534</v>
      </c>
      <c r="C93" t="s">
        <v>2535</v>
      </c>
      <c r="D93" t="s">
        <v>2536</v>
      </c>
      <c r="E93" t="s">
        <v>2537</v>
      </c>
      <c r="G93">
        <v>0</v>
      </c>
      <c r="H93">
        <v>-1</v>
      </c>
      <c r="O93" t="s">
        <v>338</v>
      </c>
      <c r="U93">
        <v>0</v>
      </c>
      <c r="V93">
        <v>0</v>
      </c>
      <c r="W93">
        <v>0</v>
      </c>
      <c r="X93">
        <v>0</v>
      </c>
      <c r="Y93" t="s">
        <v>359</v>
      </c>
      <c r="AB93">
        <v>0</v>
      </c>
      <c r="AC93">
        <v>0</v>
      </c>
      <c r="AE93">
        <v>-1</v>
      </c>
      <c r="AH93" t="s">
        <v>341</v>
      </c>
      <c r="AJ93" t="s">
        <v>342</v>
      </c>
      <c r="AK93" t="s">
        <v>353</v>
      </c>
      <c r="AN93">
        <v>0</v>
      </c>
      <c r="AQ93">
        <v>22.99</v>
      </c>
      <c r="AY93">
        <v>0</v>
      </c>
      <c r="BB93">
        <v>0</v>
      </c>
      <c r="BC93">
        <v>0</v>
      </c>
      <c r="BD93">
        <v>0</v>
      </c>
      <c r="BE93">
        <v>0</v>
      </c>
      <c r="BG93">
        <v>0</v>
      </c>
      <c r="BH93">
        <v>0</v>
      </c>
      <c r="CJ93">
        <v>0</v>
      </c>
      <c r="CK93">
        <v>0</v>
      </c>
      <c r="CL93">
        <v>0</v>
      </c>
      <c r="CM93">
        <v>0</v>
      </c>
      <c r="CN93">
        <v>0</v>
      </c>
      <c r="CP93" t="s">
        <v>347</v>
      </c>
      <c r="CQ93" t="s">
        <v>348</v>
      </c>
    </row>
    <row r="94" spans="1:95">
      <c r="A94" s="5">
        <v>46188</v>
      </c>
      <c r="B94" t="s">
        <v>2538</v>
      </c>
      <c r="C94" t="s">
        <v>1901</v>
      </c>
      <c r="D94" t="s">
        <v>2539</v>
      </c>
      <c r="E94" t="s">
        <v>1903</v>
      </c>
      <c r="G94">
        <v>0</v>
      </c>
      <c r="H94">
        <v>-1</v>
      </c>
      <c r="O94" t="s">
        <v>338</v>
      </c>
      <c r="U94">
        <v>0</v>
      </c>
      <c r="V94">
        <v>0</v>
      </c>
      <c r="W94">
        <v>0</v>
      </c>
      <c r="X94">
        <v>0</v>
      </c>
      <c r="Y94" t="s">
        <v>359</v>
      </c>
      <c r="AB94">
        <v>0</v>
      </c>
      <c r="AC94">
        <v>0</v>
      </c>
      <c r="AE94">
        <v>-1</v>
      </c>
      <c r="AH94" t="s">
        <v>341</v>
      </c>
      <c r="AJ94" t="s">
        <v>342</v>
      </c>
      <c r="AK94" t="s">
        <v>353</v>
      </c>
      <c r="AM94">
        <v>0</v>
      </c>
      <c r="AN94">
        <v>0</v>
      </c>
      <c r="AQ94">
        <v>45.49</v>
      </c>
      <c r="AY94">
        <v>0</v>
      </c>
      <c r="BB94">
        <v>0</v>
      </c>
      <c r="BC94">
        <v>0</v>
      </c>
      <c r="BD94">
        <v>0</v>
      </c>
      <c r="BE94">
        <v>0</v>
      </c>
      <c r="BG94">
        <v>0</v>
      </c>
      <c r="BH94">
        <v>0</v>
      </c>
      <c r="CJ94">
        <v>0</v>
      </c>
      <c r="CK94">
        <v>0</v>
      </c>
      <c r="CL94">
        <v>0</v>
      </c>
      <c r="CM94">
        <v>0</v>
      </c>
      <c r="CN94">
        <v>0</v>
      </c>
      <c r="CO94">
        <v>0</v>
      </c>
      <c r="CP94" t="s">
        <v>347</v>
      </c>
      <c r="CQ94" t="s">
        <v>348</v>
      </c>
    </row>
    <row r="95" spans="1:95">
      <c r="A95" s="5">
        <v>46188</v>
      </c>
      <c r="B95" t="s">
        <v>2540</v>
      </c>
      <c r="C95" t="s">
        <v>2541</v>
      </c>
      <c r="D95" t="s">
        <v>2542</v>
      </c>
      <c r="E95" t="s">
        <v>2543</v>
      </c>
      <c r="G95">
        <v>0</v>
      </c>
      <c r="H95">
        <v>-1</v>
      </c>
      <c r="O95" t="s">
        <v>338</v>
      </c>
      <c r="P95">
        <v>0</v>
      </c>
      <c r="Q95">
        <v>0</v>
      </c>
      <c r="R95">
        <v>0</v>
      </c>
      <c r="S95">
        <v>0</v>
      </c>
      <c r="U95">
        <v>0</v>
      </c>
      <c r="V95">
        <v>0</v>
      </c>
      <c r="W95">
        <v>0</v>
      </c>
      <c r="X95">
        <v>0</v>
      </c>
      <c r="Y95" t="s">
        <v>359</v>
      </c>
      <c r="AB95">
        <v>0</v>
      </c>
      <c r="AC95">
        <v>0</v>
      </c>
      <c r="AE95">
        <v>-1</v>
      </c>
      <c r="AH95" t="s">
        <v>341</v>
      </c>
      <c r="AJ95" t="s">
        <v>342</v>
      </c>
      <c r="AK95" t="s">
        <v>353</v>
      </c>
      <c r="AM95">
        <v>0</v>
      </c>
      <c r="AN95">
        <v>0</v>
      </c>
      <c r="AQ95">
        <v>27.5</v>
      </c>
      <c r="AR95">
        <v>0</v>
      </c>
      <c r="AS95">
        <v>0</v>
      </c>
      <c r="AT95">
        <v>0</v>
      </c>
      <c r="AU95">
        <v>0</v>
      </c>
      <c r="AY95">
        <v>0</v>
      </c>
      <c r="BB95">
        <v>0</v>
      </c>
      <c r="BC95">
        <v>0</v>
      </c>
      <c r="BD95">
        <v>0</v>
      </c>
      <c r="BE95">
        <v>0</v>
      </c>
      <c r="BG95">
        <v>0</v>
      </c>
      <c r="BH95">
        <v>0</v>
      </c>
      <c r="BZ95">
        <v>1</v>
      </c>
      <c r="CA95" t="s">
        <v>429</v>
      </c>
      <c r="CJ95">
        <v>0</v>
      </c>
      <c r="CK95">
        <v>0</v>
      </c>
      <c r="CL95">
        <v>0</v>
      </c>
      <c r="CM95">
        <v>0</v>
      </c>
      <c r="CN95">
        <v>0</v>
      </c>
      <c r="CO95">
        <v>0</v>
      </c>
      <c r="CP95" t="s">
        <v>347</v>
      </c>
      <c r="CQ95" t="s">
        <v>348</v>
      </c>
    </row>
    <row r="96" spans="1:95">
      <c r="A96" s="5">
        <v>46188</v>
      </c>
      <c r="B96" t="s">
        <v>2544</v>
      </c>
      <c r="C96" t="s">
        <v>92</v>
      </c>
      <c r="D96" t="s">
        <v>98</v>
      </c>
      <c r="E96" t="s">
        <v>2545</v>
      </c>
      <c r="F96" t="s">
        <v>337</v>
      </c>
      <c r="G96">
        <v>53</v>
      </c>
      <c r="H96">
        <v>-1</v>
      </c>
      <c r="O96" t="s">
        <v>338</v>
      </c>
      <c r="P96">
        <v>2</v>
      </c>
      <c r="Q96">
        <v>4</v>
      </c>
      <c r="R96">
        <v>16</v>
      </c>
      <c r="S96">
        <v>18</v>
      </c>
      <c r="U96">
        <v>17.99</v>
      </c>
      <c r="V96">
        <v>14.99</v>
      </c>
      <c r="W96">
        <v>0</v>
      </c>
      <c r="X96">
        <v>0</v>
      </c>
      <c r="Y96" t="s">
        <v>352</v>
      </c>
      <c r="AA96">
        <v>9.79</v>
      </c>
      <c r="AB96">
        <v>2</v>
      </c>
      <c r="AC96">
        <v>0</v>
      </c>
      <c r="AD96">
        <v>316.6</v>
      </c>
      <c r="AE96">
        <v>-1</v>
      </c>
      <c r="AH96" t="s">
        <v>341</v>
      </c>
      <c r="AJ96" t="s">
        <v>342</v>
      </c>
      <c r="AK96" t="s">
        <v>353</v>
      </c>
      <c r="AM96">
        <v>197</v>
      </c>
      <c r="AN96">
        <v>0</v>
      </c>
      <c r="AO96">
        <v>53</v>
      </c>
      <c r="AP96">
        <v>38</v>
      </c>
      <c r="AQ96">
        <v>14.99</v>
      </c>
      <c r="AR96">
        <v>27.98</v>
      </c>
      <c r="AS96">
        <v>55.96</v>
      </c>
      <c r="AT96">
        <v>222.04</v>
      </c>
      <c r="AU96">
        <v>254.42</v>
      </c>
      <c r="AY96">
        <v>0</v>
      </c>
      <c r="BA96">
        <v>1.03</v>
      </c>
      <c r="BB96">
        <v>0</v>
      </c>
      <c r="BC96">
        <v>0</v>
      </c>
      <c r="BD96">
        <v>0</v>
      </c>
      <c r="BE96">
        <v>0</v>
      </c>
      <c r="BG96">
        <v>0</v>
      </c>
      <c r="BH96">
        <v>0</v>
      </c>
      <c r="BY96">
        <v>275.2</v>
      </c>
      <c r="BZ96">
        <v>12</v>
      </c>
      <c r="CA96" t="s">
        <v>360</v>
      </c>
      <c r="CD96" s="5">
        <v>46188</v>
      </c>
      <c r="CE96" t="s">
        <v>345</v>
      </c>
      <c r="CF96" t="s">
        <v>346</v>
      </c>
      <c r="CG96">
        <v>275.2</v>
      </c>
      <c r="CH96">
        <v>205.6</v>
      </c>
      <c r="CJ96">
        <v>53</v>
      </c>
      <c r="CK96">
        <v>0</v>
      </c>
      <c r="CL96">
        <v>0</v>
      </c>
      <c r="CM96">
        <v>0</v>
      </c>
      <c r="CN96">
        <v>0</v>
      </c>
      <c r="CO96">
        <v>197</v>
      </c>
      <c r="CP96" t="s">
        <v>347</v>
      </c>
      <c r="CQ96" t="s">
        <v>348</v>
      </c>
    </row>
    <row r="97" spans="1:95">
      <c r="A97" s="5">
        <v>46188</v>
      </c>
      <c r="B97" t="s">
        <v>2546</v>
      </c>
      <c r="C97" t="s">
        <v>1205</v>
      </c>
      <c r="D97" t="s">
        <v>2547</v>
      </c>
      <c r="E97" t="s">
        <v>1207</v>
      </c>
      <c r="G97">
        <v>0</v>
      </c>
      <c r="H97">
        <v>-1</v>
      </c>
      <c r="O97" t="s">
        <v>338</v>
      </c>
      <c r="U97">
        <v>0</v>
      </c>
      <c r="V97">
        <v>0</v>
      </c>
      <c r="W97">
        <v>0</v>
      </c>
      <c r="X97">
        <v>0</v>
      </c>
      <c r="Y97" t="s">
        <v>359</v>
      </c>
      <c r="AB97">
        <v>0</v>
      </c>
      <c r="AC97">
        <v>0</v>
      </c>
      <c r="AE97">
        <v>-1</v>
      </c>
      <c r="AH97" t="s">
        <v>341</v>
      </c>
      <c r="AJ97" t="s">
        <v>342</v>
      </c>
      <c r="AK97" t="s">
        <v>353</v>
      </c>
      <c r="AL97">
        <v>2409</v>
      </c>
      <c r="AN97">
        <v>0</v>
      </c>
      <c r="AQ97">
        <v>16.99</v>
      </c>
      <c r="AY97">
        <v>0</v>
      </c>
      <c r="BB97">
        <v>0</v>
      </c>
      <c r="BC97">
        <v>0</v>
      </c>
      <c r="BD97">
        <v>0</v>
      </c>
      <c r="BE97">
        <v>0</v>
      </c>
      <c r="BG97">
        <v>0</v>
      </c>
      <c r="BH97">
        <v>0</v>
      </c>
      <c r="CJ97">
        <v>0</v>
      </c>
      <c r="CK97">
        <v>0</v>
      </c>
      <c r="CL97">
        <v>0</v>
      </c>
      <c r="CM97">
        <v>0</v>
      </c>
      <c r="CN97">
        <v>0</v>
      </c>
      <c r="CP97" t="s">
        <v>347</v>
      </c>
      <c r="CQ97" t="s">
        <v>348</v>
      </c>
    </row>
    <row r="98" spans="1:95">
      <c r="A98" s="5">
        <v>46188</v>
      </c>
      <c r="B98" t="s">
        <v>2548</v>
      </c>
      <c r="C98" t="s">
        <v>2549</v>
      </c>
      <c r="D98" t="s">
        <v>2550</v>
      </c>
      <c r="E98" t="s">
        <v>2551</v>
      </c>
      <c r="G98">
        <v>0</v>
      </c>
      <c r="H98">
        <v>-1</v>
      </c>
      <c r="O98" t="s">
        <v>338</v>
      </c>
      <c r="U98">
        <v>0</v>
      </c>
      <c r="V98">
        <v>0</v>
      </c>
      <c r="W98">
        <v>0</v>
      </c>
      <c r="X98">
        <v>0</v>
      </c>
      <c r="Y98" t="s">
        <v>359</v>
      </c>
      <c r="AB98">
        <v>0</v>
      </c>
      <c r="AC98">
        <v>0</v>
      </c>
      <c r="AE98">
        <v>-1</v>
      </c>
      <c r="AH98" t="s">
        <v>341</v>
      </c>
      <c r="AJ98" t="s">
        <v>342</v>
      </c>
      <c r="AK98" t="s">
        <v>353</v>
      </c>
      <c r="AN98">
        <v>0</v>
      </c>
      <c r="AQ98">
        <v>22.99</v>
      </c>
      <c r="AY98">
        <v>0</v>
      </c>
      <c r="BB98">
        <v>0</v>
      </c>
      <c r="BC98">
        <v>0</v>
      </c>
      <c r="BD98">
        <v>0</v>
      </c>
      <c r="BE98">
        <v>0</v>
      </c>
      <c r="BG98">
        <v>0</v>
      </c>
      <c r="BH98">
        <v>0</v>
      </c>
      <c r="CJ98">
        <v>0</v>
      </c>
      <c r="CK98">
        <v>0</v>
      </c>
      <c r="CL98">
        <v>0</v>
      </c>
      <c r="CM98">
        <v>0</v>
      </c>
      <c r="CN98">
        <v>0</v>
      </c>
      <c r="CP98" t="s">
        <v>347</v>
      </c>
      <c r="CQ98" t="s">
        <v>348</v>
      </c>
    </row>
    <row r="99" spans="1:95">
      <c r="A99" s="5">
        <v>46188</v>
      </c>
      <c r="B99" t="s">
        <v>2552</v>
      </c>
      <c r="C99" t="s">
        <v>2553</v>
      </c>
      <c r="D99" t="s">
        <v>2554</v>
      </c>
      <c r="E99" t="s">
        <v>2555</v>
      </c>
      <c r="G99">
        <v>0</v>
      </c>
      <c r="H99">
        <v>-1</v>
      </c>
      <c r="O99" t="s">
        <v>338</v>
      </c>
      <c r="U99">
        <v>0</v>
      </c>
      <c r="V99">
        <v>0</v>
      </c>
      <c r="W99">
        <v>0</v>
      </c>
      <c r="X99">
        <v>0</v>
      </c>
      <c r="Y99" t="s">
        <v>359</v>
      </c>
      <c r="AB99">
        <v>0</v>
      </c>
      <c r="AC99">
        <v>0</v>
      </c>
      <c r="AE99">
        <v>-1</v>
      </c>
      <c r="AH99" t="s">
        <v>341</v>
      </c>
      <c r="AJ99" t="s">
        <v>342</v>
      </c>
      <c r="AK99" t="s">
        <v>353</v>
      </c>
      <c r="AM99">
        <v>0</v>
      </c>
      <c r="AN99">
        <v>0</v>
      </c>
      <c r="AQ99">
        <v>11.99</v>
      </c>
      <c r="AY99">
        <v>0</v>
      </c>
      <c r="BB99">
        <v>0</v>
      </c>
      <c r="BC99">
        <v>0</v>
      </c>
      <c r="BD99">
        <v>0</v>
      </c>
      <c r="BE99">
        <v>0</v>
      </c>
      <c r="BG99">
        <v>0</v>
      </c>
      <c r="BH99">
        <v>0</v>
      </c>
      <c r="CJ99">
        <v>0</v>
      </c>
      <c r="CK99">
        <v>0</v>
      </c>
      <c r="CL99">
        <v>0</v>
      </c>
      <c r="CM99">
        <v>0</v>
      </c>
      <c r="CN99">
        <v>0</v>
      </c>
      <c r="CO99">
        <v>0</v>
      </c>
      <c r="CP99" t="s">
        <v>347</v>
      </c>
      <c r="CQ99" t="s">
        <v>348</v>
      </c>
    </row>
    <row r="100" spans="1:95">
      <c r="A100" s="5">
        <v>46188</v>
      </c>
      <c r="B100" t="s">
        <v>2556</v>
      </c>
      <c r="C100" t="s">
        <v>116</v>
      </c>
      <c r="D100" t="s">
        <v>2557</v>
      </c>
      <c r="E100" t="s">
        <v>558</v>
      </c>
      <c r="G100">
        <v>0</v>
      </c>
      <c r="H100">
        <v>-1</v>
      </c>
      <c r="O100" t="s">
        <v>338</v>
      </c>
      <c r="P100">
        <v>0</v>
      </c>
      <c r="Q100">
        <v>0</v>
      </c>
      <c r="R100">
        <v>0</v>
      </c>
      <c r="S100">
        <v>0</v>
      </c>
      <c r="U100">
        <v>0</v>
      </c>
      <c r="V100">
        <v>0</v>
      </c>
      <c r="W100">
        <v>0</v>
      </c>
      <c r="X100">
        <v>0</v>
      </c>
      <c r="Y100" t="s">
        <v>359</v>
      </c>
      <c r="AB100">
        <v>0</v>
      </c>
      <c r="AC100">
        <v>0</v>
      </c>
      <c r="AE100">
        <v>-1</v>
      </c>
      <c r="AH100" t="s">
        <v>341</v>
      </c>
      <c r="AJ100" t="s">
        <v>342</v>
      </c>
      <c r="AK100" t="s">
        <v>353</v>
      </c>
      <c r="AL100">
        <v>2409</v>
      </c>
      <c r="AN100">
        <v>0</v>
      </c>
      <c r="AR100">
        <v>0</v>
      </c>
      <c r="AS100">
        <v>0</v>
      </c>
      <c r="AT100">
        <v>0</v>
      </c>
      <c r="AU100">
        <v>0</v>
      </c>
      <c r="AY100">
        <v>0</v>
      </c>
      <c r="BB100">
        <v>0</v>
      </c>
      <c r="BC100">
        <v>0</v>
      </c>
      <c r="BD100">
        <v>0</v>
      </c>
      <c r="BE100">
        <v>0</v>
      </c>
      <c r="BG100">
        <v>0</v>
      </c>
      <c r="BH100">
        <v>0</v>
      </c>
      <c r="CJ100">
        <v>0</v>
      </c>
      <c r="CK100">
        <v>0</v>
      </c>
      <c r="CL100">
        <v>0</v>
      </c>
      <c r="CM100">
        <v>0</v>
      </c>
      <c r="CN100">
        <v>0</v>
      </c>
      <c r="CP100" t="s">
        <v>347</v>
      </c>
      <c r="CQ100" t="s">
        <v>348</v>
      </c>
    </row>
    <row r="101" spans="1:95">
      <c r="A101" s="5">
        <v>46188</v>
      </c>
      <c r="B101" t="s">
        <v>2558</v>
      </c>
      <c r="C101" t="s">
        <v>2559</v>
      </c>
      <c r="D101" t="s">
        <v>2560</v>
      </c>
      <c r="E101" t="s">
        <v>2561</v>
      </c>
      <c r="F101" t="s">
        <v>337</v>
      </c>
      <c r="G101">
        <v>56</v>
      </c>
      <c r="H101">
        <v>0</v>
      </c>
      <c r="I101">
        <v>0</v>
      </c>
      <c r="J101">
        <v>0</v>
      </c>
      <c r="K101">
        <v>0</v>
      </c>
      <c r="L101">
        <v>56</v>
      </c>
      <c r="M101">
        <v>0</v>
      </c>
      <c r="N101">
        <v>0</v>
      </c>
      <c r="O101" t="s">
        <v>338</v>
      </c>
      <c r="P101">
        <v>0</v>
      </c>
      <c r="Q101">
        <v>0</v>
      </c>
      <c r="R101">
        <v>0</v>
      </c>
      <c r="S101">
        <v>0</v>
      </c>
      <c r="T101" t="s">
        <v>351</v>
      </c>
      <c r="U101">
        <v>59.99</v>
      </c>
      <c r="V101">
        <v>0</v>
      </c>
      <c r="W101">
        <v>56.99</v>
      </c>
      <c r="X101">
        <v>0</v>
      </c>
      <c r="Y101" t="s">
        <v>516</v>
      </c>
      <c r="AA101">
        <v>0</v>
      </c>
      <c r="AB101">
        <v>0</v>
      </c>
      <c r="AC101">
        <v>0</v>
      </c>
      <c r="AD101">
        <v>9077.38</v>
      </c>
      <c r="AE101">
        <v>0</v>
      </c>
      <c r="AF101">
        <v>0.349961</v>
      </c>
      <c r="AG101" t="s">
        <v>340</v>
      </c>
      <c r="AH101" t="s">
        <v>341</v>
      </c>
      <c r="AI101">
        <v>19.597816</v>
      </c>
      <c r="AJ101" t="s">
        <v>342</v>
      </c>
      <c r="AK101" t="s">
        <v>353</v>
      </c>
      <c r="AN101">
        <v>56</v>
      </c>
      <c r="AQ101">
        <v>56.99</v>
      </c>
      <c r="AR101">
        <v>0</v>
      </c>
      <c r="AS101">
        <v>0</v>
      </c>
      <c r="AT101">
        <v>0</v>
      </c>
      <c r="AU101">
        <v>0</v>
      </c>
      <c r="AV101">
        <v>0</v>
      </c>
      <c r="AW101">
        <v>0</v>
      </c>
      <c r="AX101">
        <v>0</v>
      </c>
      <c r="AY101">
        <v>56</v>
      </c>
      <c r="AZ101">
        <v>0</v>
      </c>
      <c r="BA101">
        <v>230.97</v>
      </c>
      <c r="BB101">
        <v>0</v>
      </c>
      <c r="BC101">
        <v>0</v>
      </c>
      <c r="BD101">
        <v>0</v>
      </c>
      <c r="BE101">
        <v>0</v>
      </c>
      <c r="BF101">
        <v>56</v>
      </c>
      <c r="BG101">
        <v>0</v>
      </c>
      <c r="BH101">
        <v>0</v>
      </c>
      <c r="BI101">
        <v>0</v>
      </c>
      <c r="BJ101">
        <v>0</v>
      </c>
      <c r="BK101">
        <v>0</v>
      </c>
      <c r="BL101">
        <v>0</v>
      </c>
      <c r="BM101">
        <v>0</v>
      </c>
      <c r="BN101">
        <v>0</v>
      </c>
      <c r="BO101">
        <v>0</v>
      </c>
      <c r="BP101">
        <v>0</v>
      </c>
      <c r="BQ101">
        <v>56</v>
      </c>
      <c r="BR101">
        <v>111.69</v>
      </c>
      <c r="BS101">
        <v>0</v>
      </c>
      <c r="BT101">
        <v>0</v>
      </c>
      <c r="BU101">
        <v>0</v>
      </c>
      <c r="BV101">
        <v>0</v>
      </c>
      <c r="BW101">
        <v>0</v>
      </c>
      <c r="BX101">
        <v>0</v>
      </c>
      <c r="CA101" t="s">
        <v>354</v>
      </c>
      <c r="CI101" s="5">
        <v>46186</v>
      </c>
      <c r="CJ101">
        <v>56</v>
      </c>
      <c r="CK101">
        <v>0</v>
      </c>
      <c r="CL101">
        <v>0</v>
      </c>
      <c r="CM101">
        <v>0</v>
      </c>
      <c r="CN101">
        <v>0</v>
      </c>
      <c r="CP101" t="s">
        <v>347</v>
      </c>
      <c r="CQ101" t="s">
        <v>348</v>
      </c>
    </row>
    <row r="102" spans="1:95">
      <c r="A102" s="5">
        <v>46188</v>
      </c>
      <c r="B102" t="s">
        <v>2562</v>
      </c>
      <c r="C102" t="s">
        <v>219</v>
      </c>
      <c r="D102" t="s">
        <v>2563</v>
      </c>
      <c r="E102" t="s">
        <v>415</v>
      </c>
      <c r="G102">
        <v>0</v>
      </c>
      <c r="H102">
        <v>-1</v>
      </c>
      <c r="O102" t="s">
        <v>338</v>
      </c>
      <c r="U102">
        <v>0</v>
      </c>
      <c r="V102">
        <v>0</v>
      </c>
      <c r="W102">
        <v>0</v>
      </c>
      <c r="X102">
        <v>0</v>
      </c>
      <c r="Y102" t="s">
        <v>359</v>
      </c>
      <c r="AB102">
        <v>0</v>
      </c>
      <c r="AC102">
        <v>0</v>
      </c>
      <c r="AE102">
        <v>-1</v>
      </c>
      <c r="AJ102" t="s">
        <v>342</v>
      </c>
      <c r="AK102" t="s">
        <v>343</v>
      </c>
      <c r="AM102">
        <v>0</v>
      </c>
      <c r="AN102">
        <v>0</v>
      </c>
      <c r="AQ102">
        <v>18.85</v>
      </c>
      <c r="AY102">
        <v>0</v>
      </c>
      <c r="BB102">
        <v>0</v>
      </c>
      <c r="BG102">
        <v>0</v>
      </c>
      <c r="BH102">
        <v>0</v>
      </c>
      <c r="CJ102">
        <v>0</v>
      </c>
      <c r="CK102">
        <v>0</v>
      </c>
      <c r="CL102">
        <v>0</v>
      </c>
      <c r="CM102">
        <v>0</v>
      </c>
      <c r="CN102">
        <v>0</v>
      </c>
      <c r="CO102">
        <v>0</v>
      </c>
      <c r="CP102" t="s">
        <v>347</v>
      </c>
      <c r="CQ102" t="s">
        <v>348</v>
      </c>
    </row>
    <row r="103" spans="1:95">
      <c r="A103" s="5">
        <v>46188</v>
      </c>
      <c r="B103" t="s">
        <v>2564</v>
      </c>
      <c r="C103" t="s">
        <v>2565</v>
      </c>
      <c r="D103" t="s">
        <v>2566</v>
      </c>
      <c r="E103" t="s">
        <v>2567</v>
      </c>
      <c r="G103">
        <v>0</v>
      </c>
      <c r="H103">
        <v>-1</v>
      </c>
      <c r="O103" t="s">
        <v>338</v>
      </c>
      <c r="U103">
        <v>0</v>
      </c>
      <c r="V103">
        <v>0</v>
      </c>
      <c r="W103">
        <v>0</v>
      </c>
      <c r="X103">
        <v>0</v>
      </c>
      <c r="Y103" t="s">
        <v>359</v>
      </c>
      <c r="AB103">
        <v>0</v>
      </c>
      <c r="AC103">
        <v>0</v>
      </c>
      <c r="AE103">
        <v>-1</v>
      </c>
      <c r="AH103" t="s">
        <v>341</v>
      </c>
      <c r="AJ103" t="s">
        <v>342</v>
      </c>
      <c r="AK103" t="s">
        <v>353</v>
      </c>
      <c r="AN103">
        <v>0</v>
      </c>
      <c r="AY103">
        <v>0</v>
      </c>
      <c r="BB103">
        <v>0</v>
      </c>
      <c r="BC103">
        <v>0</v>
      </c>
      <c r="BD103">
        <v>0</v>
      </c>
      <c r="BE103">
        <v>0</v>
      </c>
      <c r="BG103">
        <v>0</v>
      </c>
      <c r="BH103">
        <v>0</v>
      </c>
      <c r="CJ103">
        <v>0</v>
      </c>
      <c r="CK103">
        <v>0</v>
      </c>
      <c r="CL103">
        <v>0</v>
      </c>
      <c r="CM103">
        <v>0</v>
      </c>
      <c r="CN103">
        <v>0</v>
      </c>
      <c r="CP103" t="s">
        <v>347</v>
      </c>
      <c r="CQ103" t="s">
        <v>348</v>
      </c>
    </row>
    <row r="104" spans="1:95">
      <c r="A104" s="5">
        <v>46188</v>
      </c>
      <c r="B104" t="s">
        <v>2568</v>
      </c>
      <c r="C104" t="s">
        <v>106</v>
      </c>
      <c r="D104" t="s">
        <v>2569</v>
      </c>
      <c r="E104" t="s">
        <v>492</v>
      </c>
      <c r="G104">
        <v>0</v>
      </c>
      <c r="H104">
        <v>-1</v>
      </c>
      <c r="O104" t="s">
        <v>338</v>
      </c>
      <c r="U104">
        <v>0</v>
      </c>
      <c r="V104">
        <v>0</v>
      </c>
      <c r="W104">
        <v>0</v>
      </c>
      <c r="X104">
        <v>0</v>
      </c>
      <c r="Y104" t="s">
        <v>359</v>
      </c>
      <c r="AB104">
        <v>0</v>
      </c>
      <c r="AC104">
        <v>0</v>
      </c>
      <c r="AE104">
        <v>-1</v>
      </c>
      <c r="AH104" t="s">
        <v>341</v>
      </c>
      <c r="AJ104" t="s">
        <v>342</v>
      </c>
      <c r="AK104" t="s">
        <v>353</v>
      </c>
      <c r="AL104">
        <v>206385</v>
      </c>
      <c r="AN104">
        <v>0</v>
      </c>
      <c r="AQ104">
        <v>69.99</v>
      </c>
      <c r="AY104">
        <v>0</v>
      </c>
      <c r="BB104">
        <v>0</v>
      </c>
      <c r="BC104">
        <v>0</v>
      </c>
      <c r="BD104">
        <v>0</v>
      </c>
      <c r="BE104">
        <v>0</v>
      </c>
      <c r="BG104">
        <v>0</v>
      </c>
      <c r="BH104">
        <v>0</v>
      </c>
      <c r="CJ104">
        <v>0</v>
      </c>
      <c r="CK104">
        <v>0</v>
      </c>
      <c r="CL104">
        <v>0</v>
      </c>
      <c r="CM104">
        <v>0</v>
      </c>
      <c r="CN104">
        <v>0</v>
      </c>
      <c r="CP104" t="s">
        <v>347</v>
      </c>
      <c r="CQ104" t="s">
        <v>348</v>
      </c>
    </row>
    <row r="105" spans="1:95">
      <c r="A105" s="5">
        <v>46188</v>
      </c>
      <c r="B105" t="s">
        <v>2570</v>
      </c>
      <c r="C105" t="s">
        <v>2571</v>
      </c>
      <c r="D105" t="s">
        <v>2572</v>
      </c>
      <c r="E105" t="s">
        <v>2573</v>
      </c>
      <c r="G105">
        <v>0</v>
      </c>
      <c r="H105">
        <v>-1</v>
      </c>
      <c r="O105" t="s">
        <v>338</v>
      </c>
      <c r="U105">
        <v>0</v>
      </c>
      <c r="V105">
        <v>0</v>
      </c>
      <c r="W105">
        <v>0</v>
      </c>
      <c r="X105">
        <v>0</v>
      </c>
      <c r="Y105" t="s">
        <v>359</v>
      </c>
      <c r="AB105">
        <v>0</v>
      </c>
      <c r="AC105">
        <v>0</v>
      </c>
      <c r="AE105">
        <v>-1</v>
      </c>
      <c r="AJ105" t="s">
        <v>342</v>
      </c>
      <c r="AK105" t="s">
        <v>343</v>
      </c>
      <c r="AN105">
        <v>0</v>
      </c>
      <c r="AQ105">
        <v>11.04</v>
      </c>
      <c r="AY105">
        <v>0</v>
      </c>
      <c r="BB105">
        <v>0</v>
      </c>
      <c r="BG105">
        <v>0</v>
      </c>
      <c r="BH105">
        <v>0</v>
      </c>
      <c r="CJ105">
        <v>0</v>
      </c>
      <c r="CK105">
        <v>0</v>
      </c>
      <c r="CL105">
        <v>0</v>
      </c>
      <c r="CM105">
        <v>0</v>
      </c>
      <c r="CN105">
        <v>0</v>
      </c>
      <c r="CP105" t="s">
        <v>347</v>
      </c>
      <c r="CQ105" t="s">
        <v>348</v>
      </c>
    </row>
    <row r="106" spans="1:95">
      <c r="A106" s="5">
        <v>46188</v>
      </c>
      <c r="B106" t="s">
        <v>2574</v>
      </c>
      <c r="C106" t="s">
        <v>2209</v>
      </c>
      <c r="D106" t="s">
        <v>2575</v>
      </c>
      <c r="E106" t="s">
        <v>2211</v>
      </c>
      <c r="G106">
        <v>0</v>
      </c>
      <c r="H106">
        <v>-1</v>
      </c>
      <c r="O106" t="s">
        <v>338</v>
      </c>
      <c r="U106">
        <v>0</v>
      </c>
      <c r="V106">
        <v>0</v>
      </c>
      <c r="W106">
        <v>0</v>
      </c>
      <c r="X106">
        <v>0</v>
      </c>
      <c r="Y106" t="s">
        <v>359</v>
      </c>
      <c r="AB106">
        <v>0</v>
      </c>
      <c r="AC106">
        <v>0</v>
      </c>
      <c r="AE106">
        <v>-1</v>
      </c>
      <c r="AJ106" t="s">
        <v>342</v>
      </c>
      <c r="AK106" t="s">
        <v>343</v>
      </c>
      <c r="AL106">
        <v>495700</v>
      </c>
      <c r="AN106">
        <v>0</v>
      </c>
      <c r="AQ106">
        <v>20.89</v>
      </c>
      <c r="AY106">
        <v>0</v>
      </c>
      <c r="BB106">
        <v>0</v>
      </c>
      <c r="BG106">
        <v>0</v>
      </c>
      <c r="BH106">
        <v>0</v>
      </c>
      <c r="CJ106">
        <v>0</v>
      </c>
      <c r="CK106">
        <v>0</v>
      </c>
      <c r="CL106">
        <v>0</v>
      </c>
      <c r="CM106">
        <v>0</v>
      </c>
      <c r="CN106">
        <v>0</v>
      </c>
      <c r="CP106" t="s">
        <v>347</v>
      </c>
      <c r="CQ106" t="s">
        <v>348</v>
      </c>
    </row>
    <row r="107" spans="1:95">
      <c r="A107" s="5">
        <v>46188</v>
      </c>
      <c r="B107" t="s">
        <v>2576</v>
      </c>
      <c r="C107" t="s">
        <v>2577</v>
      </c>
      <c r="D107" t="s">
        <v>2578</v>
      </c>
      <c r="E107" t="s">
        <v>2579</v>
      </c>
      <c r="G107">
        <v>0</v>
      </c>
      <c r="H107">
        <v>-1</v>
      </c>
      <c r="O107" t="s">
        <v>338</v>
      </c>
      <c r="U107">
        <v>0</v>
      </c>
      <c r="V107">
        <v>0</v>
      </c>
      <c r="W107">
        <v>0</v>
      </c>
      <c r="X107">
        <v>0</v>
      </c>
      <c r="Y107" t="s">
        <v>359</v>
      </c>
      <c r="AB107">
        <v>0</v>
      </c>
      <c r="AC107">
        <v>0</v>
      </c>
      <c r="AE107">
        <v>-1</v>
      </c>
      <c r="AH107" t="s">
        <v>341</v>
      </c>
      <c r="AJ107" t="s">
        <v>342</v>
      </c>
      <c r="AK107" t="s">
        <v>353</v>
      </c>
      <c r="AN107">
        <v>0</v>
      </c>
      <c r="AQ107">
        <v>9.99</v>
      </c>
      <c r="AY107">
        <v>0</v>
      </c>
      <c r="BB107">
        <v>0</v>
      </c>
      <c r="BC107">
        <v>0</v>
      </c>
      <c r="BD107">
        <v>0</v>
      </c>
      <c r="BE107">
        <v>0</v>
      </c>
      <c r="BG107">
        <v>0</v>
      </c>
      <c r="BH107">
        <v>0</v>
      </c>
      <c r="CJ107">
        <v>0</v>
      </c>
      <c r="CK107">
        <v>0</v>
      </c>
      <c r="CL107">
        <v>0</v>
      </c>
      <c r="CM107">
        <v>0</v>
      </c>
      <c r="CN107">
        <v>0</v>
      </c>
      <c r="CP107" t="s">
        <v>347</v>
      </c>
      <c r="CQ107" t="s">
        <v>348</v>
      </c>
    </row>
    <row r="108" spans="1:95">
      <c r="A108" s="5">
        <v>46188</v>
      </c>
      <c r="B108" t="s">
        <v>2580</v>
      </c>
      <c r="C108" t="s">
        <v>1209</v>
      </c>
      <c r="D108" t="s">
        <v>2581</v>
      </c>
      <c r="E108" t="s">
        <v>1211</v>
      </c>
      <c r="G108">
        <v>0</v>
      </c>
      <c r="H108">
        <v>-1</v>
      </c>
      <c r="O108" t="s">
        <v>338</v>
      </c>
      <c r="U108">
        <v>0</v>
      </c>
      <c r="V108">
        <v>0</v>
      </c>
      <c r="W108">
        <v>0</v>
      </c>
      <c r="X108">
        <v>0</v>
      </c>
      <c r="Y108" t="s">
        <v>359</v>
      </c>
      <c r="AB108">
        <v>0</v>
      </c>
      <c r="AC108">
        <v>0</v>
      </c>
      <c r="AE108">
        <v>-1</v>
      </c>
      <c r="AH108" t="s">
        <v>341</v>
      </c>
      <c r="AJ108" t="s">
        <v>342</v>
      </c>
      <c r="AK108" t="s">
        <v>353</v>
      </c>
      <c r="AM108">
        <v>0</v>
      </c>
      <c r="AN108">
        <v>0</v>
      </c>
      <c r="AQ108">
        <v>71.24</v>
      </c>
      <c r="AY108">
        <v>0</v>
      </c>
      <c r="BB108">
        <v>0</v>
      </c>
      <c r="BC108">
        <v>0</v>
      </c>
      <c r="BD108">
        <v>0</v>
      </c>
      <c r="BE108">
        <v>0</v>
      </c>
      <c r="BG108">
        <v>0</v>
      </c>
      <c r="BH108">
        <v>0</v>
      </c>
      <c r="CJ108">
        <v>0</v>
      </c>
      <c r="CK108">
        <v>0</v>
      </c>
      <c r="CL108">
        <v>0</v>
      </c>
      <c r="CM108">
        <v>0</v>
      </c>
      <c r="CN108">
        <v>0</v>
      </c>
      <c r="CO108">
        <v>0</v>
      </c>
      <c r="CP108" t="s">
        <v>347</v>
      </c>
      <c r="CQ108" t="s">
        <v>348</v>
      </c>
    </row>
    <row r="109" spans="1:95">
      <c r="A109" s="5">
        <v>46188</v>
      </c>
      <c r="B109" t="s">
        <v>2582</v>
      </c>
      <c r="C109" t="s">
        <v>2583</v>
      </c>
      <c r="D109" t="s">
        <v>2584</v>
      </c>
      <c r="E109" t="s">
        <v>2585</v>
      </c>
      <c r="F109" t="s">
        <v>337</v>
      </c>
      <c r="G109">
        <v>30</v>
      </c>
      <c r="H109">
        <v>0</v>
      </c>
      <c r="I109">
        <v>0</v>
      </c>
      <c r="J109">
        <v>0</v>
      </c>
      <c r="K109">
        <v>0</v>
      </c>
      <c r="L109">
        <v>0</v>
      </c>
      <c r="M109">
        <v>30</v>
      </c>
      <c r="N109">
        <v>0</v>
      </c>
      <c r="O109" t="s">
        <v>338</v>
      </c>
      <c r="P109">
        <v>0</v>
      </c>
      <c r="Q109">
        <v>0</v>
      </c>
      <c r="R109">
        <v>0</v>
      </c>
      <c r="S109">
        <v>0</v>
      </c>
      <c r="T109" t="s">
        <v>351</v>
      </c>
      <c r="U109">
        <v>33.99</v>
      </c>
      <c r="V109">
        <v>0</v>
      </c>
      <c r="W109">
        <v>28.89</v>
      </c>
      <c r="X109">
        <v>0</v>
      </c>
      <c r="Y109" t="s">
        <v>613</v>
      </c>
      <c r="AA109">
        <v>0</v>
      </c>
      <c r="AB109">
        <v>0</v>
      </c>
      <c r="AC109">
        <v>0</v>
      </c>
      <c r="AD109">
        <v>989.64</v>
      </c>
      <c r="AE109">
        <v>0</v>
      </c>
      <c r="AF109">
        <v>0.087529</v>
      </c>
      <c r="AG109" t="s">
        <v>340</v>
      </c>
      <c r="AH109" t="s">
        <v>341</v>
      </c>
      <c r="AI109">
        <v>2.62587</v>
      </c>
      <c r="AJ109" t="s">
        <v>342</v>
      </c>
      <c r="AK109" t="s">
        <v>353</v>
      </c>
      <c r="AL109">
        <v>1045062</v>
      </c>
      <c r="AM109">
        <v>366</v>
      </c>
      <c r="AN109">
        <v>30</v>
      </c>
      <c r="AR109">
        <v>0</v>
      </c>
      <c r="AS109">
        <v>0</v>
      </c>
      <c r="AT109">
        <v>0</v>
      </c>
      <c r="AU109">
        <v>0</v>
      </c>
      <c r="AV109">
        <v>0</v>
      </c>
      <c r="AW109">
        <v>0</v>
      </c>
      <c r="AX109">
        <v>0</v>
      </c>
      <c r="AY109">
        <v>0</v>
      </c>
      <c r="AZ109">
        <v>0</v>
      </c>
      <c r="BA109">
        <v>19.83</v>
      </c>
      <c r="BB109">
        <v>0</v>
      </c>
      <c r="BC109">
        <v>0</v>
      </c>
      <c r="BD109">
        <v>0</v>
      </c>
      <c r="BE109">
        <v>0</v>
      </c>
      <c r="BG109">
        <v>0</v>
      </c>
      <c r="BH109">
        <v>0</v>
      </c>
      <c r="BI109">
        <v>0</v>
      </c>
      <c r="BJ109">
        <v>0</v>
      </c>
      <c r="BK109">
        <v>0</v>
      </c>
      <c r="BL109">
        <v>0</v>
      </c>
      <c r="BM109">
        <v>0</v>
      </c>
      <c r="BN109">
        <v>0</v>
      </c>
      <c r="BO109">
        <v>0</v>
      </c>
      <c r="BP109">
        <v>0</v>
      </c>
      <c r="BQ109">
        <v>0</v>
      </c>
      <c r="BR109">
        <v>0</v>
      </c>
      <c r="BS109">
        <v>0</v>
      </c>
      <c r="BT109">
        <v>0</v>
      </c>
      <c r="BU109">
        <v>30</v>
      </c>
      <c r="BV109">
        <v>18.12</v>
      </c>
      <c r="BW109">
        <v>0</v>
      </c>
      <c r="BX109">
        <v>0</v>
      </c>
      <c r="BZ109">
        <v>1</v>
      </c>
      <c r="CA109" t="s">
        <v>354</v>
      </c>
      <c r="CI109" s="5">
        <v>46186</v>
      </c>
      <c r="CJ109">
        <v>30</v>
      </c>
      <c r="CK109">
        <v>0</v>
      </c>
      <c r="CL109">
        <v>0</v>
      </c>
      <c r="CM109">
        <v>0</v>
      </c>
      <c r="CN109">
        <v>0</v>
      </c>
      <c r="CO109">
        <v>366</v>
      </c>
      <c r="CP109" t="s">
        <v>347</v>
      </c>
      <c r="CQ109" t="s">
        <v>348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30"/>
  <sheetViews>
    <sheetView workbookViewId="0">
      <selection activeCell="D2" sqref="D2"/>
    </sheetView>
  </sheetViews>
  <sheetFormatPr defaultColWidth="9" defaultRowHeight="13.5"/>
  <cols>
    <col min="1" max="1" width="14.875" customWidth="1"/>
    <col min="4" max="4" width="26" customWidth="1"/>
  </cols>
  <sheetData>
    <row r="1" spans="1:92">
      <c r="A1" s="3" t="s">
        <v>235</v>
      </c>
      <c r="B1" s="3" t="s">
        <v>236</v>
      </c>
      <c r="C1" s="3" t="s">
        <v>237</v>
      </c>
      <c r="D1" s="3" t="s">
        <v>238</v>
      </c>
      <c r="E1" s="3" t="s">
        <v>239</v>
      </c>
      <c r="F1" s="3" t="s">
        <v>240</v>
      </c>
      <c r="G1" s="3" t="s">
        <v>241</v>
      </c>
      <c r="H1" s="3" t="s">
        <v>2586</v>
      </c>
      <c r="I1" s="3" t="s">
        <v>242</v>
      </c>
      <c r="J1" s="3" t="s">
        <v>243</v>
      </c>
      <c r="K1" s="3" t="s">
        <v>244</v>
      </c>
      <c r="L1" s="3" t="s">
        <v>245</v>
      </c>
      <c r="M1" s="3" t="s">
        <v>246</v>
      </c>
      <c r="N1" s="3" t="s">
        <v>247</v>
      </c>
      <c r="O1" s="3" t="s">
        <v>248</v>
      </c>
      <c r="P1" s="3" t="s">
        <v>249</v>
      </c>
      <c r="Q1" s="3" t="s">
        <v>250</v>
      </c>
      <c r="R1" s="3" t="s">
        <v>251</v>
      </c>
      <c r="S1" s="3" t="s">
        <v>252</v>
      </c>
      <c r="T1" s="3" t="s">
        <v>253</v>
      </c>
      <c r="U1" s="3" t="s">
        <v>254</v>
      </c>
      <c r="V1" s="3" t="s">
        <v>255</v>
      </c>
      <c r="W1" s="3" t="s">
        <v>256</v>
      </c>
      <c r="X1" s="3" t="s">
        <v>257</v>
      </c>
      <c r="Y1" s="3" t="s">
        <v>258</v>
      </c>
      <c r="Z1" s="3" t="s">
        <v>259</v>
      </c>
      <c r="AA1" s="3" t="s">
        <v>2587</v>
      </c>
      <c r="AB1" s="3" t="s">
        <v>261</v>
      </c>
      <c r="AC1" s="3" t="s">
        <v>262</v>
      </c>
      <c r="AD1" s="3" t="s">
        <v>263</v>
      </c>
      <c r="AE1" s="3" t="s">
        <v>264</v>
      </c>
      <c r="AF1" s="3" t="s">
        <v>265</v>
      </c>
      <c r="AG1" s="3" t="s">
        <v>266</v>
      </c>
      <c r="AH1" s="3" t="s">
        <v>267</v>
      </c>
      <c r="AI1" s="3" t="s">
        <v>268</v>
      </c>
      <c r="AJ1" s="3" t="s">
        <v>269</v>
      </c>
      <c r="AK1" s="3" t="s">
        <v>270</v>
      </c>
      <c r="AL1" s="3" t="s">
        <v>271</v>
      </c>
      <c r="AM1" s="3" t="s">
        <v>272</v>
      </c>
      <c r="AN1" s="3" t="s">
        <v>273</v>
      </c>
      <c r="AO1" s="3" t="s">
        <v>274</v>
      </c>
      <c r="AP1" s="3" t="s">
        <v>275</v>
      </c>
      <c r="AQ1" s="3" t="s">
        <v>276</v>
      </c>
      <c r="AR1" s="3" t="s">
        <v>277</v>
      </c>
      <c r="AS1" s="3" t="s">
        <v>278</v>
      </c>
      <c r="AT1" s="3" t="s">
        <v>279</v>
      </c>
      <c r="AU1" s="3" t="s">
        <v>280</v>
      </c>
      <c r="AV1" s="3" t="s">
        <v>281</v>
      </c>
      <c r="AW1" s="3" t="s">
        <v>282</v>
      </c>
      <c r="AX1" s="3" t="s">
        <v>283</v>
      </c>
      <c r="AY1" s="3" t="s">
        <v>284</v>
      </c>
      <c r="AZ1" s="3" t="s">
        <v>285</v>
      </c>
      <c r="BA1" s="3" t="s">
        <v>286</v>
      </c>
      <c r="BB1" s="3" t="s">
        <v>287</v>
      </c>
      <c r="BC1" s="3" t="s">
        <v>288</v>
      </c>
      <c r="BD1" s="3" t="s">
        <v>289</v>
      </c>
      <c r="BE1" s="3" t="s">
        <v>290</v>
      </c>
      <c r="BF1" s="3" t="s">
        <v>291</v>
      </c>
      <c r="BG1" s="3" t="s">
        <v>293</v>
      </c>
      <c r="BH1" s="3" t="s">
        <v>294</v>
      </c>
      <c r="BI1" s="3" t="s">
        <v>299</v>
      </c>
      <c r="BJ1" s="3" t="s">
        <v>300</v>
      </c>
      <c r="BK1" s="3" t="s">
        <v>301</v>
      </c>
      <c r="BL1" s="3" t="s">
        <v>302</v>
      </c>
      <c r="BM1" s="3" t="s">
        <v>303</v>
      </c>
      <c r="BN1" s="3" t="s">
        <v>304</v>
      </c>
      <c r="BO1" s="3" t="s">
        <v>305</v>
      </c>
      <c r="BP1" s="3" t="s">
        <v>306</v>
      </c>
      <c r="BQ1" s="3" t="s">
        <v>307</v>
      </c>
      <c r="BR1" s="3" t="s">
        <v>308</v>
      </c>
      <c r="BS1" s="3" t="s">
        <v>309</v>
      </c>
      <c r="BT1" s="3" t="s">
        <v>310</v>
      </c>
      <c r="BU1" s="3" t="s">
        <v>311</v>
      </c>
      <c r="BV1" s="3" t="s">
        <v>312</v>
      </c>
      <c r="BW1" s="3" t="s">
        <v>313</v>
      </c>
      <c r="BX1" s="3" t="s">
        <v>314</v>
      </c>
      <c r="BY1" s="3" t="s">
        <v>315</v>
      </c>
      <c r="BZ1" s="3" t="s">
        <v>316</v>
      </c>
      <c r="CA1" s="3" t="s">
        <v>2588</v>
      </c>
      <c r="CB1" s="3" t="s">
        <v>2589</v>
      </c>
      <c r="CC1" s="3" t="s">
        <v>319</v>
      </c>
      <c r="CD1" s="3" t="s">
        <v>320</v>
      </c>
      <c r="CE1" s="3" t="s">
        <v>321</v>
      </c>
      <c r="CF1" s="3" t="s">
        <v>322</v>
      </c>
      <c r="CG1" s="3" t="s">
        <v>324</v>
      </c>
      <c r="CH1" s="3" t="s">
        <v>325</v>
      </c>
      <c r="CI1" s="3" t="s">
        <v>326</v>
      </c>
      <c r="CJ1" s="3" t="s">
        <v>327</v>
      </c>
      <c r="CK1" s="3" t="s">
        <v>329</v>
      </c>
      <c r="CL1" s="3" t="s">
        <v>330</v>
      </c>
      <c r="CM1" s="3" t="s">
        <v>331</v>
      </c>
      <c r="CN1" s="3" t="s">
        <v>332</v>
      </c>
    </row>
    <row r="2" spans="1:92">
      <c r="A2" s="4">
        <v>46190</v>
      </c>
      <c r="B2" s="3" t="s">
        <v>2590</v>
      </c>
      <c r="C2" s="3" t="s">
        <v>102</v>
      </c>
      <c r="D2" s="3" t="s">
        <v>129</v>
      </c>
      <c r="E2" s="3" t="s">
        <v>2591</v>
      </c>
      <c r="F2" s="3" t="s">
        <v>337</v>
      </c>
      <c r="G2" s="3">
        <v>5</v>
      </c>
      <c r="H2" s="3">
        <v>0</v>
      </c>
      <c r="I2" s="3">
        <v>0</v>
      </c>
      <c r="J2" s="3">
        <v>0</v>
      </c>
      <c r="K2" s="3">
        <v>0</v>
      </c>
      <c r="L2" s="3">
        <v>0</v>
      </c>
      <c r="M2" s="3">
        <v>5</v>
      </c>
      <c r="N2" s="3">
        <v>0</v>
      </c>
      <c r="O2" s="3">
        <v>0</v>
      </c>
      <c r="P2" s="3" t="s">
        <v>2592</v>
      </c>
      <c r="Q2" s="3">
        <v>0</v>
      </c>
      <c r="R2" s="3">
        <v>0</v>
      </c>
      <c r="S2" s="3">
        <v>0</v>
      </c>
      <c r="T2" s="3">
        <v>1</v>
      </c>
      <c r="U2" s="3" t="s">
        <v>351</v>
      </c>
      <c r="V2" s="3">
        <v>89.99</v>
      </c>
      <c r="W2" s="3">
        <v>0</v>
      </c>
      <c r="X2" s="3">
        <v>67.99</v>
      </c>
      <c r="Y2" s="3">
        <v>0</v>
      </c>
      <c r="Z2" s="3" t="s">
        <v>359</v>
      </c>
      <c r="AA2" s="3">
        <v>0</v>
      </c>
      <c r="AB2" s="3">
        <v>0</v>
      </c>
      <c r="AC2" s="3">
        <v>0</v>
      </c>
      <c r="AD2" s="3">
        <v>0</v>
      </c>
      <c r="AE2" s="3">
        <v>1188.86</v>
      </c>
      <c r="AF2" s="3">
        <v>0.19</v>
      </c>
      <c r="AG2" s="3">
        <v>0.020705</v>
      </c>
      <c r="AH2" s="3" t="s">
        <v>2593</v>
      </c>
      <c r="AI2" s="3" t="s">
        <v>377</v>
      </c>
      <c r="AJ2" s="3">
        <v>0.103523</v>
      </c>
      <c r="AK2" s="3" t="s">
        <v>2594</v>
      </c>
      <c r="AL2" s="3" t="s">
        <v>2473</v>
      </c>
      <c r="AM2" s="3">
        <v>1264453</v>
      </c>
      <c r="AN2" s="3">
        <v>366</v>
      </c>
      <c r="AO2" s="3">
        <v>5</v>
      </c>
      <c r="AP2" s="3"/>
      <c r="AQ2" s="3">
        <v>65</v>
      </c>
      <c r="AR2" s="3">
        <v>67.99</v>
      </c>
      <c r="AS2" s="3">
        <v>0</v>
      </c>
      <c r="AT2" s="3">
        <v>0</v>
      </c>
      <c r="AU2" s="3">
        <v>0</v>
      </c>
      <c r="AV2" s="3">
        <v>57.97</v>
      </c>
      <c r="AW2" s="3">
        <v>0</v>
      </c>
      <c r="AX2" s="3">
        <v>0</v>
      </c>
      <c r="AY2" s="3">
        <v>0</v>
      </c>
      <c r="AZ2" s="3">
        <v>5</v>
      </c>
      <c r="BA2" s="3">
        <v>0</v>
      </c>
      <c r="BB2" s="3">
        <v>22.86</v>
      </c>
      <c r="BC2" s="3">
        <v>0</v>
      </c>
      <c r="BD2" s="3">
        <v>0</v>
      </c>
      <c r="BE2" s="3">
        <v>0</v>
      </c>
      <c r="BF2" s="3">
        <v>0</v>
      </c>
      <c r="BG2" s="3">
        <v>0</v>
      </c>
      <c r="BH2" s="3">
        <v>0</v>
      </c>
      <c r="BI2" s="3">
        <v>0</v>
      </c>
      <c r="BJ2" s="3">
        <v>0</v>
      </c>
      <c r="BK2" s="3">
        <v>5</v>
      </c>
      <c r="BL2" s="3">
        <v>12.96</v>
      </c>
      <c r="BM2" s="3">
        <v>0</v>
      </c>
      <c r="BN2" s="3">
        <v>0</v>
      </c>
      <c r="BO2" s="3">
        <v>0</v>
      </c>
      <c r="BP2" s="3">
        <v>0</v>
      </c>
      <c r="BQ2" s="3">
        <v>0</v>
      </c>
      <c r="BR2" s="3">
        <v>0</v>
      </c>
      <c r="BS2" s="3">
        <v>0</v>
      </c>
      <c r="BT2" s="3">
        <v>0</v>
      </c>
      <c r="BU2" s="3"/>
      <c r="BV2" s="3">
        <v>1</v>
      </c>
      <c r="BW2" s="3"/>
      <c r="BX2" s="3">
        <v>0</v>
      </c>
      <c r="BY2" s="3"/>
      <c r="BZ2" s="3"/>
      <c r="CA2" s="3"/>
      <c r="CB2" s="3"/>
      <c r="CC2" s="3"/>
      <c r="CD2" s="3">
        <v>460</v>
      </c>
      <c r="CE2" s="4">
        <v>46188</v>
      </c>
      <c r="CF2" s="3">
        <v>5</v>
      </c>
      <c r="CG2" s="3">
        <v>0</v>
      </c>
      <c r="CH2" s="3">
        <v>0</v>
      </c>
      <c r="CI2" s="3">
        <v>0</v>
      </c>
      <c r="CJ2" s="3">
        <v>366</v>
      </c>
      <c r="CK2" s="3" t="s">
        <v>348</v>
      </c>
      <c r="CL2" s="3"/>
      <c r="CM2" s="3"/>
      <c r="CN2" s="3"/>
    </row>
    <row r="3" spans="1:92">
      <c r="A3" s="4">
        <v>46190</v>
      </c>
      <c r="B3" s="3" t="s">
        <v>2595</v>
      </c>
      <c r="C3" s="3" t="s">
        <v>103</v>
      </c>
      <c r="D3" s="3" t="s">
        <v>2596</v>
      </c>
      <c r="E3" s="3" t="s">
        <v>2597</v>
      </c>
      <c r="F3" s="3"/>
      <c r="G3" s="3">
        <v>0</v>
      </c>
      <c r="H3" s="3">
        <v>0</v>
      </c>
      <c r="I3" s="3">
        <v>-1</v>
      </c>
      <c r="J3" s="3"/>
      <c r="K3" s="3"/>
      <c r="L3" s="3"/>
      <c r="M3" s="3"/>
      <c r="N3" s="3"/>
      <c r="O3" s="3"/>
      <c r="P3" s="3" t="s">
        <v>2592</v>
      </c>
      <c r="Q3" s="3"/>
      <c r="R3" s="3"/>
      <c r="S3" s="3"/>
      <c r="T3" s="3"/>
      <c r="U3" s="3"/>
      <c r="V3" s="3">
        <v>0</v>
      </c>
      <c r="W3" s="3">
        <v>0</v>
      </c>
      <c r="X3" s="3">
        <v>0</v>
      </c>
      <c r="Y3" s="3">
        <v>0</v>
      </c>
      <c r="Z3" s="3" t="s">
        <v>359</v>
      </c>
      <c r="AA3" s="3"/>
      <c r="AB3" s="3"/>
      <c r="AC3" s="3">
        <v>0</v>
      </c>
      <c r="AD3" s="3">
        <v>0</v>
      </c>
      <c r="AE3" s="3"/>
      <c r="AF3" s="3">
        <v>-1</v>
      </c>
      <c r="AG3" s="3"/>
      <c r="AH3" s="3"/>
      <c r="AI3" s="3" t="s">
        <v>341</v>
      </c>
      <c r="AJ3" s="3"/>
      <c r="AK3" s="3" t="s">
        <v>2594</v>
      </c>
      <c r="AL3" s="3" t="s">
        <v>343</v>
      </c>
      <c r="AM3" s="3"/>
      <c r="AN3" s="3">
        <v>0</v>
      </c>
      <c r="AO3" s="3">
        <v>0</v>
      </c>
      <c r="AP3" s="3"/>
      <c r="AQ3" s="3"/>
      <c r="AR3" s="3">
        <v>56.3</v>
      </c>
      <c r="AS3" s="3"/>
      <c r="AT3" s="3"/>
      <c r="AU3" s="3"/>
      <c r="AV3" s="3"/>
      <c r="AW3" s="3"/>
      <c r="AX3" s="3"/>
      <c r="AY3" s="3"/>
      <c r="AZ3" s="3">
        <v>0</v>
      </c>
      <c r="BA3" s="3"/>
      <c r="BB3" s="3"/>
      <c r="BC3" s="3">
        <v>0</v>
      </c>
      <c r="BD3" s="3">
        <v>0</v>
      </c>
      <c r="BE3" s="3">
        <v>0</v>
      </c>
      <c r="BF3" s="3">
        <v>0</v>
      </c>
      <c r="BG3" s="3">
        <v>0</v>
      </c>
      <c r="BH3" s="3">
        <v>0</v>
      </c>
      <c r="BI3" s="3"/>
      <c r="BJ3" s="3"/>
      <c r="BK3" s="3"/>
      <c r="BL3" s="3"/>
      <c r="BM3" s="3"/>
      <c r="BN3" s="3"/>
      <c r="BO3" s="3"/>
      <c r="BP3" s="3"/>
      <c r="BQ3" s="3"/>
      <c r="BR3" s="3"/>
      <c r="BS3" s="3"/>
      <c r="BT3" s="3"/>
      <c r="BU3" s="3"/>
      <c r="BV3" s="3">
        <v>0</v>
      </c>
      <c r="BW3" s="3"/>
      <c r="BX3" s="3">
        <v>0</v>
      </c>
      <c r="BY3" s="3"/>
      <c r="BZ3" s="3"/>
      <c r="CA3" s="3"/>
      <c r="CB3" s="3"/>
      <c r="CC3" s="3"/>
      <c r="CD3" s="3"/>
      <c r="CE3" s="3"/>
      <c r="CF3" s="3">
        <v>0</v>
      </c>
      <c r="CG3" s="3">
        <v>0</v>
      </c>
      <c r="CH3" s="3">
        <v>0</v>
      </c>
      <c r="CI3" s="3">
        <v>0</v>
      </c>
      <c r="CJ3" s="3">
        <v>0</v>
      </c>
      <c r="CK3" s="3" t="s">
        <v>348</v>
      </c>
      <c r="CL3" s="3"/>
      <c r="CM3" s="3"/>
      <c r="CN3" s="3"/>
    </row>
    <row r="4" spans="1:92">
      <c r="A4" s="4">
        <v>46190</v>
      </c>
      <c r="B4" s="3" t="s">
        <v>2598</v>
      </c>
      <c r="C4" s="3" t="s">
        <v>104</v>
      </c>
      <c r="D4" s="3" t="s">
        <v>2599</v>
      </c>
      <c r="E4" s="3" t="s">
        <v>2600</v>
      </c>
      <c r="F4" s="3"/>
      <c r="G4" s="3">
        <v>0</v>
      </c>
      <c r="H4" s="3">
        <v>0</v>
      </c>
      <c r="I4" s="3">
        <v>0</v>
      </c>
      <c r="J4" s="3">
        <v>0</v>
      </c>
      <c r="K4" s="3">
        <v>2</v>
      </c>
      <c r="L4" s="3">
        <v>2</v>
      </c>
      <c r="M4" s="3">
        <v>3</v>
      </c>
      <c r="N4" s="3">
        <v>1</v>
      </c>
      <c r="O4" s="3">
        <v>40</v>
      </c>
      <c r="P4" s="3" t="s">
        <v>2592</v>
      </c>
      <c r="Q4" s="3">
        <v>0</v>
      </c>
      <c r="R4" s="3">
        <v>0</v>
      </c>
      <c r="S4" s="3">
        <v>0</v>
      </c>
      <c r="T4" s="3">
        <v>4</v>
      </c>
      <c r="U4" s="3"/>
      <c r="V4" s="3">
        <v>0</v>
      </c>
      <c r="W4" s="3">
        <v>0</v>
      </c>
      <c r="X4" s="3">
        <v>0</v>
      </c>
      <c r="Y4" s="3">
        <v>0</v>
      </c>
      <c r="Z4" s="3" t="s">
        <v>464</v>
      </c>
      <c r="AA4" s="3"/>
      <c r="AB4" s="3"/>
      <c r="AC4" s="3">
        <v>0</v>
      </c>
      <c r="AD4" s="3">
        <v>0</v>
      </c>
      <c r="AE4" s="3"/>
      <c r="AF4" s="3">
        <v>0.02</v>
      </c>
      <c r="AG4" s="3">
        <v>0.002313</v>
      </c>
      <c r="AH4" s="3" t="s">
        <v>2593</v>
      </c>
      <c r="AI4" s="3" t="s">
        <v>341</v>
      </c>
      <c r="AJ4" s="3">
        <v>0</v>
      </c>
      <c r="AK4" s="3" t="s">
        <v>2594</v>
      </c>
      <c r="AL4" s="3" t="s">
        <v>465</v>
      </c>
      <c r="AM4" s="3">
        <v>163195</v>
      </c>
      <c r="AN4" s="3">
        <v>0</v>
      </c>
      <c r="AO4" s="3">
        <v>0</v>
      </c>
      <c r="AP4" s="3"/>
      <c r="AQ4" s="3">
        <v>0</v>
      </c>
      <c r="AR4" s="3">
        <v>31.8</v>
      </c>
      <c r="AS4" s="3">
        <v>0</v>
      </c>
      <c r="AT4" s="3">
        <v>0</v>
      </c>
      <c r="AU4" s="3">
        <v>0</v>
      </c>
      <c r="AV4" s="3">
        <v>80.64</v>
      </c>
      <c r="AW4" s="3">
        <v>0</v>
      </c>
      <c r="AX4" s="3">
        <v>0</v>
      </c>
      <c r="AY4" s="3">
        <v>0</v>
      </c>
      <c r="AZ4" s="3">
        <v>5</v>
      </c>
      <c r="BA4" s="3">
        <v>0</v>
      </c>
      <c r="BB4" s="3"/>
      <c r="BC4" s="3">
        <v>0</v>
      </c>
      <c r="BD4" s="3">
        <v>0</v>
      </c>
      <c r="BE4" s="3">
        <v>0</v>
      </c>
      <c r="BF4" s="3">
        <v>0</v>
      </c>
      <c r="BG4" s="3">
        <v>0</v>
      </c>
      <c r="BH4" s="3">
        <v>0</v>
      </c>
      <c r="BI4" s="3"/>
      <c r="BJ4" s="3"/>
      <c r="BK4" s="3"/>
      <c r="BL4" s="3"/>
      <c r="BM4" s="3"/>
      <c r="BN4" s="3"/>
      <c r="BO4" s="3"/>
      <c r="BP4" s="3"/>
      <c r="BQ4" s="3"/>
      <c r="BR4" s="3"/>
      <c r="BS4" s="3"/>
      <c r="BT4" s="3"/>
      <c r="BU4" s="3"/>
      <c r="BV4" s="3">
        <v>14</v>
      </c>
      <c r="BW4" s="3" t="s">
        <v>429</v>
      </c>
      <c r="BX4" s="3">
        <v>21</v>
      </c>
      <c r="BY4" s="4">
        <v>46187</v>
      </c>
      <c r="BZ4" s="3"/>
      <c r="CA4" s="3"/>
      <c r="CB4" s="3"/>
      <c r="CC4" s="3"/>
      <c r="CD4" s="3">
        <v>2233.8</v>
      </c>
      <c r="CE4" s="4">
        <v>46188</v>
      </c>
      <c r="CF4" s="3">
        <v>0</v>
      </c>
      <c r="CG4" s="3">
        <v>0</v>
      </c>
      <c r="CH4" s="3">
        <v>0</v>
      </c>
      <c r="CI4" s="3">
        <v>0</v>
      </c>
      <c r="CJ4" s="3">
        <v>0</v>
      </c>
      <c r="CK4" s="3" t="s">
        <v>348</v>
      </c>
      <c r="CL4" s="3"/>
      <c r="CM4" s="3"/>
      <c r="CN4" s="3"/>
    </row>
    <row r="5" spans="1:92">
      <c r="A5" s="4">
        <v>46190</v>
      </c>
      <c r="B5" s="3" t="s">
        <v>2601</v>
      </c>
      <c r="C5" s="3" t="s">
        <v>105</v>
      </c>
      <c r="D5" s="3" t="s">
        <v>2602</v>
      </c>
      <c r="E5" s="3" t="s">
        <v>2603</v>
      </c>
      <c r="F5" s="3"/>
      <c r="G5" s="3">
        <v>0</v>
      </c>
      <c r="H5" s="3">
        <v>0</v>
      </c>
      <c r="I5" s="3">
        <v>-1</v>
      </c>
      <c r="J5" s="3"/>
      <c r="K5" s="3"/>
      <c r="L5" s="3"/>
      <c r="M5" s="3"/>
      <c r="N5" s="3"/>
      <c r="O5" s="3"/>
      <c r="P5" s="3" t="s">
        <v>2592</v>
      </c>
      <c r="Q5" s="3">
        <v>0</v>
      </c>
      <c r="R5" s="3">
        <v>0</v>
      </c>
      <c r="S5" s="3">
        <v>0</v>
      </c>
      <c r="T5" s="3">
        <v>0</v>
      </c>
      <c r="U5" s="3"/>
      <c r="V5" s="3">
        <v>0</v>
      </c>
      <c r="W5" s="3">
        <v>0</v>
      </c>
      <c r="X5" s="3">
        <v>0</v>
      </c>
      <c r="Y5" s="3">
        <v>0</v>
      </c>
      <c r="Z5" s="3" t="s">
        <v>359</v>
      </c>
      <c r="AA5" s="3"/>
      <c r="AB5" s="3"/>
      <c r="AC5" s="3">
        <v>0</v>
      </c>
      <c r="AD5" s="3">
        <v>0</v>
      </c>
      <c r="AE5" s="3"/>
      <c r="AF5" s="3">
        <v>-1</v>
      </c>
      <c r="AG5" s="3"/>
      <c r="AH5" s="3"/>
      <c r="AI5" s="3" t="s">
        <v>341</v>
      </c>
      <c r="AJ5" s="3"/>
      <c r="AK5" s="3" t="s">
        <v>2594</v>
      </c>
      <c r="AL5" s="3" t="s">
        <v>404</v>
      </c>
      <c r="AM5" s="3">
        <v>1022710</v>
      </c>
      <c r="AN5" s="3">
        <v>0</v>
      </c>
      <c r="AO5" s="3">
        <v>0</v>
      </c>
      <c r="AP5" s="3"/>
      <c r="AQ5" s="3"/>
      <c r="AR5" s="3">
        <v>35.99</v>
      </c>
      <c r="AS5" s="3">
        <v>0</v>
      </c>
      <c r="AT5" s="3">
        <v>0</v>
      </c>
      <c r="AU5" s="3">
        <v>0</v>
      </c>
      <c r="AV5" s="3">
        <v>0</v>
      </c>
      <c r="AW5" s="3"/>
      <c r="AX5" s="3"/>
      <c r="AY5" s="3"/>
      <c r="AZ5" s="3">
        <v>0</v>
      </c>
      <c r="BA5" s="3"/>
      <c r="BB5" s="3"/>
      <c r="BC5" s="3">
        <v>0</v>
      </c>
      <c r="BD5" s="3">
        <v>0</v>
      </c>
      <c r="BE5" s="3">
        <v>0</v>
      </c>
      <c r="BF5" s="3">
        <v>0</v>
      </c>
      <c r="BG5" s="3">
        <v>0</v>
      </c>
      <c r="BH5" s="3">
        <v>0</v>
      </c>
      <c r="BI5" s="3"/>
      <c r="BJ5" s="3"/>
      <c r="BK5" s="3"/>
      <c r="BL5" s="3"/>
      <c r="BM5" s="3"/>
      <c r="BN5" s="3"/>
      <c r="BO5" s="3"/>
      <c r="BP5" s="3"/>
      <c r="BQ5" s="3"/>
      <c r="BR5" s="3"/>
      <c r="BS5" s="3"/>
      <c r="BT5" s="3"/>
      <c r="BU5" s="3"/>
      <c r="BV5" s="3">
        <v>0</v>
      </c>
      <c r="BW5" s="3"/>
      <c r="BX5" s="3">
        <v>0</v>
      </c>
      <c r="BY5" s="3"/>
      <c r="BZ5" s="3"/>
      <c r="CA5" s="3"/>
      <c r="CB5" s="3"/>
      <c r="CC5" s="3"/>
      <c r="CD5" s="3"/>
      <c r="CE5" s="3"/>
      <c r="CF5" s="3">
        <v>0</v>
      </c>
      <c r="CG5" s="3">
        <v>0</v>
      </c>
      <c r="CH5" s="3">
        <v>0</v>
      </c>
      <c r="CI5" s="3">
        <v>0</v>
      </c>
      <c r="CJ5" s="3">
        <v>0</v>
      </c>
      <c r="CK5" s="3" t="s">
        <v>348</v>
      </c>
      <c r="CL5" s="3"/>
      <c r="CM5" s="3"/>
      <c r="CN5" s="3"/>
    </row>
    <row r="6" spans="1:92">
      <c r="A6" s="4">
        <v>46190</v>
      </c>
      <c r="B6" s="3" t="s">
        <v>2604</v>
      </c>
      <c r="C6" s="3" t="s">
        <v>106</v>
      </c>
      <c r="D6" s="3" t="s">
        <v>2605</v>
      </c>
      <c r="E6" s="3" t="s">
        <v>2606</v>
      </c>
      <c r="F6" s="3"/>
      <c r="G6" s="3">
        <v>0</v>
      </c>
      <c r="H6" s="3">
        <v>0</v>
      </c>
      <c r="I6" s="3">
        <v>-1</v>
      </c>
      <c r="J6" s="3"/>
      <c r="K6" s="3"/>
      <c r="L6" s="3"/>
      <c r="M6" s="3"/>
      <c r="N6" s="3"/>
      <c r="O6" s="3"/>
      <c r="P6" s="3" t="s">
        <v>2592</v>
      </c>
      <c r="Q6" s="3"/>
      <c r="R6" s="3"/>
      <c r="S6" s="3"/>
      <c r="T6" s="3"/>
      <c r="U6" s="3"/>
      <c r="V6" s="3">
        <v>0</v>
      </c>
      <c r="W6" s="3">
        <v>0</v>
      </c>
      <c r="X6" s="3">
        <v>0</v>
      </c>
      <c r="Y6" s="3">
        <v>0</v>
      </c>
      <c r="Z6" s="3" t="s">
        <v>359</v>
      </c>
      <c r="AA6" s="3"/>
      <c r="AB6" s="3"/>
      <c r="AC6" s="3">
        <v>0</v>
      </c>
      <c r="AD6" s="3">
        <v>0</v>
      </c>
      <c r="AE6" s="3"/>
      <c r="AF6" s="3">
        <v>-1</v>
      </c>
      <c r="AG6" s="3"/>
      <c r="AH6" s="3"/>
      <c r="AI6" s="3" t="s">
        <v>341</v>
      </c>
      <c r="AJ6" s="3"/>
      <c r="AK6" s="3" t="s">
        <v>2594</v>
      </c>
      <c r="AL6" s="3" t="s">
        <v>353</v>
      </c>
      <c r="AM6" s="3"/>
      <c r="AN6" s="3">
        <v>0</v>
      </c>
      <c r="AO6" s="3">
        <v>0</v>
      </c>
      <c r="AP6" s="3"/>
      <c r="AQ6" s="3"/>
      <c r="AR6" s="3">
        <v>122.92</v>
      </c>
      <c r="AS6" s="3"/>
      <c r="AT6" s="3"/>
      <c r="AU6" s="3"/>
      <c r="AV6" s="3"/>
      <c r="AW6" s="3"/>
      <c r="AX6" s="3"/>
      <c r="AY6" s="3"/>
      <c r="AZ6" s="3">
        <v>0</v>
      </c>
      <c r="BA6" s="3"/>
      <c r="BB6" s="3"/>
      <c r="BC6" s="3">
        <v>0</v>
      </c>
      <c r="BD6" s="3">
        <v>0</v>
      </c>
      <c r="BE6" s="3">
        <v>0</v>
      </c>
      <c r="BF6" s="3">
        <v>0</v>
      </c>
      <c r="BG6" s="3">
        <v>0</v>
      </c>
      <c r="BH6" s="3">
        <v>1</v>
      </c>
      <c r="BI6" s="3"/>
      <c r="BJ6" s="3"/>
      <c r="BK6" s="3"/>
      <c r="BL6" s="3"/>
      <c r="BM6" s="3"/>
      <c r="BN6" s="3"/>
      <c r="BO6" s="3"/>
      <c r="BP6" s="3"/>
      <c r="BQ6" s="3"/>
      <c r="BR6" s="3"/>
      <c r="BS6" s="3"/>
      <c r="BT6" s="3"/>
      <c r="BU6" s="3"/>
      <c r="BV6" s="3">
        <v>0</v>
      </c>
      <c r="BW6" s="3"/>
      <c r="BX6" s="3">
        <v>0</v>
      </c>
      <c r="BY6" s="3"/>
      <c r="BZ6" s="3"/>
      <c r="CA6" s="3"/>
      <c r="CB6" s="3"/>
      <c r="CC6" s="3"/>
      <c r="CD6" s="3"/>
      <c r="CE6" s="3"/>
      <c r="CF6" s="3">
        <v>0</v>
      </c>
      <c r="CG6" s="3">
        <v>0</v>
      </c>
      <c r="CH6" s="3">
        <v>0</v>
      </c>
      <c r="CI6" s="3">
        <v>0</v>
      </c>
      <c r="CJ6" s="3">
        <v>0</v>
      </c>
      <c r="CK6" s="3" t="s">
        <v>348</v>
      </c>
      <c r="CL6" s="3"/>
      <c r="CM6" s="3"/>
      <c r="CN6" s="3"/>
    </row>
    <row r="7" spans="1:92">
      <c r="A7" s="4">
        <v>46190</v>
      </c>
      <c r="B7" s="3" t="s">
        <v>2607</v>
      </c>
      <c r="C7" s="3" t="s">
        <v>107</v>
      </c>
      <c r="D7" s="3" t="s">
        <v>2608</v>
      </c>
      <c r="E7" s="3" t="s">
        <v>2609</v>
      </c>
      <c r="F7" s="3"/>
      <c r="G7" s="3">
        <v>0</v>
      </c>
      <c r="H7" s="3">
        <v>0</v>
      </c>
      <c r="I7" s="3">
        <v>0</v>
      </c>
      <c r="J7" s="3">
        <v>0</v>
      </c>
      <c r="K7" s="3">
        <v>2</v>
      </c>
      <c r="L7" s="3">
        <v>0</v>
      </c>
      <c r="M7" s="3">
        <v>0</v>
      </c>
      <c r="N7" s="3">
        <v>0</v>
      </c>
      <c r="O7" s="3">
        <v>0</v>
      </c>
      <c r="P7" s="3" t="s">
        <v>2592</v>
      </c>
      <c r="Q7" s="3"/>
      <c r="R7" s="3"/>
      <c r="S7" s="3"/>
      <c r="T7" s="3"/>
      <c r="U7" s="3"/>
      <c r="V7" s="3">
        <v>0</v>
      </c>
      <c r="W7" s="3">
        <v>0</v>
      </c>
      <c r="X7" s="3">
        <v>0</v>
      </c>
      <c r="Y7" s="3">
        <v>0</v>
      </c>
      <c r="Z7" s="3" t="s">
        <v>359</v>
      </c>
      <c r="AA7" s="3"/>
      <c r="AB7" s="3"/>
      <c r="AC7" s="3">
        <v>0</v>
      </c>
      <c r="AD7" s="3">
        <v>0</v>
      </c>
      <c r="AE7" s="3"/>
      <c r="AF7" s="3">
        <v>0</v>
      </c>
      <c r="AG7" s="3">
        <v>0.004481</v>
      </c>
      <c r="AH7" s="3" t="s">
        <v>2593</v>
      </c>
      <c r="AI7" s="3" t="s">
        <v>341</v>
      </c>
      <c r="AJ7" s="3">
        <v>0</v>
      </c>
      <c r="AK7" s="3" t="s">
        <v>2594</v>
      </c>
      <c r="AL7" s="3" t="s">
        <v>465</v>
      </c>
      <c r="AM7" s="3"/>
      <c r="AN7" s="3"/>
      <c r="AO7" s="3">
        <v>0</v>
      </c>
      <c r="AP7" s="3"/>
      <c r="AQ7" s="3"/>
      <c r="AR7" s="3">
        <v>28.99</v>
      </c>
      <c r="AS7" s="3"/>
      <c r="AT7" s="3"/>
      <c r="AU7" s="3"/>
      <c r="AV7" s="3"/>
      <c r="AW7" s="3">
        <v>0</v>
      </c>
      <c r="AX7" s="3">
        <v>0</v>
      </c>
      <c r="AY7" s="3">
        <v>0</v>
      </c>
      <c r="AZ7" s="3">
        <v>0</v>
      </c>
      <c r="BA7" s="3">
        <v>0</v>
      </c>
      <c r="BB7" s="3"/>
      <c r="BC7" s="3">
        <v>0</v>
      </c>
      <c r="BD7" s="3">
        <v>0</v>
      </c>
      <c r="BE7" s="3">
        <v>0</v>
      </c>
      <c r="BF7" s="3">
        <v>0</v>
      </c>
      <c r="BG7" s="3">
        <v>0</v>
      </c>
      <c r="BH7" s="3">
        <v>0</v>
      </c>
      <c r="BI7" s="3"/>
      <c r="BJ7" s="3"/>
      <c r="BK7" s="3"/>
      <c r="BL7" s="3"/>
      <c r="BM7" s="3"/>
      <c r="BN7" s="3"/>
      <c r="BO7" s="3"/>
      <c r="BP7" s="3"/>
      <c r="BQ7" s="3"/>
      <c r="BR7" s="3"/>
      <c r="BS7" s="3"/>
      <c r="BT7" s="3"/>
      <c r="BU7" s="3"/>
      <c r="BV7" s="3"/>
      <c r="BW7" s="3"/>
      <c r="BX7" s="3"/>
      <c r="BY7" s="3"/>
      <c r="BZ7" s="3"/>
      <c r="CA7" s="3"/>
      <c r="CB7" s="3"/>
      <c r="CC7" s="3"/>
      <c r="CD7" s="3"/>
      <c r="CE7" s="4">
        <v>46188</v>
      </c>
      <c r="CF7" s="3">
        <v>0</v>
      </c>
      <c r="CG7" s="3">
        <v>0</v>
      </c>
      <c r="CH7" s="3">
        <v>0</v>
      </c>
      <c r="CI7" s="3">
        <v>0</v>
      </c>
      <c r="CJ7" s="3"/>
      <c r="CK7" s="3" t="s">
        <v>348</v>
      </c>
      <c r="CL7" s="3"/>
      <c r="CM7" s="3"/>
      <c r="CN7" s="3"/>
    </row>
    <row r="8" spans="1:92">
      <c r="A8" s="4">
        <v>46190</v>
      </c>
      <c r="B8" s="3" t="s">
        <v>2610</v>
      </c>
      <c r="C8" s="3" t="s">
        <v>108</v>
      </c>
      <c r="D8" s="3" t="s">
        <v>2611</v>
      </c>
      <c r="E8" s="3" t="s">
        <v>2612</v>
      </c>
      <c r="F8" s="3"/>
      <c r="G8" s="3">
        <v>2</v>
      </c>
      <c r="H8" s="3">
        <v>0</v>
      </c>
      <c r="I8" s="3">
        <v>0</v>
      </c>
      <c r="J8" s="3">
        <v>2</v>
      </c>
      <c r="K8" s="3">
        <v>0</v>
      </c>
      <c r="L8" s="3">
        <v>0</v>
      </c>
      <c r="M8" s="3">
        <v>0</v>
      </c>
      <c r="N8" s="3">
        <v>0</v>
      </c>
      <c r="O8" s="3">
        <v>0</v>
      </c>
      <c r="P8" s="3" t="s">
        <v>2592</v>
      </c>
      <c r="Q8" s="3"/>
      <c r="R8" s="3"/>
      <c r="S8" s="3"/>
      <c r="T8" s="3"/>
      <c r="U8" s="3"/>
      <c r="V8" s="3">
        <v>0</v>
      </c>
      <c r="W8" s="3">
        <v>0</v>
      </c>
      <c r="X8" s="3">
        <v>49.99</v>
      </c>
      <c r="Y8" s="3">
        <v>12.81</v>
      </c>
      <c r="Z8" s="3" t="s">
        <v>2230</v>
      </c>
      <c r="AA8" s="3"/>
      <c r="AB8" s="3"/>
      <c r="AC8" s="3">
        <v>0</v>
      </c>
      <c r="AD8" s="3">
        <v>0</v>
      </c>
      <c r="AE8" s="3"/>
      <c r="AF8" s="3">
        <v>0.06</v>
      </c>
      <c r="AG8" s="3">
        <v>0.008059</v>
      </c>
      <c r="AH8" s="3" t="s">
        <v>2593</v>
      </c>
      <c r="AI8" s="3" t="s">
        <v>341</v>
      </c>
      <c r="AJ8" s="3">
        <v>0.016119</v>
      </c>
      <c r="AK8" s="3" t="s">
        <v>2594</v>
      </c>
      <c r="AL8" s="3" t="s">
        <v>2473</v>
      </c>
      <c r="AM8" s="3">
        <v>460145</v>
      </c>
      <c r="AN8" s="3">
        <v>30</v>
      </c>
      <c r="AO8" s="3">
        <v>0</v>
      </c>
      <c r="AP8" s="3"/>
      <c r="AQ8" s="3"/>
      <c r="AR8" s="3">
        <v>32.92</v>
      </c>
      <c r="AS8" s="3"/>
      <c r="AT8" s="3"/>
      <c r="AU8" s="3"/>
      <c r="AV8" s="3"/>
      <c r="AW8" s="3">
        <v>2</v>
      </c>
      <c r="AX8" s="3">
        <v>0</v>
      </c>
      <c r="AY8" s="3">
        <v>0</v>
      </c>
      <c r="AZ8" s="3">
        <v>0</v>
      </c>
      <c r="BA8" s="3">
        <v>0</v>
      </c>
      <c r="BB8" s="3"/>
      <c r="BC8" s="3">
        <v>0</v>
      </c>
      <c r="BD8" s="3">
        <v>0</v>
      </c>
      <c r="BE8" s="3">
        <v>0</v>
      </c>
      <c r="BF8" s="3">
        <v>0</v>
      </c>
      <c r="BG8" s="3">
        <v>0</v>
      </c>
      <c r="BH8" s="3">
        <v>0</v>
      </c>
      <c r="BI8" s="3"/>
      <c r="BJ8" s="3"/>
      <c r="BK8" s="3"/>
      <c r="BL8" s="3"/>
      <c r="BM8" s="3"/>
      <c r="BN8" s="3"/>
      <c r="BO8" s="3"/>
      <c r="BP8" s="3"/>
      <c r="BQ8" s="3"/>
      <c r="BR8" s="3"/>
      <c r="BS8" s="3"/>
      <c r="BT8" s="3"/>
      <c r="BU8" s="3"/>
      <c r="BV8" s="3">
        <v>1</v>
      </c>
      <c r="BW8" s="3"/>
      <c r="BX8" s="3">
        <v>0</v>
      </c>
      <c r="BY8" s="3"/>
      <c r="BZ8" s="3"/>
      <c r="CA8" s="3"/>
      <c r="CB8" s="3"/>
      <c r="CC8" s="3"/>
      <c r="CD8" s="3"/>
      <c r="CE8" s="4">
        <v>46188</v>
      </c>
      <c r="CF8" s="3">
        <v>2</v>
      </c>
      <c r="CG8" s="3">
        <v>0</v>
      </c>
      <c r="CH8" s="3">
        <v>0</v>
      </c>
      <c r="CI8" s="3">
        <v>0</v>
      </c>
      <c r="CJ8" s="3">
        <v>30</v>
      </c>
      <c r="CK8" s="3" t="s">
        <v>348</v>
      </c>
      <c r="CL8" s="3"/>
      <c r="CM8" s="3"/>
      <c r="CN8" s="3"/>
    </row>
    <row r="9" spans="1:92">
      <c r="A9" s="4">
        <v>46190</v>
      </c>
      <c r="B9" s="3" t="s">
        <v>2613</v>
      </c>
      <c r="C9" s="3" t="s">
        <v>109</v>
      </c>
      <c r="D9" s="3" t="s">
        <v>2614</v>
      </c>
      <c r="E9" s="3" t="s">
        <v>2615</v>
      </c>
      <c r="F9" s="3"/>
      <c r="G9" s="3">
        <v>0</v>
      </c>
      <c r="H9" s="3">
        <v>0</v>
      </c>
      <c r="I9" s="3">
        <v>-1</v>
      </c>
      <c r="J9" s="3"/>
      <c r="K9" s="3"/>
      <c r="L9" s="3"/>
      <c r="M9" s="3"/>
      <c r="N9" s="3"/>
      <c r="O9" s="3"/>
      <c r="P9" s="3" t="s">
        <v>2592</v>
      </c>
      <c r="Q9" s="3"/>
      <c r="R9" s="3"/>
      <c r="S9" s="3"/>
      <c r="T9" s="3"/>
      <c r="U9" s="3"/>
      <c r="V9" s="3">
        <v>0</v>
      </c>
      <c r="W9" s="3">
        <v>0</v>
      </c>
      <c r="X9" s="3">
        <v>0</v>
      </c>
      <c r="Y9" s="3">
        <v>0</v>
      </c>
      <c r="Z9" s="3" t="s">
        <v>359</v>
      </c>
      <c r="AA9" s="3"/>
      <c r="AB9" s="3"/>
      <c r="AC9" s="3">
        <v>0</v>
      </c>
      <c r="AD9" s="3">
        <v>0</v>
      </c>
      <c r="AE9" s="3"/>
      <c r="AF9" s="3">
        <v>-1</v>
      </c>
      <c r="AG9" s="3"/>
      <c r="AH9" s="3"/>
      <c r="AI9" s="3" t="s">
        <v>341</v>
      </c>
      <c r="AJ9" s="3"/>
      <c r="AK9" s="3" t="s">
        <v>2594</v>
      </c>
      <c r="AL9" s="3" t="s">
        <v>353</v>
      </c>
      <c r="AM9" s="3"/>
      <c r="AN9" s="3">
        <v>0</v>
      </c>
      <c r="AO9" s="3">
        <v>0</v>
      </c>
      <c r="AP9" s="3"/>
      <c r="AQ9" s="3"/>
      <c r="AR9" s="3">
        <v>13.59</v>
      </c>
      <c r="AS9" s="3"/>
      <c r="AT9" s="3"/>
      <c r="AU9" s="3"/>
      <c r="AV9" s="3"/>
      <c r="AW9" s="3"/>
      <c r="AX9" s="3"/>
      <c r="AY9" s="3"/>
      <c r="AZ9" s="3">
        <v>0</v>
      </c>
      <c r="BA9" s="3"/>
      <c r="BB9" s="3"/>
      <c r="BC9" s="3">
        <v>0</v>
      </c>
      <c r="BD9" s="3">
        <v>0</v>
      </c>
      <c r="BE9" s="3">
        <v>0</v>
      </c>
      <c r="BF9" s="3">
        <v>0</v>
      </c>
      <c r="BG9" s="3">
        <v>0</v>
      </c>
      <c r="BH9" s="3">
        <v>1</v>
      </c>
      <c r="BI9" s="3"/>
      <c r="BJ9" s="3"/>
      <c r="BK9" s="3"/>
      <c r="BL9" s="3"/>
      <c r="BM9" s="3"/>
      <c r="BN9" s="3"/>
      <c r="BO9" s="3"/>
      <c r="BP9" s="3"/>
      <c r="BQ9" s="3"/>
      <c r="BR9" s="3"/>
      <c r="BS9" s="3"/>
      <c r="BT9" s="3"/>
      <c r="BU9" s="3"/>
      <c r="BV9" s="3">
        <v>0</v>
      </c>
      <c r="BW9" s="3"/>
      <c r="BX9" s="3">
        <v>0</v>
      </c>
      <c r="BY9" s="3"/>
      <c r="BZ9" s="3"/>
      <c r="CA9" s="3"/>
      <c r="CB9" s="3"/>
      <c r="CC9" s="3"/>
      <c r="CD9" s="3"/>
      <c r="CE9" s="3"/>
      <c r="CF9" s="3">
        <v>0</v>
      </c>
      <c r="CG9" s="3">
        <v>0</v>
      </c>
      <c r="CH9" s="3">
        <v>0</v>
      </c>
      <c r="CI9" s="3">
        <v>0</v>
      </c>
      <c r="CJ9" s="3">
        <v>0</v>
      </c>
      <c r="CK9" s="3" t="s">
        <v>348</v>
      </c>
      <c r="CL9" s="3"/>
      <c r="CM9" s="3"/>
      <c r="CN9" s="3"/>
    </row>
    <row r="10" spans="1:92">
      <c r="A10" s="4">
        <v>46190</v>
      </c>
      <c r="B10" s="3" t="s">
        <v>2616</v>
      </c>
      <c r="C10" s="3" t="s">
        <v>110</v>
      </c>
      <c r="D10" s="3" t="s">
        <v>130</v>
      </c>
      <c r="E10" s="3" t="s">
        <v>2617</v>
      </c>
      <c r="F10" s="3" t="s">
        <v>337</v>
      </c>
      <c r="G10" s="3">
        <v>3</v>
      </c>
      <c r="H10" s="3">
        <v>0</v>
      </c>
      <c r="I10" s="3">
        <v>0</v>
      </c>
      <c r="J10" s="3">
        <v>1</v>
      </c>
      <c r="K10" s="3">
        <v>7</v>
      </c>
      <c r="L10" s="3">
        <v>8</v>
      </c>
      <c r="M10" s="3">
        <v>0</v>
      </c>
      <c r="N10" s="3">
        <v>0</v>
      </c>
      <c r="O10" s="3">
        <v>0</v>
      </c>
      <c r="P10" s="3" t="s">
        <v>2592</v>
      </c>
      <c r="Q10" s="3">
        <v>0</v>
      </c>
      <c r="R10" s="3">
        <v>0</v>
      </c>
      <c r="S10" s="3">
        <v>0</v>
      </c>
      <c r="T10" s="3">
        <v>4</v>
      </c>
      <c r="U10" s="3" t="s">
        <v>351</v>
      </c>
      <c r="V10" s="3">
        <v>27.99</v>
      </c>
      <c r="W10" s="3">
        <v>0</v>
      </c>
      <c r="X10" s="3">
        <v>27.99</v>
      </c>
      <c r="Y10" s="3">
        <v>0</v>
      </c>
      <c r="Z10" s="3" t="s">
        <v>359</v>
      </c>
      <c r="AA10" s="3">
        <v>0</v>
      </c>
      <c r="AB10" s="3">
        <v>0</v>
      </c>
      <c r="AC10" s="3">
        <v>0</v>
      </c>
      <c r="AD10" s="3">
        <v>0</v>
      </c>
      <c r="AE10" s="3">
        <v>0</v>
      </c>
      <c r="AF10" s="3">
        <v>0.11</v>
      </c>
      <c r="AG10" s="3">
        <v>0.00232</v>
      </c>
      <c r="AH10" s="3" t="s">
        <v>2593</v>
      </c>
      <c r="AI10" s="3" t="s">
        <v>341</v>
      </c>
      <c r="AJ10" s="3">
        <v>0.00696</v>
      </c>
      <c r="AK10" s="3" t="s">
        <v>2594</v>
      </c>
      <c r="AL10" s="3" t="s">
        <v>465</v>
      </c>
      <c r="AM10" s="3">
        <v>274439</v>
      </c>
      <c r="AN10" s="3">
        <v>71</v>
      </c>
      <c r="AO10" s="3">
        <v>0</v>
      </c>
      <c r="AP10" s="3"/>
      <c r="AQ10" s="3">
        <v>9</v>
      </c>
      <c r="AR10" s="3">
        <v>25.43</v>
      </c>
      <c r="AS10" s="3">
        <v>0</v>
      </c>
      <c r="AT10" s="3">
        <v>0</v>
      </c>
      <c r="AU10" s="3">
        <v>0</v>
      </c>
      <c r="AV10" s="3">
        <v>64.68</v>
      </c>
      <c r="AW10" s="3">
        <v>0</v>
      </c>
      <c r="AX10" s="3">
        <v>0</v>
      </c>
      <c r="AY10" s="3">
        <v>1</v>
      </c>
      <c r="AZ10" s="3">
        <v>8</v>
      </c>
      <c r="BA10" s="3">
        <v>0</v>
      </c>
      <c r="BB10" s="3">
        <v>0</v>
      </c>
      <c r="BC10" s="3">
        <v>0</v>
      </c>
      <c r="BD10" s="3">
        <v>0</v>
      </c>
      <c r="BE10" s="3">
        <v>0</v>
      </c>
      <c r="BF10" s="3">
        <v>0</v>
      </c>
      <c r="BG10" s="3">
        <v>0</v>
      </c>
      <c r="BH10" s="3">
        <v>0</v>
      </c>
      <c r="BI10" s="3"/>
      <c r="BJ10" s="3"/>
      <c r="BK10" s="3"/>
      <c r="BL10" s="3"/>
      <c r="BM10" s="3"/>
      <c r="BN10" s="3"/>
      <c r="BO10" s="3"/>
      <c r="BP10" s="3"/>
      <c r="BQ10" s="3"/>
      <c r="BR10" s="3"/>
      <c r="BS10" s="3"/>
      <c r="BT10" s="3"/>
      <c r="BU10" s="3"/>
      <c r="BV10" s="3">
        <v>2</v>
      </c>
      <c r="BW10" s="3"/>
      <c r="BX10" s="3">
        <v>0</v>
      </c>
      <c r="BY10" s="3"/>
      <c r="BZ10" s="3"/>
      <c r="CA10" s="3"/>
      <c r="CB10" s="3"/>
      <c r="CC10" s="3"/>
      <c r="CD10" s="3">
        <v>219.6</v>
      </c>
      <c r="CE10" s="4">
        <v>46188</v>
      </c>
      <c r="CF10" s="3">
        <v>3</v>
      </c>
      <c r="CG10" s="3">
        <v>0</v>
      </c>
      <c r="CH10" s="3">
        <v>0</v>
      </c>
      <c r="CI10" s="3">
        <v>0</v>
      </c>
      <c r="CJ10" s="3">
        <v>71</v>
      </c>
      <c r="CK10" s="3" t="s">
        <v>348</v>
      </c>
      <c r="CL10" s="3"/>
      <c r="CM10" s="3"/>
      <c r="CN10" s="3"/>
    </row>
    <row r="11" spans="1:92">
      <c r="A11" s="4">
        <v>46190</v>
      </c>
      <c r="B11" s="3" t="s">
        <v>2618</v>
      </c>
      <c r="C11" s="3" t="s">
        <v>111</v>
      </c>
      <c r="D11" s="3" t="s">
        <v>2619</v>
      </c>
      <c r="E11" s="3" t="s">
        <v>2620</v>
      </c>
      <c r="F11" s="3"/>
      <c r="G11" s="3"/>
      <c r="H11" s="3"/>
      <c r="I11" s="3">
        <v>-1</v>
      </c>
      <c r="J11" s="3"/>
      <c r="K11" s="3"/>
      <c r="L11" s="3"/>
      <c r="M11" s="3"/>
      <c r="N11" s="3"/>
      <c r="O11" s="3"/>
      <c r="P11" s="3" t="s">
        <v>2592</v>
      </c>
      <c r="Q11" s="3"/>
      <c r="R11" s="3"/>
      <c r="S11" s="3"/>
      <c r="T11" s="3"/>
      <c r="U11" s="3"/>
      <c r="V11" s="3">
        <v>0</v>
      </c>
      <c r="W11" s="3">
        <v>0</v>
      </c>
      <c r="X11" s="3">
        <v>0</v>
      </c>
      <c r="Y11" s="3">
        <v>0</v>
      </c>
      <c r="Z11" s="3" t="s">
        <v>359</v>
      </c>
      <c r="AA11" s="3"/>
      <c r="AB11" s="3"/>
      <c r="AC11" s="3">
        <v>0</v>
      </c>
      <c r="AD11" s="3">
        <v>0</v>
      </c>
      <c r="AE11" s="3"/>
      <c r="AF11" s="3">
        <v>-1</v>
      </c>
      <c r="AG11" s="3"/>
      <c r="AH11" s="3"/>
      <c r="AI11" s="3"/>
      <c r="AJ11" s="3"/>
      <c r="AK11" s="3" t="s">
        <v>2594</v>
      </c>
      <c r="AL11" s="3" t="s">
        <v>353</v>
      </c>
      <c r="AM11" s="3"/>
      <c r="AN11" s="3">
        <v>0</v>
      </c>
      <c r="AO11" s="3">
        <v>0</v>
      </c>
      <c r="AP11" s="3"/>
      <c r="AQ11" s="3"/>
      <c r="AR11" s="3">
        <v>38.11</v>
      </c>
      <c r="AS11" s="3"/>
      <c r="AT11" s="3"/>
      <c r="AU11" s="3"/>
      <c r="AV11" s="3"/>
      <c r="AW11" s="3"/>
      <c r="AX11" s="3"/>
      <c r="AY11" s="3"/>
      <c r="AZ11" s="3">
        <v>0</v>
      </c>
      <c r="BA11" s="3"/>
      <c r="BB11" s="3"/>
      <c r="BC11" s="3">
        <v>0</v>
      </c>
      <c r="BD11" s="3"/>
      <c r="BE11" s="3"/>
      <c r="BF11" s="3"/>
      <c r="BG11" s="3">
        <v>0</v>
      </c>
      <c r="BH11" s="3"/>
      <c r="BI11" s="3"/>
      <c r="BJ11" s="3"/>
      <c r="BK11" s="3"/>
      <c r="BL11" s="3"/>
      <c r="BM11" s="3"/>
      <c r="BN11" s="3"/>
      <c r="BO11" s="3"/>
      <c r="BP11" s="3"/>
      <c r="BQ11" s="3"/>
      <c r="BR11" s="3"/>
      <c r="BS11" s="3"/>
      <c r="BT11" s="3"/>
      <c r="BU11" s="3"/>
      <c r="BV11" s="3">
        <v>0</v>
      </c>
      <c r="BW11" s="3"/>
      <c r="BX11" s="3">
        <v>0</v>
      </c>
      <c r="BY11" s="3"/>
      <c r="BZ11" s="3"/>
      <c r="CA11" s="3"/>
      <c r="CB11" s="3"/>
      <c r="CC11" s="3"/>
      <c r="CD11" s="3"/>
      <c r="CE11" s="3"/>
      <c r="CF11" s="3">
        <v>0</v>
      </c>
      <c r="CG11" s="3">
        <v>0</v>
      </c>
      <c r="CH11" s="3"/>
      <c r="CI11" s="3">
        <v>0</v>
      </c>
      <c r="CJ11" s="3">
        <v>0</v>
      </c>
      <c r="CK11" s="3" t="s">
        <v>348</v>
      </c>
      <c r="CL11" s="3"/>
      <c r="CM11" s="3"/>
      <c r="CN11" s="3"/>
    </row>
    <row r="12" spans="1:92">
      <c r="A12" s="4">
        <v>46190</v>
      </c>
      <c r="B12" s="3" t="s">
        <v>2621</v>
      </c>
      <c r="C12" s="3" t="s">
        <v>112</v>
      </c>
      <c r="D12" s="3" t="s">
        <v>2622</v>
      </c>
      <c r="E12" s="3" t="s">
        <v>2623</v>
      </c>
      <c r="F12" s="3"/>
      <c r="G12" s="3"/>
      <c r="H12" s="3"/>
      <c r="I12" s="3">
        <v>-1</v>
      </c>
      <c r="J12" s="3"/>
      <c r="K12" s="3"/>
      <c r="L12" s="3"/>
      <c r="M12" s="3"/>
      <c r="N12" s="3"/>
      <c r="O12" s="3"/>
      <c r="P12" s="3" t="s">
        <v>2592</v>
      </c>
      <c r="Q12" s="3"/>
      <c r="R12" s="3"/>
      <c r="S12" s="3"/>
      <c r="T12" s="3"/>
      <c r="U12" s="3"/>
      <c r="V12" s="3">
        <v>0</v>
      </c>
      <c r="W12" s="3">
        <v>0</v>
      </c>
      <c r="X12" s="3">
        <v>0</v>
      </c>
      <c r="Y12" s="3">
        <v>0</v>
      </c>
      <c r="Z12" s="3" t="s">
        <v>359</v>
      </c>
      <c r="AA12" s="3"/>
      <c r="AB12" s="3"/>
      <c r="AC12" s="3">
        <v>0</v>
      </c>
      <c r="AD12" s="3">
        <v>0</v>
      </c>
      <c r="AE12" s="3"/>
      <c r="AF12" s="3">
        <v>-1</v>
      </c>
      <c r="AG12" s="3"/>
      <c r="AH12" s="3"/>
      <c r="AI12" s="3"/>
      <c r="AJ12" s="3"/>
      <c r="AK12" s="3" t="s">
        <v>2594</v>
      </c>
      <c r="AL12" s="3" t="s">
        <v>353</v>
      </c>
      <c r="AM12" s="3"/>
      <c r="AN12" s="3">
        <v>0</v>
      </c>
      <c r="AO12" s="3">
        <v>0</v>
      </c>
      <c r="AP12" s="3"/>
      <c r="AQ12" s="3"/>
      <c r="AR12" s="3">
        <v>55.99</v>
      </c>
      <c r="AS12" s="3"/>
      <c r="AT12" s="3"/>
      <c r="AU12" s="3"/>
      <c r="AV12" s="3"/>
      <c r="AW12" s="3"/>
      <c r="AX12" s="3"/>
      <c r="AY12" s="3"/>
      <c r="AZ12" s="3">
        <v>0</v>
      </c>
      <c r="BA12" s="3"/>
      <c r="BB12" s="3"/>
      <c r="BC12" s="3">
        <v>0</v>
      </c>
      <c r="BD12" s="3"/>
      <c r="BE12" s="3"/>
      <c r="BF12" s="3"/>
      <c r="BG12" s="3">
        <v>0</v>
      </c>
      <c r="BH12" s="3"/>
      <c r="BI12" s="3"/>
      <c r="BJ12" s="3"/>
      <c r="BK12" s="3"/>
      <c r="BL12" s="3"/>
      <c r="BM12" s="3"/>
      <c r="BN12" s="3"/>
      <c r="BO12" s="3"/>
      <c r="BP12" s="3"/>
      <c r="BQ12" s="3"/>
      <c r="BR12" s="3"/>
      <c r="BS12" s="3"/>
      <c r="BT12" s="3"/>
      <c r="BU12" s="3"/>
      <c r="BV12" s="3">
        <v>0</v>
      </c>
      <c r="BW12" s="3"/>
      <c r="BX12" s="3">
        <v>0</v>
      </c>
      <c r="BY12" s="3"/>
      <c r="BZ12" s="3"/>
      <c r="CA12" s="3"/>
      <c r="CB12" s="3"/>
      <c r="CC12" s="3"/>
      <c r="CD12" s="3"/>
      <c r="CE12" s="3"/>
      <c r="CF12" s="3">
        <v>0</v>
      </c>
      <c r="CG12" s="3">
        <v>0</v>
      </c>
      <c r="CH12" s="3"/>
      <c r="CI12" s="3">
        <v>0</v>
      </c>
      <c r="CJ12" s="3">
        <v>0</v>
      </c>
      <c r="CK12" s="3" t="s">
        <v>348</v>
      </c>
      <c r="CL12" s="3"/>
      <c r="CM12" s="3"/>
      <c r="CN12" s="3"/>
    </row>
    <row r="13" spans="1:92">
      <c r="A13" s="4">
        <v>46190</v>
      </c>
      <c r="B13" s="3" t="s">
        <v>2624</v>
      </c>
      <c r="C13" s="3" t="s">
        <v>113</v>
      </c>
      <c r="D13" s="3" t="s">
        <v>131</v>
      </c>
      <c r="E13" s="3" t="s">
        <v>2625</v>
      </c>
      <c r="F13" s="3" t="s">
        <v>337</v>
      </c>
      <c r="G13" s="3">
        <v>158</v>
      </c>
      <c r="H13" s="3">
        <v>0</v>
      </c>
      <c r="I13" s="3">
        <v>0</v>
      </c>
      <c r="J13" s="3">
        <v>2</v>
      </c>
      <c r="K13" s="3">
        <v>0</v>
      </c>
      <c r="L13" s="3">
        <v>248</v>
      </c>
      <c r="M13" s="3">
        <v>0</v>
      </c>
      <c r="N13" s="3">
        <v>0</v>
      </c>
      <c r="O13" s="3">
        <v>0</v>
      </c>
      <c r="P13" s="3" t="s">
        <v>2592</v>
      </c>
      <c r="Q13" s="3">
        <v>0</v>
      </c>
      <c r="R13" s="3">
        <v>0</v>
      </c>
      <c r="S13" s="3">
        <v>0</v>
      </c>
      <c r="T13" s="3">
        <v>8</v>
      </c>
      <c r="U13" s="3" t="s">
        <v>351</v>
      </c>
      <c r="V13" s="3">
        <v>59.99</v>
      </c>
      <c r="W13" s="3">
        <v>0</v>
      </c>
      <c r="X13" s="3">
        <v>35.99</v>
      </c>
      <c r="Y13" s="3">
        <v>0</v>
      </c>
      <c r="Z13" s="3" t="s">
        <v>391</v>
      </c>
      <c r="AA13" s="3">
        <v>1</v>
      </c>
      <c r="AB13" s="3">
        <v>0</v>
      </c>
      <c r="AC13" s="3">
        <v>0</v>
      </c>
      <c r="AD13" s="3">
        <v>0</v>
      </c>
      <c r="AE13" s="3">
        <v>0</v>
      </c>
      <c r="AF13" s="3">
        <v>0.07</v>
      </c>
      <c r="AG13" s="3">
        <v>0.007978</v>
      </c>
      <c r="AH13" s="3" t="s">
        <v>2593</v>
      </c>
      <c r="AI13" s="3" t="s">
        <v>341</v>
      </c>
      <c r="AJ13" s="3">
        <v>1.260455</v>
      </c>
      <c r="AK13" s="3" t="s">
        <v>2594</v>
      </c>
      <c r="AL13" s="3" t="s">
        <v>2473</v>
      </c>
      <c r="AM13" s="3">
        <v>387204</v>
      </c>
      <c r="AN13" s="3">
        <v>366</v>
      </c>
      <c r="AO13" s="3">
        <v>0</v>
      </c>
      <c r="AP13" s="3"/>
      <c r="AQ13" s="3">
        <v>256</v>
      </c>
      <c r="AR13" s="3">
        <v>36.29</v>
      </c>
      <c r="AS13" s="3">
        <v>0</v>
      </c>
      <c r="AT13" s="3">
        <v>0</v>
      </c>
      <c r="AU13" s="3">
        <v>0</v>
      </c>
      <c r="AV13" s="3">
        <v>268.88</v>
      </c>
      <c r="AW13" s="3">
        <v>1</v>
      </c>
      <c r="AX13" s="3">
        <v>0</v>
      </c>
      <c r="AY13" s="3">
        <v>1</v>
      </c>
      <c r="AZ13" s="3">
        <v>248</v>
      </c>
      <c r="BA13" s="3">
        <v>0</v>
      </c>
      <c r="BB13" s="3">
        <v>0.46</v>
      </c>
      <c r="BC13" s="3">
        <v>0</v>
      </c>
      <c r="BD13" s="3">
        <v>0</v>
      </c>
      <c r="BE13" s="3">
        <v>0</v>
      </c>
      <c r="BF13" s="3">
        <v>0</v>
      </c>
      <c r="BG13" s="3">
        <v>0</v>
      </c>
      <c r="BH13" s="3">
        <v>1</v>
      </c>
      <c r="BI13" s="3">
        <v>47</v>
      </c>
      <c r="BJ13" s="3">
        <v>18</v>
      </c>
      <c r="BK13" s="3">
        <v>0</v>
      </c>
      <c r="BL13" s="3">
        <v>0</v>
      </c>
      <c r="BM13" s="3">
        <v>0</v>
      </c>
      <c r="BN13" s="3">
        <v>0</v>
      </c>
      <c r="BO13" s="3">
        <v>0</v>
      </c>
      <c r="BP13" s="3">
        <v>0</v>
      </c>
      <c r="BQ13" s="3">
        <v>0</v>
      </c>
      <c r="BR13" s="3">
        <v>0</v>
      </c>
      <c r="BS13" s="3">
        <v>0</v>
      </c>
      <c r="BT13" s="3">
        <v>0</v>
      </c>
      <c r="BU13" s="3"/>
      <c r="BV13" s="3">
        <v>1</v>
      </c>
      <c r="BW13" s="3"/>
      <c r="BX13" s="3">
        <v>0</v>
      </c>
      <c r="BY13" s="3"/>
      <c r="BZ13" s="3"/>
      <c r="CA13" s="3"/>
      <c r="CB13" s="3"/>
      <c r="CC13" s="3"/>
      <c r="CD13" s="3">
        <v>1120.3</v>
      </c>
      <c r="CE13" s="4">
        <v>46188</v>
      </c>
      <c r="CF13" s="3">
        <v>158</v>
      </c>
      <c r="CG13" s="3">
        <v>0</v>
      </c>
      <c r="CH13" s="3">
        <v>0</v>
      </c>
      <c r="CI13" s="3">
        <v>0</v>
      </c>
      <c r="CJ13" s="3">
        <v>366</v>
      </c>
      <c r="CK13" s="3" t="s">
        <v>348</v>
      </c>
      <c r="CL13" s="3"/>
      <c r="CM13" s="3"/>
      <c r="CN13" s="3"/>
    </row>
    <row r="14" spans="1:92">
      <c r="A14" s="4">
        <v>46190</v>
      </c>
      <c r="B14" s="3" t="s">
        <v>2626</v>
      </c>
      <c r="C14" s="3" t="s">
        <v>114</v>
      </c>
      <c r="D14" s="3" t="s">
        <v>2627</v>
      </c>
      <c r="E14" s="3" t="s">
        <v>2628</v>
      </c>
      <c r="F14" s="3"/>
      <c r="G14" s="3">
        <v>13</v>
      </c>
      <c r="H14" s="3">
        <v>0</v>
      </c>
      <c r="I14" s="3">
        <v>0</v>
      </c>
      <c r="J14" s="3">
        <v>0</v>
      </c>
      <c r="K14" s="3">
        <v>0</v>
      </c>
      <c r="L14" s="3">
        <v>13</v>
      </c>
      <c r="M14" s="3">
        <v>0</v>
      </c>
      <c r="N14" s="3">
        <v>0</v>
      </c>
      <c r="O14" s="3">
        <v>0</v>
      </c>
      <c r="P14" s="3" t="s">
        <v>2592</v>
      </c>
      <c r="Q14" s="3"/>
      <c r="R14" s="3"/>
      <c r="S14" s="3"/>
      <c r="T14" s="3"/>
      <c r="U14" s="3"/>
      <c r="V14" s="3">
        <v>0</v>
      </c>
      <c r="W14" s="3">
        <v>0</v>
      </c>
      <c r="X14" s="3">
        <v>0</v>
      </c>
      <c r="Y14" s="3">
        <v>0</v>
      </c>
      <c r="Z14" s="3" t="s">
        <v>2230</v>
      </c>
      <c r="AA14" s="3"/>
      <c r="AB14" s="3"/>
      <c r="AC14" s="3">
        <v>0</v>
      </c>
      <c r="AD14" s="3">
        <v>0</v>
      </c>
      <c r="AE14" s="3"/>
      <c r="AF14" s="3">
        <v>0</v>
      </c>
      <c r="AG14" s="3">
        <v>0.0037</v>
      </c>
      <c r="AH14" s="3" t="s">
        <v>2593</v>
      </c>
      <c r="AI14" s="3" t="s">
        <v>341</v>
      </c>
      <c r="AJ14" s="3">
        <v>0.048095</v>
      </c>
      <c r="AK14" s="3" t="s">
        <v>2594</v>
      </c>
      <c r="AL14" s="3" t="s">
        <v>343</v>
      </c>
      <c r="AM14" s="3"/>
      <c r="AN14" s="3">
        <v>366</v>
      </c>
      <c r="AO14" s="3">
        <v>0</v>
      </c>
      <c r="AP14" s="3"/>
      <c r="AQ14" s="3"/>
      <c r="AR14" s="3">
        <v>186.62</v>
      </c>
      <c r="AS14" s="3"/>
      <c r="AT14" s="3"/>
      <c r="AU14" s="3"/>
      <c r="AV14" s="3"/>
      <c r="AW14" s="3">
        <v>0</v>
      </c>
      <c r="AX14" s="3">
        <v>0</v>
      </c>
      <c r="AY14" s="3">
        <v>0</v>
      </c>
      <c r="AZ14" s="3">
        <v>13</v>
      </c>
      <c r="BA14" s="3">
        <v>0</v>
      </c>
      <c r="BB14" s="3"/>
      <c r="BC14" s="3">
        <v>0</v>
      </c>
      <c r="BD14" s="3">
        <v>0</v>
      </c>
      <c r="BE14" s="3">
        <v>0</v>
      </c>
      <c r="BF14" s="3">
        <v>0</v>
      </c>
      <c r="BG14" s="3">
        <v>0</v>
      </c>
      <c r="BH14" s="3">
        <v>0</v>
      </c>
      <c r="BI14" s="3"/>
      <c r="BJ14" s="3"/>
      <c r="BK14" s="3"/>
      <c r="BL14" s="3"/>
      <c r="BM14" s="3"/>
      <c r="BN14" s="3"/>
      <c r="BO14" s="3"/>
      <c r="BP14" s="3"/>
      <c r="BQ14" s="3"/>
      <c r="BR14" s="3"/>
      <c r="BS14" s="3"/>
      <c r="BT14" s="3"/>
      <c r="BU14" s="3"/>
      <c r="BV14" s="3">
        <v>0</v>
      </c>
      <c r="BW14" s="3"/>
      <c r="BX14" s="3">
        <v>0</v>
      </c>
      <c r="BY14" s="3"/>
      <c r="BZ14" s="3"/>
      <c r="CA14" s="3"/>
      <c r="CB14" s="3"/>
      <c r="CC14" s="3"/>
      <c r="CD14" s="3"/>
      <c r="CE14" s="4">
        <v>46188</v>
      </c>
      <c r="CF14" s="3">
        <v>13</v>
      </c>
      <c r="CG14" s="3">
        <v>0</v>
      </c>
      <c r="CH14" s="3">
        <v>0</v>
      </c>
      <c r="CI14" s="3">
        <v>0</v>
      </c>
      <c r="CJ14" s="3">
        <v>366</v>
      </c>
      <c r="CK14" s="3" t="s">
        <v>348</v>
      </c>
      <c r="CL14" s="3"/>
      <c r="CM14" s="3"/>
      <c r="CN14" s="3"/>
    </row>
    <row r="15" spans="1:92">
      <c r="A15" s="4">
        <v>46190</v>
      </c>
      <c r="B15" s="3" t="s">
        <v>2629</v>
      </c>
      <c r="C15" s="3" t="s">
        <v>115</v>
      </c>
      <c r="D15" s="3" t="s">
        <v>2630</v>
      </c>
      <c r="E15" s="3" t="s">
        <v>2631</v>
      </c>
      <c r="F15" s="3"/>
      <c r="G15" s="3"/>
      <c r="H15" s="3"/>
      <c r="I15" s="3">
        <v>-1</v>
      </c>
      <c r="J15" s="3"/>
      <c r="K15" s="3"/>
      <c r="L15" s="3"/>
      <c r="M15" s="3"/>
      <c r="N15" s="3"/>
      <c r="O15" s="3"/>
      <c r="P15" s="3" t="s">
        <v>2592</v>
      </c>
      <c r="Q15" s="3"/>
      <c r="R15" s="3"/>
      <c r="S15" s="3"/>
      <c r="T15" s="3"/>
      <c r="U15" s="3"/>
      <c r="V15" s="3">
        <v>0</v>
      </c>
      <c r="W15" s="3">
        <v>0</v>
      </c>
      <c r="X15" s="3">
        <v>0</v>
      </c>
      <c r="Y15" s="3">
        <v>0</v>
      </c>
      <c r="Z15" s="3" t="s">
        <v>359</v>
      </c>
      <c r="AA15" s="3"/>
      <c r="AB15" s="3"/>
      <c r="AC15" s="3">
        <v>0</v>
      </c>
      <c r="AD15" s="3">
        <v>0</v>
      </c>
      <c r="AE15" s="3"/>
      <c r="AF15" s="3">
        <v>-1</v>
      </c>
      <c r="AG15" s="3"/>
      <c r="AH15" s="3"/>
      <c r="AI15" s="3"/>
      <c r="AJ15" s="3"/>
      <c r="AK15" s="3" t="s">
        <v>2594</v>
      </c>
      <c r="AL15" s="3" t="s">
        <v>2473</v>
      </c>
      <c r="AM15" s="3">
        <v>507995</v>
      </c>
      <c r="AN15" s="3">
        <v>0</v>
      </c>
      <c r="AO15" s="3">
        <v>0</v>
      </c>
      <c r="AP15" s="3"/>
      <c r="AQ15" s="3"/>
      <c r="AR15" s="3">
        <v>82.99</v>
      </c>
      <c r="AS15" s="3"/>
      <c r="AT15" s="3"/>
      <c r="AU15" s="3"/>
      <c r="AV15" s="3"/>
      <c r="AW15" s="3"/>
      <c r="AX15" s="3"/>
      <c r="AY15" s="3"/>
      <c r="AZ15" s="3">
        <v>0</v>
      </c>
      <c r="BA15" s="3"/>
      <c r="BB15" s="3"/>
      <c r="BC15" s="3">
        <v>0</v>
      </c>
      <c r="BD15" s="3"/>
      <c r="BE15" s="3"/>
      <c r="BF15" s="3"/>
      <c r="BG15" s="3">
        <v>0</v>
      </c>
      <c r="BH15" s="3"/>
      <c r="BI15" s="3"/>
      <c r="BJ15" s="3"/>
      <c r="BK15" s="3"/>
      <c r="BL15" s="3"/>
      <c r="BM15" s="3"/>
      <c r="BN15" s="3"/>
      <c r="BO15" s="3"/>
      <c r="BP15" s="3"/>
      <c r="BQ15" s="3"/>
      <c r="BR15" s="3"/>
      <c r="BS15" s="3"/>
      <c r="BT15" s="3"/>
      <c r="BU15" s="3"/>
      <c r="BV15" s="3">
        <v>0</v>
      </c>
      <c r="BW15" s="3"/>
      <c r="BX15" s="3">
        <v>0</v>
      </c>
      <c r="BY15" s="3"/>
      <c r="BZ15" s="3"/>
      <c r="CA15" s="3"/>
      <c r="CB15" s="3"/>
      <c r="CC15" s="3"/>
      <c r="CD15" s="3"/>
      <c r="CE15" s="3"/>
      <c r="CF15" s="3">
        <v>0</v>
      </c>
      <c r="CG15" s="3">
        <v>0</v>
      </c>
      <c r="CH15" s="3"/>
      <c r="CI15" s="3">
        <v>0</v>
      </c>
      <c r="CJ15" s="3">
        <v>0</v>
      </c>
      <c r="CK15" s="3" t="s">
        <v>348</v>
      </c>
      <c r="CL15" s="3"/>
      <c r="CM15" s="3"/>
      <c r="CN15" s="3"/>
    </row>
    <row r="16" spans="1:92">
      <c r="A16" s="4">
        <v>46190</v>
      </c>
      <c r="B16" s="3" t="s">
        <v>2632</v>
      </c>
      <c r="C16" s="3" t="s">
        <v>116</v>
      </c>
      <c r="D16" s="3" t="s">
        <v>2633</v>
      </c>
      <c r="E16" s="3" t="s">
        <v>2634</v>
      </c>
      <c r="F16" s="3"/>
      <c r="G16" s="3">
        <v>0</v>
      </c>
      <c r="H16" s="3">
        <v>0</v>
      </c>
      <c r="I16" s="3">
        <v>0</v>
      </c>
      <c r="J16" s="3">
        <v>0</v>
      </c>
      <c r="K16" s="3">
        <v>0</v>
      </c>
      <c r="L16" s="3">
        <v>1</v>
      </c>
      <c r="M16" s="3">
        <v>0</v>
      </c>
      <c r="N16" s="3">
        <v>0</v>
      </c>
      <c r="O16" s="3">
        <v>0</v>
      </c>
      <c r="P16" s="3" t="s">
        <v>2592</v>
      </c>
      <c r="Q16" s="3">
        <v>0</v>
      </c>
      <c r="R16" s="3">
        <v>0</v>
      </c>
      <c r="S16" s="3">
        <v>0</v>
      </c>
      <c r="T16" s="3">
        <v>0</v>
      </c>
      <c r="U16" s="3"/>
      <c r="V16" s="3">
        <v>0</v>
      </c>
      <c r="W16" s="3">
        <v>0</v>
      </c>
      <c r="X16" s="3">
        <v>0</v>
      </c>
      <c r="Y16" s="3">
        <v>0</v>
      </c>
      <c r="Z16" s="3" t="s">
        <v>359</v>
      </c>
      <c r="AA16" s="3"/>
      <c r="AB16" s="3"/>
      <c r="AC16" s="3">
        <v>0</v>
      </c>
      <c r="AD16" s="3">
        <v>0</v>
      </c>
      <c r="AE16" s="3"/>
      <c r="AF16" s="3">
        <v>0</v>
      </c>
      <c r="AG16" s="3">
        <v>0.001691</v>
      </c>
      <c r="AH16" s="3" t="s">
        <v>2593</v>
      </c>
      <c r="AI16" s="3" t="s">
        <v>341</v>
      </c>
      <c r="AJ16" s="3">
        <v>0</v>
      </c>
      <c r="AK16" s="3" t="s">
        <v>2594</v>
      </c>
      <c r="AL16" s="3" t="s">
        <v>465</v>
      </c>
      <c r="AM16" s="3">
        <v>675064</v>
      </c>
      <c r="AN16" s="3">
        <v>0</v>
      </c>
      <c r="AO16" s="3">
        <v>0</v>
      </c>
      <c r="AP16" s="3"/>
      <c r="AQ16" s="3"/>
      <c r="AR16" s="3">
        <v>55.35</v>
      </c>
      <c r="AS16" s="3">
        <v>0</v>
      </c>
      <c r="AT16" s="3">
        <v>0</v>
      </c>
      <c r="AU16" s="3">
        <v>0</v>
      </c>
      <c r="AV16" s="3">
        <v>0</v>
      </c>
      <c r="AW16" s="3">
        <v>0</v>
      </c>
      <c r="AX16" s="3">
        <v>0</v>
      </c>
      <c r="AY16" s="3">
        <v>0</v>
      </c>
      <c r="AZ16" s="3">
        <v>1</v>
      </c>
      <c r="BA16" s="3">
        <v>0</v>
      </c>
      <c r="BB16" s="3"/>
      <c r="BC16" s="3">
        <v>0</v>
      </c>
      <c r="BD16" s="3">
        <v>0</v>
      </c>
      <c r="BE16" s="3">
        <v>0</v>
      </c>
      <c r="BF16" s="3">
        <v>0</v>
      </c>
      <c r="BG16" s="3">
        <v>0</v>
      </c>
      <c r="BH16" s="3">
        <v>0</v>
      </c>
      <c r="BI16" s="3"/>
      <c r="BJ16" s="3"/>
      <c r="BK16" s="3"/>
      <c r="BL16" s="3"/>
      <c r="BM16" s="3"/>
      <c r="BN16" s="3"/>
      <c r="BO16" s="3"/>
      <c r="BP16" s="3"/>
      <c r="BQ16" s="3"/>
      <c r="BR16" s="3"/>
      <c r="BS16" s="3"/>
      <c r="BT16" s="3"/>
      <c r="BU16" s="3"/>
      <c r="BV16" s="3">
        <v>0</v>
      </c>
      <c r="BW16" s="3"/>
      <c r="BX16" s="3">
        <v>0</v>
      </c>
      <c r="BY16" s="3"/>
      <c r="BZ16" s="3"/>
      <c r="CA16" s="3"/>
      <c r="CB16" s="3"/>
      <c r="CC16" s="3"/>
      <c r="CD16" s="3">
        <v>107</v>
      </c>
      <c r="CE16" s="4">
        <v>46188</v>
      </c>
      <c r="CF16" s="3">
        <v>0</v>
      </c>
      <c r="CG16" s="3">
        <v>0</v>
      </c>
      <c r="CH16" s="3">
        <v>0</v>
      </c>
      <c r="CI16" s="3">
        <v>0</v>
      </c>
      <c r="CJ16" s="3">
        <v>0</v>
      </c>
      <c r="CK16" s="3" t="s">
        <v>348</v>
      </c>
      <c r="CL16" s="3"/>
      <c r="CM16" s="3"/>
      <c r="CN16" s="3"/>
    </row>
    <row r="17" spans="1:92">
      <c r="A17" s="4">
        <v>46190</v>
      </c>
      <c r="B17" s="3" t="s">
        <v>2635</v>
      </c>
      <c r="C17" s="3" t="s">
        <v>117</v>
      </c>
      <c r="D17" s="3" t="s">
        <v>2636</v>
      </c>
      <c r="E17" s="3" t="s">
        <v>2637</v>
      </c>
      <c r="F17" s="3"/>
      <c r="G17" s="3">
        <v>0</v>
      </c>
      <c r="H17" s="3">
        <v>0</v>
      </c>
      <c r="I17" s="3">
        <v>-1</v>
      </c>
      <c r="J17" s="3"/>
      <c r="K17" s="3"/>
      <c r="L17" s="3"/>
      <c r="M17" s="3"/>
      <c r="N17" s="3"/>
      <c r="O17" s="3"/>
      <c r="P17" s="3" t="s">
        <v>2592</v>
      </c>
      <c r="Q17" s="3">
        <v>0</v>
      </c>
      <c r="R17" s="3">
        <v>0</v>
      </c>
      <c r="S17" s="3">
        <v>0</v>
      </c>
      <c r="T17" s="3">
        <v>0</v>
      </c>
      <c r="U17" s="3"/>
      <c r="V17" s="3">
        <v>0</v>
      </c>
      <c r="W17" s="3">
        <v>0</v>
      </c>
      <c r="X17" s="3">
        <v>0</v>
      </c>
      <c r="Y17" s="3">
        <v>0</v>
      </c>
      <c r="Z17" s="3" t="s">
        <v>359</v>
      </c>
      <c r="AA17" s="3"/>
      <c r="AB17" s="3"/>
      <c r="AC17" s="3">
        <v>0</v>
      </c>
      <c r="AD17" s="3">
        <v>0</v>
      </c>
      <c r="AE17" s="3"/>
      <c r="AF17" s="3">
        <v>-1</v>
      </c>
      <c r="AG17" s="3"/>
      <c r="AH17" s="3"/>
      <c r="AI17" s="3" t="s">
        <v>341</v>
      </c>
      <c r="AJ17" s="3"/>
      <c r="AK17" s="3" t="s">
        <v>2594</v>
      </c>
      <c r="AL17" s="3" t="s">
        <v>353</v>
      </c>
      <c r="AM17" s="3"/>
      <c r="AN17" s="3">
        <v>0</v>
      </c>
      <c r="AO17" s="3">
        <v>0</v>
      </c>
      <c r="AP17" s="3"/>
      <c r="AQ17" s="3"/>
      <c r="AR17" s="3">
        <v>19.99</v>
      </c>
      <c r="AS17" s="3">
        <v>0</v>
      </c>
      <c r="AT17" s="3">
        <v>0</v>
      </c>
      <c r="AU17" s="3">
        <v>0</v>
      </c>
      <c r="AV17" s="3">
        <v>0</v>
      </c>
      <c r="AW17" s="3"/>
      <c r="AX17" s="3"/>
      <c r="AY17" s="3"/>
      <c r="AZ17" s="3">
        <v>0</v>
      </c>
      <c r="BA17" s="3"/>
      <c r="BB17" s="3"/>
      <c r="BC17" s="3">
        <v>0</v>
      </c>
      <c r="BD17" s="3">
        <v>0</v>
      </c>
      <c r="BE17" s="3">
        <v>0</v>
      </c>
      <c r="BF17" s="3">
        <v>0</v>
      </c>
      <c r="BG17" s="3">
        <v>0</v>
      </c>
      <c r="BH17" s="3">
        <v>2</v>
      </c>
      <c r="BI17" s="3"/>
      <c r="BJ17" s="3"/>
      <c r="BK17" s="3"/>
      <c r="BL17" s="3"/>
      <c r="BM17" s="3"/>
      <c r="BN17" s="3"/>
      <c r="BO17" s="3"/>
      <c r="BP17" s="3"/>
      <c r="BQ17" s="3"/>
      <c r="BR17" s="3"/>
      <c r="BS17" s="3"/>
      <c r="BT17" s="3"/>
      <c r="BU17" s="3"/>
      <c r="BV17" s="3">
        <v>0</v>
      </c>
      <c r="BW17" s="3"/>
      <c r="BX17" s="3">
        <v>0</v>
      </c>
      <c r="BY17" s="3"/>
      <c r="BZ17" s="3"/>
      <c r="CA17" s="3"/>
      <c r="CB17" s="3"/>
      <c r="CC17" s="3"/>
      <c r="CD17" s="3"/>
      <c r="CE17" s="3"/>
      <c r="CF17" s="3">
        <v>0</v>
      </c>
      <c r="CG17" s="3">
        <v>0</v>
      </c>
      <c r="CH17" s="3">
        <v>0</v>
      </c>
      <c r="CI17" s="3">
        <v>0</v>
      </c>
      <c r="CJ17" s="3">
        <v>0</v>
      </c>
      <c r="CK17" s="3" t="s">
        <v>348</v>
      </c>
      <c r="CL17" s="3"/>
      <c r="CM17" s="3"/>
      <c r="CN17" s="3"/>
    </row>
    <row r="18" spans="1:92">
      <c r="A18" s="4">
        <v>46190</v>
      </c>
      <c r="B18" s="3" t="s">
        <v>2638</v>
      </c>
      <c r="C18" s="3" t="s">
        <v>118</v>
      </c>
      <c r="D18" s="3" t="s">
        <v>2639</v>
      </c>
      <c r="E18" s="3" t="s">
        <v>2640</v>
      </c>
      <c r="F18" s="3"/>
      <c r="G18" s="3">
        <v>0</v>
      </c>
      <c r="H18" s="3">
        <v>0</v>
      </c>
      <c r="I18" s="3">
        <v>-1</v>
      </c>
      <c r="J18" s="3"/>
      <c r="K18" s="3"/>
      <c r="L18" s="3"/>
      <c r="M18" s="3"/>
      <c r="N18" s="3"/>
      <c r="O18" s="3"/>
      <c r="P18" s="3" t="s">
        <v>2592</v>
      </c>
      <c r="Q18" s="3">
        <v>0</v>
      </c>
      <c r="R18" s="3">
        <v>0</v>
      </c>
      <c r="S18" s="3">
        <v>0</v>
      </c>
      <c r="T18" s="3">
        <v>0</v>
      </c>
      <c r="U18" s="3"/>
      <c r="V18" s="3">
        <v>0</v>
      </c>
      <c r="W18" s="3">
        <v>0</v>
      </c>
      <c r="X18" s="3">
        <v>0</v>
      </c>
      <c r="Y18" s="3">
        <v>0</v>
      </c>
      <c r="Z18" s="3" t="s">
        <v>359</v>
      </c>
      <c r="AA18" s="3"/>
      <c r="AB18" s="3"/>
      <c r="AC18" s="3">
        <v>0</v>
      </c>
      <c r="AD18" s="3">
        <v>0</v>
      </c>
      <c r="AE18" s="3"/>
      <c r="AF18" s="3">
        <v>-1</v>
      </c>
      <c r="AG18" s="3"/>
      <c r="AH18" s="3"/>
      <c r="AI18" s="3" t="s">
        <v>341</v>
      </c>
      <c r="AJ18" s="3"/>
      <c r="AK18" s="3" t="s">
        <v>2594</v>
      </c>
      <c r="AL18" s="3" t="s">
        <v>343</v>
      </c>
      <c r="AM18" s="3"/>
      <c r="AN18" s="3">
        <v>0</v>
      </c>
      <c r="AO18" s="3">
        <v>0</v>
      </c>
      <c r="AP18" s="3"/>
      <c r="AQ18" s="3"/>
      <c r="AR18" s="3">
        <v>27.99</v>
      </c>
      <c r="AS18" s="3">
        <v>0</v>
      </c>
      <c r="AT18" s="3">
        <v>0</v>
      </c>
      <c r="AU18" s="3">
        <v>0</v>
      </c>
      <c r="AV18" s="3">
        <v>0</v>
      </c>
      <c r="AW18" s="3"/>
      <c r="AX18" s="3"/>
      <c r="AY18" s="3"/>
      <c r="AZ18" s="3">
        <v>0</v>
      </c>
      <c r="BA18" s="3"/>
      <c r="BB18" s="3"/>
      <c r="BC18" s="3">
        <v>0</v>
      </c>
      <c r="BD18" s="3">
        <v>0</v>
      </c>
      <c r="BE18" s="3">
        <v>0</v>
      </c>
      <c r="BF18" s="3">
        <v>0</v>
      </c>
      <c r="BG18" s="3">
        <v>0</v>
      </c>
      <c r="BH18" s="3">
        <v>0</v>
      </c>
      <c r="BI18" s="3"/>
      <c r="BJ18" s="3"/>
      <c r="BK18" s="3"/>
      <c r="BL18" s="3"/>
      <c r="BM18" s="3"/>
      <c r="BN18" s="3"/>
      <c r="BO18" s="3"/>
      <c r="BP18" s="3"/>
      <c r="BQ18" s="3"/>
      <c r="BR18" s="3"/>
      <c r="BS18" s="3"/>
      <c r="BT18" s="3"/>
      <c r="BU18" s="3"/>
      <c r="BV18" s="3">
        <v>0</v>
      </c>
      <c r="BW18" s="3"/>
      <c r="BX18" s="3">
        <v>0</v>
      </c>
      <c r="BY18" s="3"/>
      <c r="BZ18" s="3"/>
      <c r="CA18" s="3"/>
      <c r="CB18" s="3"/>
      <c r="CC18" s="3"/>
      <c r="CD18" s="3"/>
      <c r="CE18" s="3"/>
      <c r="CF18" s="3">
        <v>0</v>
      </c>
      <c r="CG18" s="3">
        <v>0</v>
      </c>
      <c r="CH18" s="3">
        <v>0</v>
      </c>
      <c r="CI18" s="3">
        <v>0</v>
      </c>
      <c r="CJ18" s="3">
        <v>0</v>
      </c>
      <c r="CK18" s="3" t="s">
        <v>348</v>
      </c>
      <c r="CL18" s="3"/>
      <c r="CM18" s="3"/>
      <c r="CN18" s="3"/>
    </row>
    <row r="19" spans="1:92">
      <c r="A19" s="4">
        <v>46190</v>
      </c>
      <c r="B19" s="3" t="s">
        <v>2641</v>
      </c>
      <c r="C19" s="3" t="s">
        <v>119</v>
      </c>
      <c r="D19" s="3" t="s">
        <v>2642</v>
      </c>
      <c r="E19" s="3" t="s">
        <v>2643</v>
      </c>
      <c r="F19" s="3"/>
      <c r="G19" s="3">
        <v>0</v>
      </c>
      <c r="H19" s="3">
        <v>0</v>
      </c>
      <c r="I19" s="3">
        <v>-1</v>
      </c>
      <c r="J19" s="3"/>
      <c r="K19" s="3"/>
      <c r="L19" s="3"/>
      <c r="M19" s="3"/>
      <c r="N19" s="3"/>
      <c r="O19" s="3"/>
      <c r="P19" s="3" t="s">
        <v>2592</v>
      </c>
      <c r="Q19" s="3">
        <v>0</v>
      </c>
      <c r="R19" s="3">
        <v>0</v>
      </c>
      <c r="S19" s="3">
        <v>0</v>
      </c>
      <c r="T19" s="3">
        <v>0</v>
      </c>
      <c r="U19" s="3"/>
      <c r="V19" s="3">
        <v>0</v>
      </c>
      <c r="W19" s="3">
        <v>0</v>
      </c>
      <c r="X19" s="3">
        <v>0</v>
      </c>
      <c r="Y19" s="3">
        <v>0</v>
      </c>
      <c r="Z19" s="3" t="s">
        <v>359</v>
      </c>
      <c r="AA19" s="3"/>
      <c r="AB19" s="3"/>
      <c r="AC19" s="3">
        <v>0</v>
      </c>
      <c r="AD19" s="3">
        <v>0</v>
      </c>
      <c r="AE19" s="3"/>
      <c r="AF19" s="3">
        <v>-1</v>
      </c>
      <c r="AG19" s="3"/>
      <c r="AH19" s="3"/>
      <c r="AI19" s="3" t="s">
        <v>341</v>
      </c>
      <c r="AJ19" s="3"/>
      <c r="AK19" s="3" t="s">
        <v>2594</v>
      </c>
      <c r="AL19" s="3" t="s">
        <v>353</v>
      </c>
      <c r="AM19" s="3"/>
      <c r="AN19" s="3">
        <v>0</v>
      </c>
      <c r="AO19" s="3">
        <v>0</v>
      </c>
      <c r="AP19" s="3"/>
      <c r="AQ19" s="3"/>
      <c r="AR19" s="3">
        <v>16.94</v>
      </c>
      <c r="AS19" s="3">
        <v>0</v>
      </c>
      <c r="AT19" s="3">
        <v>0</v>
      </c>
      <c r="AU19" s="3">
        <v>0</v>
      </c>
      <c r="AV19" s="3">
        <v>0</v>
      </c>
      <c r="AW19" s="3"/>
      <c r="AX19" s="3"/>
      <c r="AY19" s="3"/>
      <c r="AZ19" s="3">
        <v>0</v>
      </c>
      <c r="BA19" s="3"/>
      <c r="BB19" s="3"/>
      <c r="BC19" s="3">
        <v>0</v>
      </c>
      <c r="BD19" s="3">
        <v>0</v>
      </c>
      <c r="BE19" s="3">
        <v>0</v>
      </c>
      <c r="BF19" s="3">
        <v>0</v>
      </c>
      <c r="BG19" s="3">
        <v>0</v>
      </c>
      <c r="BH19" s="3">
        <v>0</v>
      </c>
      <c r="BI19" s="3"/>
      <c r="BJ19" s="3"/>
      <c r="BK19" s="3"/>
      <c r="BL19" s="3"/>
      <c r="BM19" s="3"/>
      <c r="BN19" s="3"/>
      <c r="BO19" s="3"/>
      <c r="BP19" s="3"/>
      <c r="BQ19" s="3"/>
      <c r="BR19" s="3"/>
      <c r="BS19" s="3"/>
      <c r="BT19" s="3"/>
      <c r="BU19" s="3"/>
      <c r="BV19" s="3">
        <v>0</v>
      </c>
      <c r="BW19" s="3"/>
      <c r="BX19" s="3">
        <v>0</v>
      </c>
      <c r="BY19" s="3"/>
      <c r="BZ19" s="3"/>
      <c r="CA19" s="3"/>
      <c r="CB19" s="3"/>
      <c r="CC19" s="3"/>
      <c r="CD19" s="3"/>
      <c r="CE19" s="3"/>
      <c r="CF19" s="3">
        <v>0</v>
      </c>
      <c r="CG19" s="3">
        <v>0</v>
      </c>
      <c r="CH19" s="3">
        <v>0</v>
      </c>
      <c r="CI19" s="3">
        <v>0</v>
      </c>
      <c r="CJ19" s="3">
        <v>0</v>
      </c>
      <c r="CK19" s="3" t="s">
        <v>348</v>
      </c>
      <c r="CL19" s="3"/>
      <c r="CM19" s="3"/>
      <c r="CN19" s="3"/>
    </row>
    <row r="20" spans="1:92">
      <c r="A20" s="4">
        <v>46190</v>
      </c>
      <c r="B20" s="3" t="s">
        <v>2644</v>
      </c>
      <c r="C20" s="3" t="s">
        <v>120</v>
      </c>
      <c r="D20" s="3" t="s">
        <v>2645</v>
      </c>
      <c r="E20" s="3" t="s">
        <v>2646</v>
      </c>
      <c r="F20" s="3"/>
      <c r="G20" s="3">
        <v>0</v>
      </c>
      <c r="H20" s="3">
        <v>0</v>
      </c>
      <c r="I20" s="3">
        <v>-1</v>
      </c>
      <c r="J20" s="3"/>
      <c r="K20" s="3"/>
      <c r="L20" s="3"/>
      <c r="M20" s="3"/>
      <c r="N20" s="3"/>
      <c r="O20" s="3"/>
      <c r="P20" s="3" t="s">
        <v>2592</v>
      </c>
      <c r="Q20" s="3"/>
      <c r="R20" s="3"/>
      <c r="S20" s="3"/>
      <c r="T20" s="3"/>
      <c r="U20" s="3"/>
      <c r="V20" s="3">
        <v>0</v>
      </c>
      <c r="W20" s="3">
        <v>0</v>
      </c>
      <c r="X20" s="3">
        <v>0</v>
      </c>
      <c r="Y20" s="3">
        <v>0</v>
      </c>
      <c r="Z20" s="3" t="s">
        <v>359</v>
      </c>
      <c r="AA20" s="3"/>
      <c r="AB20" s="3"/>
      <c r="AC20" s="3">
        <v>0</v>
      </c>
      <c r="AD20" s="3">
        <v>0</v>
      </c>
      <c r="AE20" s="3"/>
      <c r="AF20" s="3">
        <v>-1</v>
      </c>
      <c r="AG20" s="3"/>
      <c r="AH20" s="3"/>
      <c r="AI20" s="3" t="s">
        <v>341</v>
      </c>
      <c r="AJ20" s="3"/>
      <c r="AK20" s="3" t="s">
        <v>2594</v>
      </c>
      <c r="AL20" s="3" t="s">
        <v>353</v>
      </c>
      <c r="AM20" s="3"/>
      <c r="AN20" s="3">
        <v>0</v>
      </c>
      <c r="AO20" s="3">
        <v>0</v>
      </c>
      <c r="AP20" s="3"/>
      <c r="AQ20" s="3"/>
      <c r="AR20" s="3">
        <v>105.05</v>
      </c>
      <c r="AS20" s="3"/>
      <c r="AT20" s="3"/>
      <c r="AU20" s="3"/>
      <c r="AV20" s="3"/>
      <c r="AW20" s="3"/>
      <c r="AX20" s="3"/>
      <c r="AY20" s="3"/>
      <c r="AZ20" s="3">
        <v>0</v>
      </c>
      <c r="BA20" s="3"/>
      <c r="BB20" s="3"/>
      <c r="BC20" s="3">
        <v>0</v>
      </c>
      <c r="BD20" s="3">
        <v>0</v>
      </c>
      <c r="BE20" s="3">
        <v>0</v>
      </c>
      <c r="BF20" s="3">
        <v>0</v>
      </c>
      <c r="BG20" s="3">
        <v>0</v>
      </c>
      <c r="BH20" s="3">
        <v>0</v>
      </c>
      <c r="BI20" s="3"/>
      <c r="BJ20" s="3"/>
      <c r="BK20" s="3"/>
      <c r="BL20" s="3"/>
      <c r="BM20" s="3"/>
      <c r="BN20" s="3"/>
      <c r="BO20" s="3"/>
      <c r="BP20" s="3"/>
      <c r="BQ20" s="3"/>
      <c r="BR20" s="3"/>
      <c r="BS20" s="3"/>
      <c r="BT20" s="3"/>
      <c r="BU20" s="3"/>
      <c r="BV20" s="3">
        <v>0</v>
      </c>
      <c r="BW20" s="3"/>
      <c r="BX20" s="3">
        <v>0</v>
      </c>
      <c r="BY20" s="3"/>
      <c r="BZ20" s="3"/>
      <c r="CA20" s="3"/>
      <c r="CB20" s="3"/>
      <c r="CC20" s="3"/>
      <c r="CD20" s="3"/>
      <c r="CE20" s="3"/>
      <c r="CF20" s="3">
        <v>0</v>
      </c>
      <c r="CG20" s="3">
        <v>0</v>
      </c>
      <c r="CH20" s="3">
        <v>0</v>
      </c>
      <c r="CI20" s="3">
        <v>0</v>
      </c>
      <c r="CJ20" s="3">
        <v>0</v>
      </c>
      <c r="CK20" s="3" t="s">
        <v>348</v>
      </c>
      <c r="CL20" s="3"/>
      <c r="CM20" s="3"/>
      <c r="CN20" s="3"/>
    </row>
    <row r="21" spans="1:92">
      <c r="A21" s="4">
        <v>46190</v>
      </c>
      <c r="B21" s="3" t="s">
        <v>2647</v>
      </c>
      <c r="C21" s="3" t="s">
        <v>121</v>
      </c>
      <c r="D21" s="3" t="s">
        <v>2648</v>
      </c>
      <c r="E21" s="3" t="s">
        <v>2649</v>
      </c>
      <c r="F21" s="3"/>
      <c r="G21" s="3">
        <v>0</v>
      </c>
      <c r="H21" s="3">
        <v>0</v>
      </c>
      <c r="I21" s="3">
        <v>-1</v>
      </c>
      <c r="J21" s="3"/>
      <c r="K21" s="3"/>
      <c r="L21" s="3"/>
      <c r="M21" s="3"/>
      <c r="N21" s="3"/>
      <c r="O21" s="3"/>
      <c r="P21" s="3" t="s">
        <v>2592</v>
      </c>
      <c r="Q21" s="3"/>
      <c r="R21" s="3"/>
      <c r="S21" s="3"/>
      <c r="T21" s="3"/>
      <c r="U21" s="3"/>
      <c r="V21" s="3">
        <v>0</v>
      </c>
      <c r="W21" s="3">
        <v>0</v>
      </c>
      <c r="X21" s="3">
        <v>0</v>
      </c>
      <c r="Y21" s="3">
        <v>0</v>
      </c>
      <c r="Z21" s="3" t="s">
        <v>359</v>
      </c>
      <c r="AA21" s="3"/>
      <c r="AB21" s="3"/>
      <c r="AC21" s="3">
        <v>0</v>
      </c>
      <c r="AD21" s="3">
        <v>0</v>
      </c>
      <c r="AE21" s="3"/>
      <c r="AF21" s="3">
        <v>-1</v>
      </c>
      <c r="AG21" s="3"/>
      <c r="AH21" s="3"/>
      <c r="AI21" s="3" t="s">
        <v>341</v>
      </c>
      <c r="AJ21" s="3"/>
      <c r="AK21" s="3" t="s">
        <v>2594</v>
      </c>
      <c r="AL21" s="3" t="s">
        <v>465</v>
      </c>
      <c r="AM21" s="3"/>
      <c r="AN21" s="3">
        <v>0</v>
      </c>
      <c r="AO21" s="3">
        <v>0</v>
      </c>
      <c r="AP21" s="3"/>
      <c r="AQ21" s="3"/>
      <c r="AR21" s="3">
        <v>21.2</v>
      </c>
      <c r="AS21" s="3"/>
      <c r="AT21" s="3"/>
      <c r="AU21" s="3"/>
      <c r="AV21" s="3"/>
      <c r="AW21" s="3"/>
      <c r="AX21" s="3"/>
      <c r="AY21" s="3"/>
      <c r="AZ21" s="3">
        <v>0</v>
      </c>
      <c r="BA21" s="3"/>
      <c r="BB21" s="3"/>
      <c r="BC21" s="3">
        <v>0</v>
      </c>
      <c r="BD21" s="3">
        <v>0</v>
      </c>
      <c r="BE21" s="3">
        <v>0</v>
      </c>
      <c r="BF21" s="3">
        <v>0</v>
      </c>
      <c r="BG21" s="3">
        <v>0</v>
      </c>
      <c r="BH21" s="3">
        <v>0</v>
      </c>
      <c r="BI21" s="3"/>
      <c r="BJ21" s="3"/>
      <c r="BK21" s="3"/>
      <c r="BL21" s="3"/>
      <c r="BM21" s="3"/>
      <c r="BN21" s="3"/>
      <c r="BO21" s="3"/>
      <c r="BP21" s="3"/>
      <c r="BQ21" s="3"/>
      <c r="BR21" s="3"/>
      <c r="BS21" s="3"/>
      <c r="BT21" s="3"/>
      <c r="BU21" s="3"/>
      <c r="BV21" s="3">
        <v>0</v>
      </c>
      <c r="BW21" s="3"/>
      <c r="BX21" s="3">
        <v>0</v>
      </c>
      <c r="BY21" s="3"/>
      <c r="BZ21" s="3"/>
      <c r="CA21" s="3"/>
      <c r="CB21" s="3"/>
      <c r="CC21" s="3"/>
      <c r="CD21" s="3"/>
      <c r="CE21" s="3"/>
      <c r="CF21" s="3">
        <v>0</v>
      </c>
      <c r="CG21" s="3">
        <v>0</v>
      </c>
      <c r="CH21" s="3">
        <v>0</v>
      </c>
      <c r="CI21" s="3">
        <v>0</v>
      </c>
      <c r="CJ21" s="3">
        <v>0</v>
      </c>
      <c r="CK21" s="3" t="s">
        <v>348</v>
      </c>
      <c r="CL21" s="3"/>
      <c r="CM21" s="3"/>
      <c r="CN21" s="3"/>
    </row>
    <row r="22" spans="1:92">
      <c r="A22" s="4">
        <v>46190</v>
      </c>
      <c r="B22" s="3" t="s">
        <v>2650</v>
      </c>
      <c r="C22" s="3" t="s">
        <v>122</v>
      </c>
      <c r="D22" s="3" t="s">
        <v>2651</v>
      </c>
      <c r="E22" s="3" t="s">
        <v>2652</v>
      </c>
      <c r="F22" s="3"/>
      <c r="G22" s="3">
        <v>0</v>
      </c>
      <c r="H22" s="3">
        <v>0</v>
      </c>
      <c r="I22" s="3">
        <v>-1</v>
      </c>
      <c r="J22" s="3"/>
      <c r="K22" s="3"/>
      <c r="L22" s="3"/>
      <c r="M22" s="3"/>
      <c r="N22" s="3"/>
      <c r="O22" s="3"/>
      <c r="P22" s="3" t="s">
        <v>2592</v>
      </c>
      <c r="Q22" s="3"/>
      <c r="R22" s="3"/>
      <c r="S22" s="3"/>
      <c r="T22" s="3"/>
      <c r="U22" s="3"/>
      <c r="V22" s="3">
        <v>0</v>
      </c>
      <c r="W22" s="3">
        <v>0</v>
      </c>
      <c r="X22" s="3">
        <v>0</v>
      </c>
      <c r="Y22" s="3">
        <v>0</v>
      </c>
      <c r="Z22" s="3" t="s">
        <v>359</v>
      </c>
      <c r="AA22" s="3"/>
      <c r="AB22" s="3"/>
      <c r="AC22" s="3">
        <v>0</v>
      </c>
      <c r="AD22" s="3">
        <v>0</v>
      </c>
      <c r="AE22" s="3"/>
      <c r="AF22" s="3">
        <v>-1</v>
      </c>
      <c r="AG22" s="3"/>
      <c r="AH22" s="3"/>
      <c r="AI22" s="3" t="s">
        <v>341</v>
      </c>
      <c r="AJ22" s="3"/>
      <c r="AK22" s="3" t="s">
        <v>2594</v>
      </c>
      <c r="AL22" s="3" t="s">
        <v>465</v>
      </c>
      <c r="AM22" s="3"/>
      <c r="AN22" s="3"/>
      <c r="AO22" s="3">
        <v>0</v>
      </c>
      <c r="AP22" s="3"/>
      <c r="AQ22" s="3"/>
      <c r="AR22" s="3">
        <v>28.99</v>
      </c>
      <c r="AS22" s="3"/>
      <c r="AT22" s="3"/>
      <c r="AU22" s="3"/>
      <c r="AV22" s="3"/>
      <c r="AW22" s="3"/>
      <c r="AX22" s="3"/>
      <c r="AY22" s="3"/>
      <c r="AZ22" s="3">
        <v>0</v>
      </c>
      <c r="BA22" s="3"/>
      <c r="BB22" s="3"/>
      <c r="BC22" s="3">
        <v>0</v>
      </c>
      <c r="BD22" s="3">
        <v>0</v>
      </c>
      <c r="BE22" s="3">
        <v>0</v>
      </c>
      <c r="BF22" s="3">
        <v>0</v>
      </c>
      <c r="BG22" s="3">
        <v>0</v>
      </c>
      <c r="BH22" s="3">
        <v>0</v>
      </c>
      <c r="BI22" s="3"/>
      <c r="BJ22" s="3"/>
      <c r="BK22" s="3"/>
      <c r="BL22" s="3"/>
      <c r="BM22" s="3"/>
      <c r="BN22" s="3"/>
      <c r="BO22" s="3"/>
      <c r="BP22" s="3"/>
      <c r="BQ22" s="3"/>
      <c r="BR22" s="3"/>
      <c r="BS22" s="3"/>
      <c r="BT22" s="3"/>
      <c r="BU22" s="3"/>
      <c r="BV22" s="3"/>
      <c r="BW22" s="3"/>
      <c r="BX22" s="3"/>
      <c r="BY22" s="3"/>
      <c r="BZ22" s="3"/>
      <c r="CA22" s="3"/>
      <c r="CB22" s="3"/>
      <c r="CC22" s="3"/>
      <c r="CD22" s="3"/>
      <c r="CE22" s="3"/>
      <c r="CF22" s="3">
        <v>0</v>
      </c>
      <c r="CG22" s="3">
        <v>0</v>
      </c>
      <c r="CH22" s="3">
        <v>0</v>
      </c>
      <c r="CI22" s="3">
        <v>0</v>
      </c>
      <c r="CJ22" s="3"/>
      <c r="CK22" s="3" t="s">
        <v>348</v>
      </c>
      <c r="CL22" s="3"/>
      <c r="CM22" s="3"/>
      <c r="CN22" s="3"/>
    </row>
    <row r="23" spans="1:92">
      <c r="A23" s="4">
        <v>46190</v>
      </c>
      <c r="B23" s="3" t="s">
        <v>2653</v>
      </c>
      <c r="C23" s="3" t="s">
        <v>123</v>
      </c>
      <c r="D23" s="3" t="s">
        <v>2654</v>
      </c>
      <c r="E23" s="3" t="s">
        <v>2655</v>
      </c>
      <c r="F23" s="3"/>
      <c r="G23" s="3">
        <v>0</v>
      </c>
      <c r="H23" s="3">
        <v>0</v>
      </c>
      <c r="I23" s="3">
        <v>-1</v>
      </c>
      <c r="J23" s="3"/>
      <c r="K23" s="3"/>
      <c r="L23" s="3"/>
      <c r="M23" s="3"/>
      <c r="N23" s="3"/>
      <c r="O23" s="3"/>
      <c r="P23" s="3" t="s">
        <v>2592</v>
      </c>
      <c r="Q23" s="3"/>
      <c r="R23" s="3"/>
      <c r="S23" s="3"/>
      <c r="T23" s="3"/>
      <c r="U23" s="3"/>
      <c r="V23" s="3">
        <v>0</v>
      </c>
      <c r="W23" s="3">
        <v>0</v>
      </c>
      <c r="X23" s="3">
        <v>0</v>
      </c>
      <c r="Y23" s="3">
        <v>0</v>
      </c>
      <c r="Z23" s="3" t="s">
        <v>359</v>
      </c>
      <c r="AA23" s="3"/>
      <c r="AB23" s="3"/>
      <c r="AC23" s="3">
        <v>0</v>
      </c>
      <c r="AD23" s="3">
        <v>0</v>
      </c>
      <c r="AE23" s="3"/>
      <c r="AF23" s="3">
        <v>-1</v>
      </c>
      <c r="AG23" s="3"/>
      <c r="AH23" s="3"/>
      <c r="AI23" s="3" t="s">
        <v>341</v>
      </c>
      <c r="AJ23" s="3"/>
      <c r="AK23" s="3" t="s">
        <v>2594</v>
      </c>
      <c r="AL23" s="3" t="s">
        <v>353</v>
      </c>
      <c r="AM23" s="3"/>
      <c r="AN23" s="3">
        <v>0</v>
      </c>
      <c r="AO23" s="3">
        <v>0</v>
      </c>
      <c r="AP23" s="3"/>
      <c r="AQ23" s="3"/>
      <c r="AR23" s="3">
        <v>113.47</v>
      </c>
      <c r="AS23" s="3"/>
      <c r="AT23" s="3"/>
      <c r="AU23" s="3"/>
      <c r="AV23" s="3"/>
      <c r="AW23" s="3"/>
      <c r="AX23" s="3"/>
      <c r="AY23" s="3"/>
      <c r="AZ23" s="3">
        <v>0</v>
      </c>
      <c r="BA23" s="3"/>
      <c r="BB23" s="3"/>
      <c r="BC23" s="3">
        <v>0</v>
      </c>
      <c r="BD23" s="3">
        <v>0</v>
      </c>
      <c r="BE23" s="3">
        <v>0</v>
      </c>
      <c r="BF23" s="3">
        <v>0</v>
      </c>
      <c r="BG23" s="3">
        <v>0</v>
      </c>
      <c r="BH23" s="3">
        <v>0</v>
      </c>
      <c r="BI23" s="3"/>
      <c r="BJ23" s="3"/>
      <c r="BK23" s="3"/>
      <c r="BL23" s="3"/>
      <c r="BM23" s="3"/>
      <c r="BN23" s="3"/>
      <c r="BO23" s="3"/>
      <c r="BP23" s="3"/>
      <c r="BQ23" s="3"/>
      <c r="BR23" s="3"/>
      <c r="BS23" s="3"/>
      <c r="BT23" s="3"/>
      <c r="BU23" s="3"/>
      <c r="BV23" s="3">
        <v>0</v>
      </c>
      <c r="BW23" s="3"/>
      <c r="BX23" s="3">
        <v>0</v>
      </c>
      <c r="BY23" s="3"/>
      <c r="BZ23" s="3"/>
      <c r="CA23" s="3"/>
      <c r="CB23" s="3"/>
      <c r="CC23" s="3"/>
      <c r="CD23" s="3"/>
      <c r="CE23" s="3"/>
      <c r="CF23" s="3">
        <v>0</v>
      </c>
      <c r="CG23" s="3">
        <v>0</v>
      </c>
      <c r="CH23" s="3">
        <v>0</v>
      </c>
      <c r="CI23" s="3">
        <v>0</v>
      </c>
      <c r="CJ23" s="3">
        <v>0</v>
      </c>
      <c r="CK23" s="3" t="s">
        <v>348</v>
      </c>
      <c r="CL23" s="3"/>
      <c r="CM23" s="3"/>
      <c r="CN23" s="3"/>
    </row>
    <row r="24" spans="1:92">
      <c r="A24" s="4">
        <v>46190</v>
      </c>
      <c r="B24" s="3" t="s">
        <v>2656</v>
      </c>
      <c r="C24" s="3" t="s">
        <v>124</v>
      </c>
      <c r="D24" s="3" t="s">
        <v>132</v>
      </c>
      <c r="E24" s="3" t="s">
        <v>2657</v>
      </c>
      <c r="F24" s="3" t="s">
        <v>337</v>
      </c>
      <c r="G24" s="3">
        <v>1</v>
      </c>
      <c r="H24" s="3">
        <v>0</v>
      </c>
      <c r="I24" s="3">
        <v>0</v>
      </c>
      <c r="J24" s="3">
        <v>0</v>
      </c>
      <c r="K24" s="3">
        <v>1</v>
      </c>
      <c r="L24" s="3">
        <v>3</v>
      </c>
      <c r="M24" s="3">
        <v>0</v>
      </c>
      <c r="N24" s="3">
        <v>0</v>
      </c>
      <c r="O24" s="3">
        <v>0</v>
      </c>
      <c r="P24" s="3" t="s">
        <v>2592</v>
      </c>
      <c r="Q24" s="3"/>
      <c r="R24" s="3"/>
      <c r="S24" s="3"/>
      <c r="T24" s="3"/>
      <c r="U24" s="3" t="s">
        <v>351</v>
      </c>
      <c r="V24" s="3">
        <v>105.99</v>
      </c>
      <c r="W24" s="3">
        <v>0</v>
      </c>
      <c r="X24" s="3">
        <v>89.99</v>
      </c>
      <c r="Y24" s="3">
        <v>0</v>
      </c>
      <c r="Z24" s="3" t="s">
        <v>391</v>
      </c>
      <c r="AA24" s="3">
        <v>0</v>
      </c>
      <c r="AB24" s="3">
        <v>101.99</v>
      </c>
      <c r="AC24" s="3">
        <v>9</v>
      </c>
      <c r="AD24" s="3">
        <v>0</v>
      </c>
      <c r="AE24" s="3">
        <v>240.46</v>
      </c>
      <c r="AF24" s="3">
        <v>0</v>
      </c>
      <c r="AG24" s="3">
        <v>0.031463</v>
      </c>
      <c r="AH24" s="3" t="s">
        <v>2593</v>
      </c>
      <c r="AI24" s="3" t="s">
        <v>341</v>
      </c>
      <c r="AJ24" s="3">
        <v>0.031463</v>
      </c>
      <c r="AK24" s="3" t="s">
        <v>2594</v>
      </c>
      <c r="AL24" s="3" t="s">
        <v>353</v>
      </c>
      <c r="AM24" s="3"/>
      <c r="AN24" s="3">
        <v>366</v>
      </c>
      <c r="AO24" s="3">
        <v>1</v>
      </c>
      <c r="AP24" s="3"/>
      <c r="AQ24" s="3"/>
      <c r="AR24" s="3">
        <v>89.99</v>
      </c>
      <c r="AS24" s="3"/>
      <c r="AT24" s="3"/>
      <c r="AU24" s="3"/>
      <c r="AV24" s="3"/>
      <c r="AW24" s="3">
        <v>0</v>
      </c>
      <c r="AX24" s="3">
        <v>0</v>
      </c>
      <c r="AY24" s="3">
        <v>0</v>
      </c>
      <c r="AZ24" s="3">
        <v>3</v>
      </c>
      <c r="BA24" s="3">
        <v>0</v>
      </c>
      <c r="BB24" s="3">
        <v>1.29</v>
      </c>
      <c r="BC24" s="3">
        <v>0</v>
      </c>
      <c r="BD24" s="3">
        <v>0</v>
      </c>
      <c r="BE24" s="3">
        <v>0</v>
      </c>
      <c r="BF24" s="3">
        <v>0</v>
      </c>
      <c r="BG24" s="3">
        <v>0</v>
      </c>
      <c r="BH24" s="3">
        <v>0</v>
      </c>
      <c r="BI24" s="3"/>
      <c r="BJ24" s="3"/>
      <c r="BK24" s="3"/>
      <c r="BL24" s="3"/>
      <c r="BM24" s="3"/>
      <c r="BN24" s="3"/>
      <c r="BO24" s="3"/>
      <c r="BP24" s="3"/>
      <c r="BQ24" s="3"/>
      <c r="BR24" s="3"/>
      <c r="BS24" s="3"/>
      <c r="BT24" s="3"/>
      <c r="BU24" s="3"/>
      <c r="BV24" s="3">
        <v>0</v>
      </c>
      <c r="BW24" s="3"/>
      <c r="BX24" s="3">
        <v>0</v>
      </c>
      <c r="BY24" s="3"/>
      <c r="BZ24" s="3"/>
      <c r="CA24" s="3"/>
      <c r="CB24" s="3"/>
      <c r="CC24" s="3"/>
      <c r="CD24" s="3"/>
      <c r="CE24" s="4">
        <v>46188</v>
      </c>
      <c r="CF24" s="3">
        <v>1</v>
      </c>
      <c r="CG24" s="3">
        <v>0</v>
      </c>
      <c r="CH24" s="3">
        <v>0</v>
      </c>
      <c r="CI24" s="3">
        <v>0</v>
      </c>
      <c r="CJ24" s="3">
        <v>366</v>
      </c>
      <c r="CK24" s="3" t="s">
        <v>348</v>
      </c>
      <c r="CL24" s="3"/>
      <c r="CM24" s="3"/>
      <c r="CN24" s="3"/>
    </row>
    <row r="25" spans="1:92">
      <c r="A25" s="4">
        <v>46190</v>
      </c>
      <c r="B25" s="3" t="s">
        <v>2658</v>
      </c>
      <c r="C25" s="3" t="s">
        <v>125</v>
      </c>
      <c r="D25" s="3" t="s">
        <v>2659</v>
      </c>
      <c r="E25" s="3" t="s">
        <v>2660</v>
      </c>
      <c r="F25" s="3"/>
      <c r="G25" s="3"/>
      <c r="H25" s="3"/>
      <c r="I25" s="3">
        <v>-1</v>
      </c>
      <c r="J25" s="3"/>
      <c r="K25" s="3"/>
      <c r="L25" s="3"/>
      <c r="M25" s="3"/>
      <c r="N25" s="3"/>
      <c r="O25" s="3"/>
      <c r="P25" s="3" t="s">
        <v>2592</v>
      </c>
      <c r="Q25" s="3"/>
      <c r="R25" s="3"/>
      <c r="S25" s="3"/>
      <c r="T25" s="3"/>
      <c r="U25" s="3"/>
      <c r="V25" s="3">
        <v>0</v>
      </c>
      <c r="W25" s="3">
        <v>0</v>
      </c>
      <c r="X25" s="3">
        <v>0</v>
      </c>
      <c r="Y25" s="3">
        <v>0</v>
      </c>
      <c r="Z25" s="3" t="s">
        <v>359</v>
      </c>
      <c r="AA25" s="3"/>
      <c r="AB25" s="3"/>
      <c r="AC25" s="3">
        <v>0</v>
      </c>
      <c r="AD25" s="3">
        <v>0</v>
      </c>
      <c r="AE25" s="3"/>
      <c r="AF25" s="3">
        <v>-1</v>
      </c>
      <c r="AG25" s="3"/>
      <c r="AH25" s="3"/>
      <c r="AI25" s="3"/>
      <c r="AJ25" s="3"/>
      <c r="AK25" s="3" t="s">
        <v>2594</v>
      </c>
      <c r="AL25" s="3" t="s">
        <v>353</v>
      </c>
      <c r="AM25" s="3"/>
      <c r="AN25" s="3">
        <v>0</v>
      </c>
      <c r="AO25" s="3">
        <v>0</v>
      </c>
      <c r="AP25" s="3"/>
      <c r="AQ25" s="3"/>
      <c r="AR25" s="3">
        <v>17.99</v>
      </c>
      <c r="AS25" s="3"/>
      <c r="AT25" s="3"/>
      <c r="AU25" s="3"/>
      <c r="AV25" s="3"/>
      <c r="AW25" s="3"/>
      <c r="AX25" s="3"/>
      <c r="AY25" s="3"/>
      <c r="AZ25" s="3">
        <v>0</v>
      </c>
      <c r="BA25" s="3"/>
      <c r="BB25" s="3"/>
      <c r="BC25" s="3">
        <v>0</v>
      </c>
      <c r="BD25" s="3"/>
      <c r="BE25" s="3"/>
      <c r="BF25" s="3"/>
      <c r="BG25" s="3">
        <v>0</v>
      </c>
      <c r="BH25" s="3"/>
      <c r="BI25" s="3"/>
      <c r="BJ25" s="3"/>
      <c r="BK25" s="3"/>
      <c r="BL25" s="3"/>
      <c r="BM25" s="3"/>
      <c r="BN25" s="3"/>
      <c r="BO25" s="3"/>
      <c r="BP25" s="3"/>
      <c r="BQ25" s="3"/>
      <c r="BR25" s="3"/>
      <c r="BS25" s="3"/>
      <c r="BT25" s="3"/>
      <c r="BU25" s="3"/>
      <c r="BV25" s="3">
        <v>0</v>
      </c>
      <c r="BW25" s="3"/>
      <c r="BX25" s="3">
        <v>0</v>
      </c>
      <c r="BY25" s="3"/>
      <c r="BZ25" s="3"/>
      <c r="CA25" s="3"/>
      <c r="CB25" s="3"/>
      <c r="CC25" s="3"/>
      <c r="CD25" s="3"/>
      <c r="CE25" s="3"/>
      <c r="CF25" s="3">
        <v>0</v>
      </c>
      <c r="CG25" s="3">
        <v>0</v>
      </c>
      <c r="CH25" s="3"/>
      <c r="CI25" s="3">
        <v>0</v>
      </c>
      <c r="CJ25" s="3">
        <v>0</v>
      </c>
      <c r="CK25" s="3" t="s">
        <v>348</v>
      </c>
      <c r="CL25" s="3"/>
      <c r="CM25" s="3"/>
      <c r="CN25" s="3"/>
    </row>
    <row r="26" spans="1:92">
      <c r="A26" s="4">
        <v>46190</v>
      </c>
      <c r="B26" s="3" t="s">
        <v>2661</v>
      </c>
      <c r="C26" s="3" t="s">
        <v>126</v>
      </c>
      <c r="D26" s="3" t="s">
        <v>2662</v>
      </c>
      <c r="E26" s="3" t="s">
        <v>2663</v>
      </c>
      <c r="F26" s="3"/>
      <c r="G26" s="3"/>
      <c r="H26" s="3"/>
      <c r="I26" s="3">
        <v>-1</v>
      </c>
      <c r="J26" s="3"/>
      <c r="K26" s="3"/>
      <c r="L26" s="3"/>
      <c r="M26" s="3"/>
      <c r="N26" s="3"/>
      <c r="O26" s="3"/>
      <c r="P26" s="3" t="s">
        <v>2592</v>
      </c>
      <c r="Q26" s="3"/>
      <c r="R26" s="3"/>
      <c r="S26" s="3"/>
      <c r="T26" s="3"/>
      <c r="U26" s="3"/>
      <c r="V26" s="3">
        <v>0</v>
      </c>
      <c r="W26" s="3">
        <v>0</v>
      </c>
      <c r="X26" s="3">
        <v>0</v>
      </c>
      <c r="Y26" s="3">
        <v>0</v>
      </c>
      <c r="Z26" s="3" t="s">
        <v>359</v>
      </c>
      <c r="AA26" s="3"/>
      <c r="AB26" s="3"/>
      <c r="AC26" s="3">
        <v>0</v>
      </c>
      <c r="AD26" s="3">
        <v>0</v>
      </c>
      <c r="AE26" s="3"/>
      <c r="AF26" s="3">
        <v>-1</v>
      </c>
      <c r="AG26" s="3"/>
      <c r="AH26" s="3"/>
      <c r="AI26" s="3"/>
      <c r="AJ26" s="3"/>
      <c r="AK26" s="3" t="s">
        <v>2594</v>
      </c>
      <c r="AL26" s="3" t="s">
        <v>353</v>
      </c>
      <c r="AM26" s="3"/>
      <c r="AN26" s="3">
        <v>0</v>
      </c>
      <c r="AO26" s="3">
        <v>0</v>
      </c>
      <c r="AP26" s="3"/>
      <c r="AQ26" s="3"/>
      <c r="AR26" s="3">
        <v>15.99</v>
      </c>
      <c r="AS26" s="3"/>
      <c r="AT26" s="3"/>
      <c r="AU26" s="3"/>
      <c r="AV26" s="3"/>
      <c r="AW26" s="3"/>
      <c r="AX26" s="3"/>
      <c r="AY26" s="3"/>
      <c r="AZ26" s="3">
        <v>0</v>
      </c>
      <c r="BA26" s="3"/>
      <c r="BB26" s="3"/>
      <c r="BC26" s="3">
        <v>0</v>
      </c>
      <c r="BD26" s="3"/>
      <c r="BE26" s="3"/>
      <c r="BF26" s="3"/>
      <c r="BG26" s="3">
        <v>0</v>
      </c>
      <c r="BH26" s="3"/>
      <c r="BI26" s="3"/>
      <c r="BJ26" s="3"/>
      <c r="BK26" s="3"/>
      <c r="BL26" s="3"/>
      <c r="BM26" s="3"/>
      <c r="BN26" s="3"/>
      <c r="BO26" s="3"/>
      <c r="BP26" s="3"/>
      <c r="BQ26" s="3"/>
      <c r="BR26" s="3"/>
      <c r="BS26" s="3"/>
      <c r="BT26" s="3"/>
      <c r="BU26" s="3"/>
      <c r="BV26" s="3">
        <v>0</v>
      </c>
      <c r="BW26" s="3"/>
      <c r="BX26" s="3">
        <v>0</v>
      </c>
      <c r="BY26" s="3"/>
      <c r="BZ26" s="3"/>
      <c r="CA26" s="3"/>
      <c r="CB26" s="3"/>
      <c r="CC26" s="3"/>
      <c r="CD26" s="3"/>
      <c r="CE26" s="3"/>
      <c r="CF26" s="3">
        <v>0</v>
      </c>
      <c r="CG26" s="3">
        <v>0</v>
      </c>
      <c r="CH26" s="3"/>
      <c r="CI26" s="3">
        <v>0</v>
      </c>
      <c r="CJ26" s="3">
        <v>0</v>
      </c>
      <c r="CK26" s="3" t="s">
        <v>348</v>
      </c>
      <c r="CL26" s="3"/>
      <c r="CM26" s="3"/>
      <c r="CN26" s="3"/>
    </row>
    <row r="27" spans="1:92">
      <c r="A27" s="4">
        <v>46190</v>
      </c>
      <c r="B27" s="3" t="s">
        <v>2664</v>
      </c>
      <c r="C27" s="3" t="s">
        <v>116</v>
      </c>
      <c r="D27" s="3" t="s">
        <v>116</v>
      </c>
      <c r="E27" s="3" t="s">
        <v>2634</v>
      </c>
      <c r="F27" s="3"/>
      <c r="G27" s="3"/>
      <c r="H27" s="3"/>
      <c r="I27" s="3">
        <v>-1</v>
      </c>
      <c r="J27" s="3"/>
      <c r="K27" s="3"/>
      <c r="L27" s="3"/>
      <c r="M27" s="3"/>
      <c r="N27" s="3"/>
      <c r="O27" s="3"/>
      <c r="P27" s="3" t="s">
        <v>2592</v>
      </c>
      <c r="Q27" s="3"/>
      <c r="R27" s="3"/>
      <c r="S27" s="3"/>
      <c r="T27" s="3"/>
      <c r="U27" s="3"/>
      <c r="V27" s="3">
        <v>0</v>
      </c>
      <c r="W27" s="3">
        <v>0</v>
      </c>
      <c r="X27" s="3">
        <v>0</v>
      </c>
      <c r="Y27" s="3">
        <v>0</v>
      </c>
      <c r="Z27" s="3" t="s">
        <v>359</v>
      </c>
      <c r="AA27" s="3"/>
      <c r="AB27" s="3"/>
      <c r="AC27" s="3">
        <v>0</v>
      </c>
      <c r="AD27" s="3">
        <v>0</v>
      </c>
      <c r="AE27" s="3"/>
      <c r="AF27" s="3">
        <v>-1</v>
      </c>
      <c r="AG27" s="3"/>
      <c r="AH27" s="3"/>
      <c r="AI27" s="3"/>
      <c r="AJ27" s="3"/>
      <c r="AK27" s="3" t="s">
        <v>2594</v>
      </c>
      <c r="AL27" s="3" t="s">
        <v>465</v>
      </c>
      <c r="AM27" s="3">
        <v>675064</v>
      </c>
      <c r="AN27" s="3">
        <v>0</v>
      </c>
      <c r="AO27" s="3">
        <v>0</v>
      </c>
      <c r="AP27" s="3"/>
      <c r="AQ27" s="3"/>
      <c r="AR27" s="3">
        <v>55.35</v>
      </c>
      <c r="AS27" s="3"/>
      <c r="AT27" s="3"/>
      <c r="AU27" s="3"/>
      <c r="AV27" s="3"/>
      <c r="AW27" s="3"/>
      <c r="AX27" s="3"/>
      <c r="AY27" s="3"/>
      <c r="AZ27" s="3">
        <v>0</v>
      </c>
      <c r="BA27" s="3"/>
      <c r="BB27" s="3"/>
      <c r="BC27" s="3">
        <v>0</v>
      </c>
      <c r="BD27" s="3"/>
      <c r="BE27" s="3"/>
      <c r="BF27" s="3"/>
      <c r="BG27" s="3">
        <v>0</v>
      </c>
      <c r="BH27" s="3"/>
      <c r="BI27" s="3"/>
      <c r="BJ27" s="3"/>
      <c r="BK27" s="3"/>
      <c r="BL27" s="3"/>
      <c r="BM27" s="3"/>
      <c r="BN27" s="3"/>
      <c r="BO27" s="3"/>
      <c r="BP27" s="3"/>
      <c r="BQ27" s="3"/>
      <c r="BR27" s="3"/>
      <c r="BS27" s="3"/>
      <c r="BT27" s="3"/>
      <c r="BU27" s="3"/>
      <c r="BV27" s="3">
        <v>0</v>
      </c>
      <c r="BW27" s="3"/>
      <c r="BX27" s="3">
        <v>0</v>
      </c>
      <c r="BY27" s="3"/>
      <c r="BZ27" s="3"/>
      <c r="CA27" s="3"/>
      <c r="CB27" s="3"/>
      <c r="CC27" s="3"/>
      <c r="CD27" s="3"/>
      <c r="CE27" s="3"/>
      <c r="CF27" s="3">
        <v>0</v>
      </c>
      <c r="CG27" s="3">
        <v>0</v>
      </c>
      <c r="CH27" s="3"/>
      <c r="CI27" s="3">
        <v>0</v>
      </c>
      <c r="CJ27" s="3">
        <v>0</v>
      </c>
      <c r="CK27" s="3" t="s">
        <v>348</v>
      </c>
      <c r="CL27" s="3"/>
      <c r="CM27" s="3"/>
      <c r="CN27" s="3"/>
    </row>
    <row r="28" spans="1:92">
      <c r="A28" s="4">
        <v>46190</v>
      </c>
      <c r="B28" s="3" t="s">
        <v>2665</v>
      </c>
      <c r="C28" s="3" t="s">
        <v>127</v>
      </c>
      <c r="D28" s="3" t="s">
        <v>127</v>
      </c>
      <c r="E28" s="3" t="s">
        <v>2666</v>
      </c>
      <c r="F28" s="3"/>
      <c r="G28" s="3"/>
      <c r="H28" s="3"/>
      <c r="I28" s="3">
        <v>-1</v>
      </c>
      <c r="J28" s="3"/>
      <c r="K28" s="3"/>
      <c r="L28" s="3"/>
      <c r="M28" s="3"/>
      <c r="N28" s="3"/>
      <c r="O28" s="3"/>
      <c r="P28" s="3" t="s">
        <v>2592</v>
      </c>
      <c r="Q28" s="3"/>
      <c r="R28" s="3"/>
      <c r="S28" s="3"/>
      <c r="T28" s="3"/>
      <c r="U28" s="3"/>
      <c r="V28" s="3">
        <v>0</v>
      </c>
      <c r="W28" s="3">
        <v>0</v>
      </c>
      <c r="X28" s="3">
        <v>0</v>
      </c>
      <c r="Y28" s="3">
        <v>0</v>
      </c>
      <c r="Z28" s="3" t="s">
        <v>359</v>
      </c>
      <c r="AA28" s="3"/>
      <c r="AB28" s="3"/>
      <c r="AC28" s="3">
        <v>0</v>
      </c>
      <c r="AD28" s="3">
        <v>0</v>
      </c>
      <c r="AE28" s="3"/>
      <c r="AF28" s="3">
        <v>-1</v>
      </c>
      <c r="AG28" s="3"/>
      <c r="AH28" s="3"/>
      <c r="AI28" s="3"/>
      <c r="AJ28" s="3"/>
      <c r="AK28" s="3" t="s">
        <v>2594</v>
      </c>
      <c r="AL28" s="3" t="s">
        <v>465</v>
      </c>
      <c r="AM28" s="3">
        <v>284482</v>
      </c>
      <c r="AN28" s="3">
        <v>0</v>
      </c>
      <c r="AO28" s="3">
        <v>0</v>
      </c>
      <c r="AP28" s="3"/>
      <c r="AQ28" s="3"/>
      <c r="AR28" s="3">
        <v>14.24</v>
      </c>
      <c r="AS28" s="3"/>
      <c r="AT28" s="3"/>
      <c r="AU28" s="3"/>
      <c r="AV28" s="3"/>
      <c r="AW28" s="3"/>
      <c r="AX28" s="3"/>
      <c r="AY28" s="3"/>
      <c r="AZ28" s="3">
        <v>0</v>
      </c>
      <c r="BA28" s="3"/>
      <c r="BB28" s="3"/>
      <c r="BC28" s="3">
        <v>0</v>
      </c>
      <c r="BD28" s="3"/>
      <c r="BE28" s="3"/>
      <c r="BF28" s="3"/>
      <c r="BG28" s="3">
        <v>0</v>
      </c>
      <c r="BH28" s="3"/>
      <c r="BI28" s="3"/>
      <c r="BJ28" s="3"/>
      <c r="BK28" s="3"/>
      <c r="BL28" s="3"/>
      <c r="BM28" s="3"/>
      <c r="BN28" s="3"/>
      <c r="BO28" s="3"/>
      <c r="BP28" s="3"/>
      <c r="BQ28" s="3"/>
      <c r="BR28" s="3"/>
      <c r="BS28" s="3"/>
      <c r="BT28" s="3"/>
      <c r="BU28" s="3"/>
      <c r="BV28" s="3"/>
      <c r="BW28" s="3"/>
      <c r="BX28" s="3"/>
      <c r="BY28" s="3"/>
      <c r="BZ28" s="3"/>
      <c r="CA28" s="3"/>
      <c r="CB28" s="3"/>
      <c r="CC28" s="3"/>
      <c r="CD28" s="3"/>
      <c r="CE28" s="3"/>
      <c r="CF28" s="3">
        <v>0</v>
      </c>
      <c r="CG28" s="3">
        <v>0</v>
      </c>
      <c r="CH28" s="3"/>
      <c r="CI28" s="3">
        <v>0</v>
      </c>
      <c r="CJ28" s="3">
        <v>0</v>
      </c>
      <c r="CK28" s="3" t="s">
        <v>348</v>
      </c>
      <c r="CL28" s="3"/>
      <c r="CM28" s="3"/>
      <c r="CN28" s="3"/>
    </row>
    <row r="29" spans="1:92">
      <c r="A29" s="4">
        <v>46190</v>
      </c>
      <c r="B29" s="3" t="s">
        <v>2667</v>
      </c>
      <c r="C29" s="3" t="s">
        <v>128</v>
      </c>
      <c r="D29" s="3" t="s">
        <v>2668</v>
      </c>
      <c r="E29" s="3" t="s">
        <v>2669</v>
      </c>
      <c r="F29" s="3"/>
      <c r="G29" s="3">
        <v>0</v>
      </c>
      <c r="H29" s="3">
        <v>0</v>
      </c>
      <c r="I29" s="3">
        <v>-1</v>
      </c>
      <c r="J29" s="3"/>
      <c r="K29" s="3"/>
      <c r="L29" s="3"/>
      <c r="M29" s="3"/>
      <c r="N29" s="3"/>
      <c r="O29" s="3"/>
      <c r="P29" s="3" t="s">
        <v>2592</v>
      </c>
      <c r="Q29" s="3">
        <v>0</v>
      </c>
      <c r="R29" s="3">
        <v>0</v>
      </c>
      <c r="S29" s="3">
        <v>0</v>
      </c>
      <c r="T29" s="3">
        <v>0</v>
      </c>
      <c r="U29" s="3"/>
      <c r="V29" s="3">
        <v>0</v>
      </c>
      <c r="W29" s="3">
        <v>0</v>
      </c>
      <c r="X29" s="3">
        <v>0</v>
      </c>
      <c r="Y29" s="3">
        <v>0</v>
      </c>
      <c r="Z29" s="3" t="s">
        <v>359</v>
      </c>
      <c r="AA29" s="3"/>
      <c r="AB29" s="3"/>
      <c r="AC29" s="3">
        <v>0</v>
      </c>
      <c r="AD29" s="3">
        <v>0</v>
      </c>
      <c r="AE29" s="3"/>
      <c r="AF29" s="3">
        <v>-1</v>
      </c>
      <c r="AG29" s="3"/>
      <c r="AH29" s="3"/>
      <c r="AI29" s="3" t="s">
        <v>341</v>
      </c>
      <c r="AJ29" s="3"/>
      <c r="AK29" s="3" t="s">
        <v>2594</v>
      </c>
      <c r="AL29" s="3" t="s">
        <v>353</v>
      </c>
      <c r="AM29" s="3"/>
      <c r="AN29" s="3">
        <v>0</v>
      </c>
      <c r="AO29" s="3">
        <v>0</v>
      </c>
      <c r="AP29" s="3"/>
      <c r="AQ29" s="3"/>
      <c r="AR29" s="3">
        <v>19.19</v>
      </c>
      <c r="AS29" s="3">
        <v>0</v>
      </c>
      <c r="AT29" s="3">
        <v>0</v>
      </c>
      <c r="AU29" s="3">
        <v>0</v>
      </c>
      <c r="AV29" s="3">
        <v>0</v>
      </c>
      <c r="AW29" s="3"/>
      <c r="AX29" s="3"/>
      <c r="AY29" s="3"/>
      <c r="AZ29" s="3">
        <v>0</v>
      </c>
      <c r="BA29" s="3"/>
      <c r="BB29" s="3"/>
      <c r="BC29" s="3">
        <v>0</v>
      </c>
      <c r="BD29" s="3">
        <v>0</v>
      </c>
      <c r="BE29" s="3">
        <v>0</v>
      </c>
      <c r="BF29" s="3">
        <v>0</v>
      </c>
      <c r="BG29" s="3">
        <v>0</v>
      </c>
      <c r="BH29" s="3">
        <v>1</v>
      </c>
      <c r="BI29" s="3"/>
      <c r="BJ29" s="3"/>
      <c r="BK29" s="3"/>
      <c r="BL29" s="3"/>
      <c r="BM29" s="3"/>
      <c r="BN29" s="3"/>
      <c r="BO29" s="3"/>
      <c r="BP29" s="3"/>
      <c r="BQ29" s="3"/>
      <c r="BR29" s="3"/>
      <c r="BS29" s="3"/>
      <c r="BT29" s="3"/>
      <c r="BU29" s="3"/>
      <c r="BV29" s="3">
        <v>0</v>
      </c>
      <c r="BW29" s="3"/>
      <c r="BX29" s="3">
        <v>0</v>
      </c>
      <c r="BY29" s="3"/>
      <c r="BZ29" s="3"/>
      <c r="CA29" s="3"/>
      <c r="CB29" s="3"/>
      <c r="CC29" s="3"/>
      <c r="CD29" s="3"/>
      <c r="CE29" s="3"/>
      <c r="CF29" s="3">
        <v>0</v>
      </c>
      <c r="CG29" s="3">
        <v>0</v>
      </c>
      <c r="CH29" s="3">
        <v>0</v>
      </c>
      <c r="CI29" s="3">
        <v>0</v>
      </c>
      <c r="CJ29" s="3">
        <v>0</v>
      </c>
      <c r="CK29" s="3" t="s">
        <v>348</v>
      </c>
      <c r="CL29" s="3"/>
      <c r="CM29" s="3"/>
      <c r="CN29" s="3"/>
    </row>
    <row r="30" spans="1:92">
      <c r="A30" s="4">
        <v>46190</v>
      </c>
      <c r="B30" s="3" t="s">
        <v>2670</v>
      </c>
      <c r="C30" s="3" t="s">
        <v>108</v>
      </c>
      <c r="D30" s="3" t="s">
        <v>2671</v>
      </c>
      <c r="E30" s="3" t="s">
        <v>2612</v>
      </c>
      <c r="F30" s="3" t="s">
        <v>337</v>
      </c>
      <c r="G30" s="3">
        <v>232</v>
      </c>
      <c r="H30" s="3">
        <v>0</v>
      </c>
      <c r="I30" s="3">
        <v>0</v>
      </c>
      <c r="J30" s="3">
        <v>0</v>
      </c>
      <c r="K30" s="3">
        <v>2</v>
      </c>
      <c r="L30" s="3">
        <v>372</v>
      </c>
      <c r="M30" s="3">
        <v>0</v>
      </c>
      <c r="N30" s="3">
        <v>0</v>
      </c>
      <c r="O30" s="3">
        <v>0</v>
      </c>
      <c r="P30" s="3" t="s">
        <v>2592</v>
      </c>
      <c r="Q30" s="3">
        <v>0</v>
      </c>
      <c r="R30" s="3">
        <v>0</v>
      </c>
      <c r="S30" s="3">
        <v>0</v>
      </c>
      <c r="T30" s="3">
        <v>3</v>
      </c>
      <c r="U30" s="3" t="s">
        <v>351</v>
      </c>
      <c r="V30" s="3">
        <v>52.99</v>
      </c>
      <c r="W30" s="3">
        <v>0</v>
      </c>
      <c r="X30" s="3">
        <v>49.99</v>
      </c>
      <c r="Y30" s="3">
        <v>12.81</v>
      </c>
      <c r="Z30" s="3" t="s">
        <v>391</v>
      </c>
      <c r="AA30" s="3">
        <v>0</v>
      </c>
      <c r="AB30" s="3">
        <v>0</v>
      </c>
      <c r="AC30" s="3">
        <v>0</v>
      </c>
      <c r="AD30" s="3">
        <v>0</v>
      </c>
      <c r="AE30" s="3">
        <v>0</v>
      </c>
      <c r="AF30" s="3">
        <v>0.07</v>
      </c>
      <c r="AG30" s="3">
        <v>0.00788</v>
      </c>
      <c r="AH30" s="3" t="s">
        <v>2593</v>
      </c>
      <c r="AI30" s="3" t="s">
        <v>341</v>
      </c>
      <c r="AJ30" s="3">
        <v>1.828163</v>
      </c>
      <c r="AK30" s="3" t="s">
        <v>2594</v>
      </c>
      <c r="AL30" s="3" t="s">
        <v>2473</v>
      </c>
      <c r="AM30" s="3">
        <v>460145</v>
      </c>
      <c r="AN30" s="3">
        <v>366</v>
      </c>
      <c r="AO30" s="3">
        <v>0</v>
      </c>
      <c r="AP30" s="3"/>
      <c r="AQ30" s="3">
        <v>1005</v>
      </c>
      <c r="AR30" s="3">
        <v>32.92</v>
      </c>
      <c r="AS30" s="3">
        <v>0</v>
      </c>
      <c r="AT30" s="3">
        <v>0</v>
      </c>
      <c r="AU30" s="3">
        <v>0</v>
      </c>
      <c r="AV30" s="3">
        <v>110.53</v>
      </c>
      <c r="AW30" s="3">
        <v>0</v>
      </c>
      <c r="AX30" s="3">
        <v>0</v>
      </c>
      <c r="AY30" s="3">
        <v>0</v>
      </c>
      <c r="AZ30" s="3">
        <v>372</v>
      </c>
      <c r="BA30" s="3">
        <v>0</v>
      </c>
      <c r="BB30" s="3">
        <v>0</v>
      </c>
      <c r="BC30" s="3">
        <v>0</v>
      </c>
      <c r="BD30" s="3">
        <v>0</v>
      </c>
      <c r="BE30" s="3">
        <v>0</v>
      </c>
      <c r="BF30" s="3">
        <v>0</v>
      </c>
      <c r="BG30" s="3">
        <v>0</v>
      </c>
      <c r="BH30" s="3">
        <v>3</v>
      </c>
      <c r="BI30" s="3">
        <v>16</v>
      </c>
      <c r="BJ30" s="3">
        <v>5.73</v>
      </c>
      <c r="BK30" s="3">
        <v>0</v>
      </c>
      <c r="BL30" s="3">
        <v>0</v>
      </c>
      <c r="BM30" s="3">
        <v>0</v>
      </c>
      <c r="BN30" s="3">
        <v>0</v>
      </c>
      <c r="BO30" s="3">
        <v>0</v>
      </c>
      <c r="BP30" s="3">
        <v>0</v>
      </c>
      <c r="BQ30" s="3">
        <v>0</v>
      </c>
      <c r="BR30" s="3">
        <v>0</v>
      </c>
      <c r="BS30" s="3">
        <v>0</v>
      </c>
      <c r="BT30" s="3">
        <v>0</v>
      </c>
      <c r="BU30" s="3"/>
      <c r="BV30" s="3">
        <v>1</v>
      </c>
      <c r="BW30" s="3"/>
      <c r="BX30" s="3">
        <v>0</v>
      </c>
      <c r="BY30" s="3"/>
      <c r="BZ30" s="3"/>
      <c r="CA30" s="3"/>
      <c r="CB30" s="3"/>
      <c r="CC30" s="3"/>
      <c r="CD30" s="3">
        <v>975.3</v>
      </c>
      <c r="CE30" s="4">
        <v>46187</v>
      </c>
      <c r="CF30" s="3">
        <v>232</v>
      </c>
      <c r="CG30" s="3">
        <v>0</v>
      </c>
      <c r="CH30" s="3">
        <v>0</v>
      </c>
      <c r="CI30" s="3">
        <v>0</v>
      </c>
      <c r="CJ30" s="3">
        <v>366</v>
      </c>
      <c r="CK30" s="3" t="s">
        <v>348</v>
      </c>
      <c r="CL30" s="3"/>
      <c r="CM30" s="3"/>
      <c r="CN30" s="3"/>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13"/>
  <sheetViews>
    <sheetView zoomScale="85" zoomScaleNormal="85" topLeftCell="B93" workbookViewId="0">
      <selection activeCell="D31" sqref="D31"/>
    </sheetView>
  </sheetViews>
  <sheetFormatPr defaultColWidth="9" defaultRowHeight="13.5"/>
  <cols>
    <col min="1" max="2" width="9" style="1"/>
    <col min="3" max="3" width="11.5" style="1" customWidth="1"/>
    <col min="4" max="16383" width="9" style="1"/>
  </cols>
  <sheetData>
    <row r="1" s="1" customFormat="1" spans="1:92">
      <c r="A1" s="1" t="s">
        <v>235</v>
      </c>
      <c r="B1" s="1" t="s">
        <v>236</v>
      </c>
      <c r="C1" s="1" t="s">
        <v>237</v>
      </c>
      <c r="D1" s="1" t="s">
        <v>238</v>
      </c>
      <c r="E1" s="1" t="s">
        <v>239</v>
      </c>
      <c r="F1" s="1" t="s">
        <v>240</v>
      </c>
      <c r="G1" s="1" t="s">
        <v>241</v>
      </c>
      <c r="H1" s="1" t="s">
        <v>2586</v>
      </c>
      <c r="I1" s="1" t="s">
        <v>242</v>
      </c>
      <c r="J1" s="1" t="s">
        <v>243</v>
      </c>
      <c r="K1" s="1" t="s">
        <v>244</v>
      </c>
      <c r="L1" s="1" t="s">
        <v>245</v>
      </c>
      <c r="M1" s="1" t="s">
        <v>246</v>
      </c>
      <c r="N1" s="1" t="s">
        <v>247</v>
      </c>
      <c r="O1" s="1" t="s">
        <v>248</v>
      </c>
      <c r="P1" s="1" t="s">
        <v>249</v>
      </c>
      <c r="Q1" s="1" t="s">
        <v>250</v>
      </c>
      <c r="R1" s="1" t="s">
        <v>251</v>
      </c>
      <c r="S1" s="1" t="s">
        <v>252</v>
      </c>
      <c r="T1" s="1" t="s">
        <v>253</v>
      </c>
      <c r="U1" s="1" t="s">
        <v>254</v>
      </c>
      <c r="V1" s="1" t="s">
        <v>255</v>
      </c>
      <c r="W1" s="1" t="s">
        <v>256</v>
      </c>
      <c r="X1" s="1" t="s">
        <v>257</v>
      </c>
      <c r="Y1" s="1" t="s">
        <v>258</v>
      </c>
      <c r="Z1" s="1" t="s">
        <v>259</v>
      </c>
      <c r="AA1" s="1" t="s">
        <v>2587</v>
      </c>
      <c r="AB1" s="1" t="s">
        <v>261</v>
      </c>
      <c r="AC1" s="1" t="s">
        <v>262</v>
      </c>
      <c r="AD1" s="1" t="s">
        <v>263</v>
      </c>
      <c r="AE1" s="1" t="s">
        <v>264</v>
      </c>
      <c r="AF1" s="1" t="s">
        <v>265</v>
      </c>
      <c r="AG1" s="1" t="s">
        <v>266</v>
      </c>
      <c r="AH1" s="1" t="s">
        <v>267</v>
      </c>
      <c r="AI1" s="1" t="s">
        <v>268</v>
      </c>
      <c r="AJ1" s="1" t="s">
        <v>269</v>
      </c>
      <c r="AK1" s="1" t="s">
        <v>270</v>
      </c>
      <c r="AL1" s="1" t="s">
        <v>271</v>
      </c>
      <c r="AM1" s="1" t="s">
        <v>272</v>
      </c>
      <c r="AN1" s="1" t="s">
        <v>273</v>
      </c>
      <c r="AO1" s="1" t="s">
        <v>274</v>
      </c>
      <c r="AP1" s="1" t="s">
        <v>275</v>
      </c>
      <c r="AQ1" s="1" t="s">
        <v>276</v>
      </c>
      <c r="AR1" s="1" t="s">
        <v>277</v>
      </c>
      <c r="AS1" s="1" t="s">
        <v>278</v>
      </c>
      <c r="AT1" s="1" t="s">
        <v>279</v>
      </c>
      <c r="AU1" s="1" t="s">
        <v>280</v>
      </c>
      <c r="AV1" s="1" t="s">
        <v>281</v>
      </c>
      <c r="AW1" s="1" t="s">
        <v>282</v>
      </c>
      <c r="AX1" s="1" t="s">
        <v>283</v>
      </c>
      <c r="AY1" s="1" t="s">
        <v>284</v>
      </c>
      <c r="AZ1" s="1" t="s">
        <v>285</v>
      </c>
      <c r="BA1" s="1" t="s">
        <v>286</v>
      </c>
      <c r="BB1" s="1" t="s">
        <v>287</v>
      </c>
      <c r="BC1" s="1" t="s">
        <v>288</v>
      </c>
      <c r="BD1" s="1" t="s">
        <v>289</v>
      </c>
      <c r="BE1" s="1" t="s">
        <v>290</v>
      </c>
      <c r="BF1" s="1" t="s">
        <v>291</v>
      </c>
      <c r="BG1" s="1" t="s">
        <v>293</v>
      </c>
      <c r="BH1" s="1" t="s">
        <v>294</v>
      </c>
      <c r="BI1" s="1" t="s">
        <v>299</v>
      </c>
      <c r="BJ1" s="1" t="s">
        <v>300</v>
      </c>
      <c r="BK1" s="1" t="s">
        <v>301</v>
      </c>
      <c r="BL1" s="1" t="s">
        <v>302</v>
      </c>
      <c r="BM1" s="1" t="s">
        <v>303</v>
      </c>
      <c r="BN1" s="1" t="s">
        <v>304</v>
      </c>
      <c r="BO1" s="1" t="s">
        <v>305</v>
      </c>
      <c r="BP1" s="1" t="s">
        <v>306</v>
      </c>
      <c r="BQ1" s="1" t="s">
        <v>307</v>
      </c>
      <c r="BR1" s="1" t="s">
        <v>308</v>
      </c>
      <c r="BS1" s="1" t="s">
        <v>309</v>
      </c>
      <c r="BT1" s="1" t="s">
        <v>310</v>
      </c>
      <c r="BU1" s="1" t="s">
        <v>311</v>
      </c>
      <c r="BV1" s="1" t="s">
        <v>312</v>
      </c>
      <c r="BW1" s="1" t="s">
        <v>313</v>
      </c>
      <c r="BX1" s="1" t="s">
        <v>314</v>
      </c>
      <c r="BY1" s="1" t="s">
        <v>315</v>
      </c>
      <c r="BZ1" s="1" t="s">
        <v>316</v>
      </c>
      <c r="CA1" s="1" t="s">
        <v>2588</v>
      </c>
      <c r="CB1" s="1" t="s">
        <v>2589</v>
      </c>
      <c r="CC1" s="1" t="s">
        <v>319</v>
      </c>
      <c r="CD1" s="1" t="s">
        <v>320</v>
      </c>
      <c r="CE1" s="1" t="s">
        <v>321</v>
      </c>
      <c r="CF1" s="1" t="s">
        <v>322</v>
      </c>
      <c r="CG1" s="1" t="s">
        <v>324</v>
      </c>
      <c r="CH1" s="1" t="s">
        <v>325</v>
      </c>
      <c r="CI1" s="1" t="s">
        <v>326</v>
      </c>
      <c r="CJ1" s="1" t="s">
        <v>327</v>
      </c>
      <c r="CK1" s="1" t="s">
        <v>329</v>
      </c>
      <c r="CL1" s="1" t="s">
        <v>330</v>
      </c>
      <c r="CM1" s="1" t="s">
        <v>331</v>
      </c>
      <c r="CN1" s="1" t="s">
        <v>332</v>
      </c>
    </row>
    <row r="2" s="1" customFormat="1" spans="1:92">
      <c r="A2" s="2">
        <v>46191</v>
      </c>
      <c r="B2" s="1" t="s">
        <v>2672</v>
      </c>
      <c r="C2" s="1" t="s">
        <v>133</v>
      </c>
      <c r="D2" s="1" t="s">
        <v>2673</v>
      </c>
      <c r="E2" s="1" t="s">
        <v>2674</v>
      </c>
      <c r="G2" s="1">
        <v>0</v>
      </c>
      <c r="H2" s="1">
        <v>0</v>
      </c>
      <c r="I2" s="1">
        <v>-1</v>
      </c>
      <c r="P2" s="1" t="s">
        <v>2592</v>
      </c>
      <c r="V2" s="1">
        <v>0</v>
      </c>
      <c r="W2" s="1">
        <v>0</v>
      </c>
      <c r="X2" s="1">
        <v>0</v>
      </c>
      <c r="Y2" s="1">
        <v>0</v>
      </c>
      <c r="Z2" s="1" t="s">
        <v>359</v>
      </c>
      <c r="AC2" s="1">
        <v>0</v>
      </c>
      <c r="AD2" s="1">
        <v>0</v>
      </c>
      <c r="AF2" s="1">
        <v>-1</v>
      </c>
      <c r="AI2" s="1" t="s">
        <v>341</v>
      </c>
      <c r="AK2" s="1" t="s">
        <v>2594</v>
      </c>
      <c r="AL2" s="1" t="s">
        <v>465</v>
      </c>
      <c r="AM2" s="1">
        <v>549230</v>
      </c>
      <c r="AO2" s="1">
        <v>0</v>
      </c>
      <c r="AR2" s="1">
        <v>21.99</v>
      </c>
      <c r="AZ2" s="1">
        <v>0</v>
      </c>
      <c r="BC2" s="1">
        <v>0</v>
      </c>
      <c r="BD2" s="1">
        <v>0</v>
      </c>
      <c r="BE2" s="1">
        <v>0</v>
      </c>
      <c r="BF2" s="1">
        <v>0</v>
      </c>
      <c r="BG2" s="1">
        <v>0</v>
      </c>
      <c r="BH2" s="1">
        <v>0</v>
      </c>
      <c r="BV2" s="1">
        <v>0</v>
      </c>
      <c r="BX2" s="1">
        <v>0</v>
      </c>
      <c r="CF2" s="1">
        <v>0</v>
      </c>
      <c r="CG2" s="1">
        <v>0</v>
      </c>
      <c r="CH2" s="1">
        <v>0</v>
      </c>
      <c r="CI2" s="1">
        <v>0</v>
      </c>
      <c r="CK2" s="1" t="s">
        <v>348</v>
      </c>
    </row>
    <row r="3" s="1" customFormat="1" spans="1:92">
      <c r="A3" s="2">
        <v>46191</v>
      </c>
      <c r="B3" s="1" t="s">
        <v>2675</v>
      </c>
      <c r="C3" s="1" t="s">
        <v>134</v>
      </c>
      <c r="D3" s="1" t="s">
        <v>2676</v>
      </c>
      <c r="E3" s="1" t="s">
        <v>2677</v>
      </c>
      <c r="I3" s="1">
        <v>-1</v>
      </c>
      <c r="P3" s="1" t="s">
        <v>2592</v>
      </c>
      <c r="V3" s="1">
        <v>0</v>
      </c>
      <c r="W3" s="1">
        <v>0</v>
      </c>
      <c r="X3" s="1">
        <v>0</v>
      </c>
      <c r="Y3" s="1">
        <v>0</v>
      </c>
      <c r="Z3" s="1" t="s">
        <v>359</v>
      </c>
      <c r="AC3" s="1">
        <v>0</v>
      </c>
      <c r="AD3" s="1">
        <v>0</v>
      </c>
      <c r="AF3" s="1">
        <v>-1</v>
      </c>
      <c r="AK3" s="1" t="s">
        <v>2594</v>
      </c>
      <c r="AL3" s="1" t="s">
        <v>353</v>
      </c>
      <c r="AO3" s="1">
        <v>0</v>
      </c>
      <c r="AR3" s="1">
        <v>14.99</v>
      </c>
      <c r="AZ3" s="1">
        <v>0</v>
      </c>
      <c r="BC3" s="1">
        <v>0</v>
      </c>
      <c r="BG3" s="1">
        <v>0</v>
      </c>
      <c r="CF3" s="1">
        <v>0</v>
      </c>
      <c r="CG3" s="1">
        <v>0</v>
      </c>
      <c r="CI3" s="1">
        <v>0</v>
      </c>
      <c r="CK3" s="1" t="s">
        <v>348</v>
      </c>
    </row>
    <row r="4" s="1" customFormat="1" spans="1:92">
      <c r="A4" s="2">
        <v>46191</v>
      </c>
      <c r="B4" s="1" t="s">
        <v>2678</v>
      </c>
      <c r="C4" s="1" t="s">
        <v>135</v>
      </c>
      <c r="D4" s="1" t="s">
        <v>2679</v>
      </c>
      <c r="E4" s="1" t="s">
        <v>2680</v>
      </c>
      <c r="I4" s="1">
        <v>-1</v>
      </c>
      <c r="P4" s="1" t="s">
        <v>2592</v>
      </c>
      <c r="V4" s="1">
        <v>0</v>
      </c>
      <c r="W4" s="1">
        <v>0</v>
      </c>
      <c r="X4" s="1">
        <v>0</v>
      </c>
      <c r="Y4" s="1">
        <v>0</v>
      </c>
      <c r="Z4" s="1" t="s">
        <v>359</v>
      </c>
      <c r="AC4" s="1">
        <v>0</v>
      </c>
      <c r="AD4" s="1">
        <v>0</v>
      </c>
      <c r="AF4" s="1">
        <v>-1</v>
      </c>
      <c r="AK4" s="1" t="s">
        <v>2594</v>
      </c>
      <c r="AL4" s="1" t="s">
        <v>652</v>
      </c>
      <c r="AO4" s="1">
        <v>0</v>
      </c>
      <c r="AR4" s="1">
        <v>9.99</v>
      </c>
      <c r="AZ4" s="1">
        <v>0</v>
      </c>
      <c r="BC4" s="1">
        <v>0</v>
      </c>
      <c r="BG4" s="1">
        <v>0</v>
      </c>
      <c r="CF4" s="1">
        <v>0</v>
      </c>
      <c r="CG4" s="1">
        <v>0</v>
      </c>
      <c r="CI4" s="1">
        <v>0</v>
      </c>
      <c r="CK4" s="1" t="s">
        <v>348</v>
      </c>
    </row>
    <row r="5" s="1" customFormat="1" spans="1:92">
      <c r="A5" s="2">
        <v>46191</v>
      </c>
      <c r="B5" s="1" t="s">
        <v>2681</v>
      </c>
      <c r="C5" s="1" t="s">
        <v>113</v>
      </c>
      <c r="D5" s="1" t="s">
        <v>230</v>
      </c>
      <c r="E5" s="1" t="s">
        <v>2625</v>
      </c>
      <c r="F5" s="1" t="s">
        <v>337</v>
      </c>
      <c r="G5" s="1">
        <v>1</v>
      </c>
      <c r="H5" s="1">
        <v>0</v>
      </c>
      <c r="I5" s="1">
        <v>0</v>
      </c>
      <c r="J5" s="1">
        <v>0</v>
      </c>
      <c r="K5" s="1">
        <v>1</v>
      </c>
      <c r="L5" s="1">
        <v>0</v>
      </c>
      <c r="M5" s="1">
        <v>0</v>
      </c>
      <c r="N5" s="1">
        <v>0</v>
      </c>
      <c r="O5" s="1">
        <v>0</v>
      </c>
      <c r="P5" s="1" t="s">
        <v>2592</v>
      </c>
      <c r="Q5" s="1">
        <v>3</v>
      </c>
      <c r="R5" s="1">
        <v>3</v>
      </c>
      <c r="S5" s="1">
        <v>4</v>
      </c>
      <c r="T5" s="1">
        <v>4</v>
      </c>
      <c r="U5" s="1" t="s">
        <v>351</v>
      </c>
      <c r="V5" s="1">
        <v>49.99</v>
      </c>
      <c r="W5" s="1">
        <v>0</v>
      </c>
      <c r="X5" s="1">
        <v>35.99</v>
      </c>
      <c r="Y5" s="1">
        <v>0</v>
      </c>
      <c r="Z5" s="1" t="s">
        <v>464</v>
      </c>
      <c r="AA5" s="1">
        <v>0</v>
      </c>
      <c r="AB5" s="1">
        <v>0</v>
      </c>
      <c r="AC5" s="1">
        <v>0</v>
      </c>
      <c r="AD5" s="1">
        <v>0</v>
      </c>
      <c r="AE5" s="1">
        <v>0</v>
      </c>
      <c r="AF5" s="1">
        <v>0.35</v>
      </c>
      <c r="AG5" s="1">
        <v>0.008398</v>
      </c>
      <c r="AH5" s="1" t="s">
        <v>2593</v>
      </c>
      <c r="AI5" s="1" t="s">
        <v>341</v>
      </c>
      <c r="AJ5" s="1">
        <v>0.008398</v>
      </c>
      <c r="AK5" s="1" t="s">
        <v>2594</v>
      </c>
      <c r="AL5" s="1" t="s">
        <v>2473</v>
      </c>
      <c r="AM5" s="1">
        <v>387204</v>
      </c>
      <c r="AN5" s="1">
        <v>14</v>
      </c>
      <c r="AO5" s="1">
        <v>0</v>
      </c>
      <c r="AP5" s="1">
        <v>1</v>
      </c>
      <c r="AQ5" s="1">
        <v>3</v>
      </c>
      <c r="AR5" s="1">
        <v>35.99</v>
      </c>
      <c r="AS5" s="1">
        <v>90.72</v>
      </c>
      <c r="AT5" s="1">
        <v>90.72</v>
      </c>
      <c r="AU5" s="1">
        <v>122.64</v>
      </c>
      <c r="AV5" s="1">
        <v>122.64</v>
      </c>
      <c r="AW5" s="1">
        <v>0</v>
      </c>
      <c r="AX5" s="1">
        <v>0</v>
      </c>
      <c r="AY5" s="1">
        <v>0</v>
      </c>
      <c r="AZ5" s="1">
        <v>0</v>
      </c>
      <c r="BA5" s="1">
        <v>0</v>
      </c>
      <c r="BB5" s="1">
        <v>0</v>
      </c>
      <c r="BC5" s="1">
        <v>0</v>
      </c>
      <c r="BD5" s="1">
        <v>0</v>
      </c>
      <c r="BE5" s="1">
        <v>0</v>
      </c>
      <c r="BF5" s="1">
        <v>0</v>
      </c>
      <c r="BG5" s="1">
        <v>0</v>
      </c>
      <c r="BH5" s="1">
        <v>0</v>
      </c>
      <c r="BU5" s="1">
        <v>131.3</v>
      </c>
      <c r="BV5" s="1">
        <v>8</v>
      </c>
      <c r="BW5" s="1" t="s">
        <v>344</v>
      </c>
      <c r="BX5" s="1">
        <v>11</v>
      </c>
      <c r="BY5" s="2">
        <v>46197</v>
      </c>
      <c r="BZ5" s="2">
        <v>46188</v>
      </c>
      <c r="CA5" s="1" t="s">
        <v>345</v>
      </c>
      <c r="CB5" s="1" t="s">
        <v>346</v>
      </c>
      <c r="CC5" s="1">
        <v>39</v>
      </c>
      <c r="CD5" s="1">
        <v>131.3</v>
      </c>
      <c r="CE5" s="2">
        <v>46189</v>
      </c>
      <c r="CF5" s="1">
        <v>1</v>
      </c>
      <c r="CG5" s="1">
        <v>0</v>
      </c>
      <c r="CH5" s="1">
        <v>0</v>
      </c>
      <c r="CI5" s="1">
        <v>0</v>
      </c>
      <c r="CJ5" s="1">
        <v>14</v>
      </c>
      <c r="CK5" s="1" t="s">
        <v>348</v>
      </c>
    </row>
    <row r="6" s="1" customFormat="1" spans="1:92">
      <c r="A6" s="2">
        <v>46191</v>
      </c>
      <c r="B6" s="1" t="s">
        <v>2682</v>
      </c>
      <c r="C6" s="1" t="s">
        <v>136</v>
      </c>
      <c r="D6" s="1" t="s">
        <v>2683</v>
      </c>
      <c r="E6" s="1" t="s">
        <v>2684</v>
      </c>
      <c r="I6" s="1">
        <v>-1</v>
      </c>
      <c r="P6" s="1" t="s">
        <v>2592</v>
      </c>
      <c r="V6" s="1">
        <v>0</v>
      </c>
      <c r="W6" s="1">
        <v>0</v>
      </c>
      <c r="X6" s="1">
        <v>0</v>
      </c>
      <c r="Y6" s="1">
        <v>0</v>
      </c>
      <c r="Z6" s="1" t="s">
        <v>359</v>
      </c>
      <c r="AC6" s="1">
        <v>0</v>
      </c>
      <c r="AD6" s="1">
        <v>0</v>
      </c>
      <c r="AF6" s="1">
        <v>-1</v>
      </c>
      <c r="AK6" s="1" t="s">
        <v>2594</v>
      </c>
      <c r="AL6" s="1" t="s">
        <v>353</v>
      </c>
      <c r="AO6" s="1">
        <v>0</v>
      </c>
      <c r="AR6" s="1">
        <v>20.99</v>
      </c>
      <c r="AZ6" s="1">
        <v>0</v>
      </c>
      <c r="BC6" s="1">
        <v>0</v>
      </c>
      <c r="BG6" s="1">
        <v>0</v>
      </c>
      <c r="CF6" s="1">
        <v>0</v>
      </c>
      <c r="CG6" s="1">
        <v>0</v>
      </c>
      <c r="CI6" s="1">
        <v>0</v>
      </c>
      <c r="CK6" s="1" t="s">
        <v>348</v>
      </c>
    </row>
    <row r="7" s="1" customFormat="1" spans="1:92">
      <c r="A7" s="2">
        <v>46191</v>
      </c>
      <c r="B7" s="1" t="s">
        <v>2685</v>
      </c>
      <c r="C7" s="1" t="s">
        <v>137</v>
      </c>
      <c r="D7" s="1" t="s">
        <v>2686</v>
      </c>
      <c r="E7" s="1" t="s">
        <v>2687</v>
      </c>
      <c r="I7" s="1">
        <v>-1</v>
      </c>
      <c r="P7" s="1" t="s">
        <v>2592</v>
      </c>
      <c r="V7" s="1">
        <v>0</v>
      </c>
      <c r="W7" s="1">
        <v>0</v>
      </c>
      <c r="X7" s="1">
        <v>0</v>
      </c>
      <c r="Y7" s="1">
        <v>0</v>
      </c>
      <c r="Z7" s="1" t="s">
        <v>359</v>
      </c>
      <c r="AC7" s="1">
        <v>0</v>
      </c>
      <c r="AD7" s="1">
        <v>0</v>
      </c>
      <c r="AF7" s="1">
        <v>-1</v>
      </c>
      <c r="AK7" s="1" t="s">
        <v>2594</v>
      </c>
      <c r="AL7" s="1" t="s">
        <v>353</v>
      </c>
      <c r="AO7" s="1">
        <v>0</v>
      </c>
      <c r="AR7" s="1">
        <v>11.99</v>
      </c>
      <c r="AZ7" s="1">
        <v>0</v>
      </c>
      <c r="BC7" s="1">
        <v>0</v>
      </c>
      <c r="BG7" s="1">
        <v>0</v>
      </c>
      <c r="CF7" s="1">
        <v>0</v>
      </c>
      <c r="CG7" s="1">
        <v>0</v>
      </c>
      <c r="CI7" s="1">
        <v>0</v>
      </c>
      <c r="CK7" s="1" t="s">
        <v>348</v>
      </c>
    </row>
    <row r="8" s="1" customFormat="1" spans="1:92">
      <c r="A8" s="2">
        <v>46191</v>
      </c>
      <c r="B8" s="1" t="s">
        <v>2688</v>
      </c>
      <c r="C8" s="1" t="s">
        <v>139</v>
      </c>
      <c r="D8" s="1" t="s">
        <v>2689</v>
      </c>
      <c r="E8" s="1" t="s">
        <v>2690</v>
      </c>
      <c r="G8" s="1">
        <v>0</v>
      </c>
      <c r="H8" s="1">
        <v>0</v>
      </c>
      <c r="I8" s="1">
        <v>-1</v>
      </c>
      <c r="P8" s="1" t="s">
        <v>2592</v>
      </c>
      <c r="V8" s="1">
        <v>0</v>
      </c>
      <c r="W8" s="1">
        <v>0</v>
      </c>
      <c r="X8" s="1">
        <v>0</v>
      </c>
      <c r="Y8" s="1">
        <v>0</v>
      </c>
      <c r="Z8" s="1" t="s">
        <v>359</v>
      </c>
      <c r="AC8" s="1">
        <v>0</v>
      </c>
      <c r="AD8" s="1">
        <v>0</v>
      </c>
      <c r="AF8" s="1">
        <v>-1</v>
      </c>
      <c r="AI8" s="1" t="s">
        <v>341</v>
      </c>
      <c r="AK8" s="1" t="s">
        <v>2594</v>
      </c>
      <c r="AL8" s="1" t="s">
        <v>465</v>
      </c>
      <c r="AO8" s="1">
        <v>0</v>
      </c>
      <c r="AR8" s="1">
        <v>9.99</v>
      </c>
      <c r="AZ8" s="1">
        <v>0</v>
      </c>
      <c r="BC8" s="1">
        <v>0</v>
      </c>
      <c r="BD8" s="1">
        <v>0</v>
      </c>
      <c r="BE8" s="1">
        <v>0</v>
      </c>
      <c r="BF8" s="1">
        <v>0</v>
      </c>
      <c r="BG8" s="1">
        <v>0</v>
      </c>
      <c r="BH8" s="1">
        <v>0</v>
      </c>
      <c r="CF8" s="1">
        <v>0</v>
      </c>
      <c r="CG8" s="1">
        <v>0</v>
      </c>
      <c r="CH8" s="1">
        <v>0</v>
      </c>
      <c r="CI8" s="1">
        <v>0</v>
      </c>
      <c r="CK8" s="1" t="s">
        <v>348</v>
      </c>
    </row>
    <row r="9" s="1" customFormat="1" spans="1:92">
      <c r="A9" s="2">
        <v>46191</v>
      </c>
      <c r="B9" s="1" t="s">
        <v>2691</v>
      </c>
      <c r="C9" s="1" t="s">
        <v>140</v>
      </c>
      <c r="D9" s="1" t="s">
        <v>2692</v>
      </c>
      <c r="E9" s="1" t="s">
        <v>2693</v>
      </c>
      <c r="I9" s="1">
        <v>-1</v>
      </c>
      <c r="P9" s="1" t="s">
        <v>2592</v>
      </c>
      <c r="V9" s="1">
        <v>0</v>
      </c>
      <c r="W9" s="1">
        <v>0</v>
      </c>
      <c r="X9" s="1">
        <v>0</v>
      </c>
      <c r="Y9" s="1">
        <v>0</v>
      </c>
      <c r="Z9" s="1" t="s">
        <v>359</v>
      </c>
      <c r="AC9" s="1">
        <v>0</v>
      </c>
      <c r="AD9" s="1">
        <v>0</v>
      </c>
      <c r="AF9" s="1">
        <v>-1</v>
      </c>
      <c r="AK9" s="1" t="s">
        <v>2594</v>
      </c>
      <c r="AL9" s="1" t="s">
        <v>465</v>
      </c>
      <c r="AO9" s="1">
        <v>0</v>
      </c>
      <c r="AR9" s="1">
        <v>11.04</v>
      </c>
      <c r="AZ9" s="1">
        <v>0</v>
      </c>
      <c r="BC9" s="1">
        <v>0</v>
      </c>
      <c r="BG9" s="1">
        <v>0</v>
      </c>
      <c r="CF9" s="1">
        <v>0</v>
      </c>
      <c r="CG9" s="1">
        <v>0</v>
      </c>
      <c r="CI9" s="1">
        <v>0</v>
      </c>
      <c r="CK9" s="1" t="s">
        <v>348</v>
      </c>
    </row>
    <row r="10" s="1" customFormat="1" spans="1:92">
      <c r="A10" s="2">
        <v>46191</v>
      </c>
      <c r="B10" s="1" t="s">
        <v>2694</v>
      </c>
      <c r="C10" s="1" t="s">
        <v>141</v>
      </c>
      <c r="D10" s="1" t="s">
        <v>2695</v>
      </c>
      <c r="E10" s="1" t="s">
        <v>2696</v>
      </c>
      <c r="G10" s="1">
        <v>0</v>
      </c>
      <c r="H10" s="1">
        <v>0</v>
      </c>
      <c r="I10" s="1">
        <v>-1</v>
      </c>
      <c r="P10" s="1" t="s">
        <v>2592</v>
      </c>
      <c r="V10" s="1">
        <v>0</v>
      </c>
      <c r="W10" s="1">
        <v>0</v>
      </c>
      <c r="X10" s="1">
        <v>0</v>
      </c>
      <c r="Y10" s="1">
        <v>0</v>
      </c>
      <c r="Z10" s="1" t="s">
        <v>359</v>
      </c>
      <c r="AC10" s="1">
        <v>0</v>
      </c>
      <c r="AD10" s="1">
        <v>0</v>
      </c>
      <c r="AF10" s="1">
        <v>-1</v>
      </c>
      <c r="AI10" s="1" t="s">
        <v>341</v>
      </c>
      <c r="AK10" s="1" t="s">
        <v>2594</v>
      </c>
      <c r="AL10" s="1" t="s">
        <v>652</v>
      </c>
      <c r="AO10" s="1">
        <v>0</v>
      </c>
      <c r="AR10" s="1">
        <v>12.99</v>
      </c>
      <c r="AZ10" s="1">
        <v>0</v>
      </c>
      <c r="BC10" s="1">
        <v>0</v>
      </c>
      <c r="BD10" s="1">
        <v>0</v>
      </c>
      <c r="BE10" s="1">
        <v>0</v>
      </c>
      <c r="BF10" s="1">
        <v>0</v>
      </c>
      <c r="BG10" s="1">
        <v>0</v>
      </c>
      <c r="BH10" s="1">
        <v>0</v>
      </c>
      <c r="CF10" s="1">
        <v>0</v>
      </c>
      <c r="CG10" s="1">
        <v>0</v>
      </c>
      <c r="CH10" s="1">
        <v>0</v>
      </c>
      <c r="CI10" s="1">
        <v>0</v>
      </c>
      <c r="CK10" s="1" t="s">
        <v>348</v>
      </c>
    </row>
    <row r="11" s="1" customFormat="1" spans="1:92">
      <c r="A11" s="2">
        <v>46191</v>
      </c>
      <c r="B11" s="1" t="s">
        <v>2697</v>
      </c>
      <c r="C11" s="1" t="s">
        <v>142</v>
      </c>
      <c r="D11" s="1" t="s">
        <v>2698</v>
      </c>
      <c r="E11" s="1" t="s">
        <v>2696</v>
      </c>
      <c r="G11" s="1">
        <v>0</v>
      </c>
      <c r="H11" s="1">
        <v>0</v>
      </c>
      <c r="I11" s="1">
        <v>-1</v>
      </c>
      <c r="P11" s="1" t="s">
        <v>2592</v>
      </c>
      <c r="V11" s="1">
        <v>0</v>
      </c>
      <c r="W11" s="1">
        <v>0</v>
      </c>
      <c r="X11" s="1">
        <v>0</v>
      </c>
      <c r="Y11" s="1">
        <v>0</v>
      </c>
      <c r="Z11" s="1" t="s">
        <v>359</v>
      </c>
      <c r="AC11" s="1">
        <v>0</v>
      </c>
      <c r="AD11" s="1">
        <v>0</v>
      </c>
      <c r="AF11" s="1">
        <v>-1</v>
      </c>
      <c r="AI11" s="1" t="s">
        <v>341</v>
      </c>
      <c r="AK11" s="1" t="s">
        <v>2594</v>
      </c>
      <c r="AL11" s="1" t="s">
        <v>652</v>
      </c>
      <c r="AO11" s="1">
        <v>0</v>
      </c>
      <c r="AR11" s="1">
        <v>9.99</v>
      </c>
      <c r="AZ11" s="1">
        <v>0</v>
      </c>
      <c r="BC11" s="1">
        <v>0</v>
      </c>
      <c r="BD11" s="1">
        <v>0</v>
      </c>
      <c r="BE11" s="1">
        <v>0</v>
      </c>
      <c r="BF11" s="1">
        <v>0</v>
      </c>
      <c r="BG11" s="1">
        <v>0</v>
      </c>
      <c r="BH11" s="1">
        <v>0</v>
      </c>
      <c r="CF11" s="1">
        <v>0</v>
      </c>
      <c r="CG11" s="1">
        <v>0</v>
      </c>
      <c r="CH11" s="1">
        <v>0</v>
      </c>
      <c r="CI11" s="1">
        <v>0</v>
      </c>
      <c r="CK11" s="1" t="s">
        <v>348</v>
      </c>
    </row>
    <row r="12" s="1" customFormat="1" spans="1:92">
      <c r="A12" s="2">
        <v>46191</v>
      </c>
      <c r="B12" s="1" t="s">
        <v>2699</v>
      </c>
      <c r="C12" s="1" t="s">
        <v>143</v>
      </c>
      <c r="D12" s="1" t="s">
        <v>2700</v>
      </c>
      <c r="E12" s="1" t="s">
        <v>2701</v>
      </c>
      <c r="G12" s="1">
        <v>0</v>
      </c>
      <c r="H12" s="1">
        <v>0</v>
      </c>
      <c r="I12" s="1">
        <v>-1</v>
      </c>
      <c r="P12" s="1" t="s">
        <v>2592</v>
      </c>
      <c r="V12" s="1">
        <v>0</v>
      </c>
      <c r="W12" s="1">
        <v>0</v>
      </c>
      <c r="X12" s="1">
        <v>0</v>
      </c>
      <c r="Y12" s="1">
        <v>0</v>
      </c>
      <c r="Z12" s="1" t="s">
        <v>359</v>
      </c>
      <c r="AC12" s="1">
        <v>0</v>
      </c>
      <c r="AD12" s="1">
        <v>0</v>
      </c>
      <c r="AF12" s="1">
        <v>-1</v>
      </c>
      <c r="AI12" s="1" t="s">
        <v>341</v>
      </c>
      <c r="AK12" s="1" t="s">
        <v>2594</v>
      </c>
      <c r="AL12" s="1" t="s">
        <v>465</v>
      </c>
      <c r="AO12" s="1">
        <v>0</v>
      </c>
      <c r="AR12" s="1">
        <v>23.99</v>
      </c>
      <c r="AZ12" s="1">
        <v>0</v>
      </c>
      <c r="BC12" s="1">
        <v>0</v>
      </c>
      <c r="BD12" s="1">
        <v>0</v>
      </c>
      <c r="BE12" s="1">
        <v>0</v>
      </c>
      <c r="BF12" s="1">
        <v>0</v>
      </c>
      <c r="BG12" s="1">
        <v>0</v>
      </c>
      <c r="BH12" s="1">
        <v>0</v>
      </c>
      <c r="CF12" s="1">
        <v>0</v>
      </c>
      <c r="CG12" s="1">
        <v>0</v>
      </c>
      <c r="CH12" s="1">
        <v>0</v>
      </c>
      <c r="CI12" s="1">
        <v>0</v>
      </c>
      <c r="CK12" s="1" t="s">
        <v>348</v>
      </c>
    </row>
    <row r="13" s="1" customFormat="1" spans="1:92">
      <c r="A13" s="2">
        <v>46191</v>
      </c>
      <c r="B13" s="1" t="s">
        <v>2702</v>
      </c>
      <c r="C13" s="1" t="s">
        <v>144</v>
      </c>
      <c r="D13" s="1" t="s">
        <v>2703</v>
      </c>
      <c r="E13" s="1" t="s">
        <v>2704</v>
      </c>
      <c r="I13" s="1">
        <v>-1</v>
      </c>
      <c r="P13" s="1" t="s">
        <v>2592</v>
      </c>
      <c r="V13" s="1">
        <v>0</v>
      </c>
      <c r="W13" s="1">
        <v>0</v>
      </c>
      <c r="X13" s="1">
        <v>0</v>
      </c>
      <c r="Y13" s="1">
        <v>0</v>
      </c>
      <c r="Z13" s="1" t="s">
        <v>359</v>
      </c>
      <c r="AC13" s="1">
        <v>0</v>
      </c>
      <c r="AD13" s="1">
        <v>0</v>
      </c>
      <c r="AF13" s="1">
        <v>-1</v>
      </c>
      <c r="AK13" s="1" t="s">
        <v>2594</v>
      </c>
      <c r="AL13" s="1" t="s">
        <v>353</v>
      </c>
      <c r="AO13" s="1">
        <v>0</v>
      </c>
      <c r="AR13" s="1">
        <v>13.8</v>
      </c>
      <c r="AZ13" s="1">
        <v>0</v>
      </c>
      <c r="BC13" s="1">
        <v>0</v>
      </c>
      <c r="BG13" s="1">
        <v>0</v>
      </c>
      <c r="CF13" s="1">
        <v>0</v>
      </c>
      <c r="CG13" s="1">
        <v>0</v>
      </c>
      <c r="CI13" s="1">
        <v>0</v>
      </c>
      <c r="CK13" s="1" t="s">
        <v>348</v>
      </c>
    </row>
    <row r="14" s="1" customFormat="1" spans="1:92">
      <c r="A14" s="2">
        <v>46191</v>
      </c>
      <c r="B14" s="1" t="s">
        <v>2705</v>
      </c>
      <c r="C14" s="1" t="s">
        <v>145</v>
      </c>
      <c r="D14" s="1" t="s">
        <v>2706</v>
      </c>
      <c r="E14" s="1" t="s">
        <v>2707</v>
      </c>
      <c r="I14" s="1">
        <v>-1</v>
      </c>
      <c r="P14" s="1" t="s">
        <v>2592</v>
      </c>
      <c r="V14" s="1">
        <v>0</v>
      </c>
      <c r="W14" s="1">
        <v>0</v>
      </c>
      <c r="X14" s="1">
        <v>0</v>
      </c>
      <c r="Y14" s="1">
        <v>0</v>
      </c>
      <c r="Z14" s="1" t="s">
        <v>359</v>
      </c>
      <c r="AC14" s="1">
        <v>0</v>
      </c>
      <c r="AD14" s="1">
        <v>0</v>
      </c>
      <c r="AF14" s="1">
        <v>-1</v>
      </c>
      <c r="AK14" s="1" t="s">
        <v>2594</v>
      </c>
      <c r="AL14" s="1" t="s">
        <v>353</v>
      </c>
      <c r="AO14" s="1">
        <v>0</v>
      </c>
      <c r="AR14" s="1">
        <v>17.99</v>
      </c>
      <c r="AZ14" s="1">
        <v>0</v>
      </c>
      <c r="BC14" s="1">
        <v>0</v>
      </c>
      <c r="BG14" s="1">
        <v>0</v>
      </c>
      <c r="CF14" s="1">
        <v>0</v>
      </c>
      <c r="CG14" s="1">
        <v>0</v>
      </c>
      <c r="CI14" s="1">
        <v>0</v>
      </c>
      <c r="CK14" s="1" t="s">
        <v>348</v>
      </c>
    </row>
    <row r="15" s="1" customFormat="1" spans="1:92">
      <c r="A15" s="2">
        <v>46191</v>
      </c>
      <c r="B15" s="1" t="s">
        <v>2708</v>
      </c>
      <c r="C15" s="1" t="s">
        <v>146</v>
      </c>
      <c r="D15" s="1" t="s">
        <v>2709</v>
      </c>
      <c r="E15" s="1" t="s">
        <v>2680</v>
      </c>
      <c r="I15" s="1">
        <v>-1</v>
      </c>
      <c r="P15" s="1" t="s">
        <v>2592</v>
      </c>
      <c r="V15" s="1">
        <v>0</v>
      </c>
      <c r="W15" s="1">
        <v>0</v>
      </c>
      <c r="X15" s="1">
        <v>0</v>
      </c>
      <c r="Y15" s="1">
        <v>0</v>
      </c>
      <c r="Z15" s="1" t="s">
        <v>359</v>
      </c>
      <c r="AC15" s="1">
        <v>0</v>
      </c>
      <c r="AD15" s="1">
        <v>0</v>
      </c>
      <c r="AF15" s="1">
        <v>-1</v>
      </c>
      <c r="AK15" s="1" t="s">
        <v>2594</v>
      </c>
      <c r="AL15" s="1" t="s">
        <v>652</v>
      </c>
      <c r="AO15" s="1">
        <v>0</v>
      </c>
      <c r="AR15" s="1">
        <v>11.99</v>
      </c>
      <c r="AZ15" s="1">
        <v>0</v>
      </c>
      <c r="BC15" s="1">
        <v>0</v>
      </c>
      <c r="BG15" s="1">
        <v>0</v>
      </c>
      <c r="CF15" s="1">
        <v>0</v>
      </c>
      <c r="CG15" s="1">
        <v>0</v>
      </c>
      <c r="CI15" s="1">
        <v>0</v>
      </c>
      <c r="CK15" s="1" t="s">
        <v>348</v>
      </c>
    </row>
    <row r="16" s="1" customFormat="1" spans="1:92">
      <c r="A16" s="2">
        <v>46191</v>
      </c>
      <c r="B16" s="1" t="s">
        <v>2710</v>
      </c>
      <c r="C16" s="1" t="s">
        <v>147</v>
      </c>
      <c r="D16" s="1" t="s">
        <v>2711</v>
      </c>
      <c r="E16" s="1" t="s">
        <v>2712</v>
      </c>
      <c r="I16" s="1">
        <v>-1</v>
      </c>
      <c r="P16" s="1" t="s">
        <v>2592</v>
      </c>
      <c r="V16" s="1">
        <v>0</v>
      </c>
      <c r="W16" s="1">
        <v>0</v>
      </c>
      <c r="X16" s="1">
        <v>0</v>
      </c>
      <c r="Y16" s="1">
        <v>0</v>
      </c>
      <c r="Z16" s="1" t="s">
        <v>359</v>
      </c>
      <c r="AC16" s="1">
        <v>0</v>
      </c>
      <c r="AD16" s="1">
        <v>0</v>
      </c>
      <c r="AF16" s="1">
        <v>-1</v>
      </c>
      <c r="AK16" s="1" t="s">
        <v>2594</v>
      </c>
      <c r="AL16" s="1" t="s">
        <v>353</v>
      </c>
      <c r="AO16" s="1">
        <v>0</v>
      </c>
      <c r="AR16" s="1">
        <v>9.99</v>
      </c>
      <c r="AZ16" s="1">
        <v>0</v>
      </c>
      <c r="BC16" s="1">
        <v>0</v>
      </c>
      <c r="BG16" s="1">
        <v>0</v>
      </c>
      <c r="CF16" s="1">
        <v>0</v>
      </c>
      <c r="CG16" s="1">
        <v>0</v>
      </c>
      <c r="CI16" s="1">
        <v>0</v>
      </c>
      <c r="CK16" s="1" t="s">
        <v>348</v>
      </c>
    </row>
    <row r="17" s="1" customFormat="1" spans="1:89">
      <c r="A17" s="2">
        <v>46191</v>
      </c>
      <c r="B17" s="1" t="s">
        <v>2713</v>
      </c>
      <c r="C17" s="1" t="s">
        <v>148</v>
      </c>
      <c r="D17" s="1" t="s">
        <v>2714</v>
      </c>
      <c r="E17" s="1" t="s">
        <v>2715</v>
      </c>
      <c r="G17" s="1">
        <v>0</v>
      </c>
      <c r="H17" s="1">
        <v>0</v>
      </c>
      <c r="I17" s="1">
        <v>-1</v>
      </c>
      <c r="P17" s="1" t="s">
        <v>2592</v>
      </c>
      <c r="V17" s="1">
        <v>0</v>
      </c>
      <c r="W17" s="1">
        <v>0</v>
      </c>
      <c r="X17" s="1">
        <v>0</v>
      </c>
      <c r="Y17" s="1">
        <v>0</v>
      </c>
      <c r="Z17" s="1" t="s">
        <v>359</v>
      </c>
      <c r="AC17" s="1">
        <v>0</v>
      </c>
      <c r="AD17" s="1">
        <v>0</v>
      </c>
      <c r="AF17" s="1">
        <v>-1</v>
      </c>
      <c r="AI17" s="1" t="s">
        <v>341</v>
      </c>
      <c r="AK17" s="1" t="s">
        <v>2594</v>
      </c>
      <c r="AL17" s="1" t="s">
        <v>343</v>
      </c>
      <c r="AO17" s="1">
        <v>0</v>
      </c>
      <c r="AR17" s="1">
        <v>7.99</v>
      </c>
      <c r="AZ17" s="1">
        <v>0</v>
      </c>
      <c r="BC17" s="1">
        <v>0</v>
      </c>
      <c r="BD17" s="1">
        <v>0</v>
      </c>
      <c r="BE17" s="1">
        <v>0</v>
      </c>
      <c r="BF17" s="1">
        <v>0</v>
      </c>
      <c r="BG17" s="1">
        <v>0</v>
      </c>
      <c r="BH17" s="1">
        <v>0</v>
      </c>
      <c r="CF17" s="1">
        <v>0</v>
      </c>
      <c r="CG17" s="1">
        <v>0</v>
      </c>
      <c r="CH17" s="1">
        <v>0</v>
      </c>
      <c r="CI17" s="1">
        <v>0</v>
      </c>
      <c r="CK17" s="1" t="s">
        <v>348</v>
      </c>
    </row>
    <row r="18" s="1" customFormat="1" spans="1:89">
      <c r="A18" s="2">
        <v>46191</v>
      </c>
      <c r="B18" s="1" t="s">
        <v>2716</v>
      </c>
      <c r="C18" s="1" t="s">
        <v>149</v>
      </c>
      <c r="D18" s="1" t="s">
        <v>2717</v>
      </c>
      <c r="E18" s="1" t="s">
        <v>2718</v>
      </c>
      <c r="G18" s="1">
        <v>0</v>
      </c>
      <c r="H18" s="1">
        <v>0</v>
      </c>
      <c r="I18" s="1">
        <v>-1</v>
      </c>
      <c r="P18" s="1" t="s">
        <v>2592</v>
      </c>
      <c r="V18" s="1">
        <v>0</v>
      </c>
      <c r="W18" s="1">
        <v>0</v>
      </c>
      <c r="X18" s="1">
        <v>0</v>
      </c>
      <c r="Y18" s="1">
        <v>0</v>
      </c>
      <c r="Z18" s="1" t="s">
        <v>359</v>
      </c>
      <c r="AC18" s="1">
        <v>0</v>
      </c>
      <c r="AD18" s="1">
        <v>0</v>
      </c>
      <c r="AF18" s="1">
        <v>-1</v>
      </c>
      <c r="AI18" s="1" t="s">
        <v>341</v>
      </c>
      <c r="AK18" s="1" t="s">
        <v>2594</v>
      </c>
      <c r="AL18" s="1" t="s">
        <v>353</v>
      </c>
      <c r="AO18" s="1">
        <v>0</v>
      </c>
      <c r="AR18" s="1">
        <v>11.99</v>
      </c>
      <c r="AZ18" s="1">
        <v>0</v>
      </c>
      <c r="BC18" s="1">
        <v>0</v>
      </c>
      <c r="BD18" s="1">
        <v>0</v>
      </c>
      <c r="BE18" s="1">
        <v>0</v>
      </c>
      <c r="BF18" s="1">
        <v>0</v>
      </c>
      <c r="BG18" s="1">
        <v>0</v>
      </c>
      <c r="BH18" s="1">
        <v>0</v>
      </c>
      <c r="CF18" s="1">
        <v>0</v>
      </c>
      <c r="CG18" s="1">
        <v>0</v>
      </c>
      <c r="CH18" s="1">
        <v>0</v>
      </c>
      <c r="CI18" s="1">
        <v>0</v>
      </c>
      <c r="CK18" s="1" t="s">
        <v>348</v>
      </c>
    </row>
    <row r="19" s="1" customFormat="1" spans="1:89">
      <c r="A19" s="2">
        <v>46191</v>
      </c>
      <c r="B19" s="1" t="s">
        <v>2719</v>
      </c>
      <c r="C19" s="1" t="s">
        <v>150</v>
      </c>
      <c r="D19" s="1" t="s">
        <v>2720</v>
      </c>
      <c r="E19" s="1" t="s">
        <v>2721</v>
      </c>
      <c r="G19" s="1">
        <v>0</v>
      </c>
      <c r="H19" s="1">
        <v>0</v>
      </c>
      <c r="I19" s="1">
        <v>-1</v>
      </c>
      <c r="P19" s="1" t="s">
        <v>2592</v>
      </c>
      <c r="V19" s="1">
        <v>0</v>
      </c>
      <c r="W19" s="1">
        <v>0</v>
      </c>
      <c r="X19" s="1">
        <v>0</v>
      </c>
      <c r="Y19" s="1">
        <v>0</v>
      </c>
      <c r="Z19" s="1" t="s">
        <v>359</v>
      </c>
      <c r="AC19" s="1">
        <v>0</v>
      </c>
      <c r="AD19" s="1">
        <v>0</v>
      </c>
      <c r="AF19" s="1">
        <v>-1</v>
      </c>
      <c r="AI19" s="1" t="s">
        <v>341</v>
      </c>
      <c r="AK19" s="1" t="s">
        <v>2594</v>
      </c>
      <c r="AL19" s="1" t="s">
        <v>353</v>
      </c>
      <c r="AO19" s="1">
        <v>0</v>
      </c>
      <c r="AR19" s="1">
        <v>57.18</v>
      </c>
      <c r="AZ19" s="1">
        <v>0</v>
      </c>
      <c r="BC19" s="1">
        <v>0</v>
      </c>
      <c r="BD19" s="1">
        <v>0</v>
      </c>
      <c r="BE19" s="1">
        <v>0</v>
      </c>
      <c r="BF19" s="1">
        <v>0</v>
      </c>
      <c r="BG19" s="1">
        <v>0</v>
      </c>
      <c r="BH19" s="1">
        <v>0</v>
      </c>
      <c r="CF19" s="1">
        <v>0</v>
      </c>
      <c r="CG19" s="1">
        <v>0</v>
      </c>
      <c r="CH19" s="1">
        <v>0</v>
      </c>
      <c r="CI19" s="1">
        <v>0</v>
      </c>
      <c r="CK19" s="1" t="s">
        <v>348</v>
      </c>
    </row>
    <row r="20" s="1" customFormat="1" spans="1:89">
      <c r="A20" s="2">
        <v>46191</v>
      </c>
      <c r="B20" s="1" t="s">
        <v>2722</v>
      </c>
      <c r="C20" s="1" t="s">
        <v>151</v>
      </c>
      <c r="D20" s="1" t="s">
        <v>2723</v>
      </c>
      <c r="E20" s="1" t="s">
        <v>2724</v>
      </c>
      <c r="G20" s="1">
        <v>0</v>
      </c>
      <c r="H20" s="1">
        <v>0</v>
      </c>
      <c r="I20" s="1">
        <v>-1</v>
      </c>
      <c r="P20" s="1" t="s">
        <v>2592</v>
      </c>
      <c r="V20" s="1">
        <v>0</v>
      </c>
      <c r="W20" s="1">
        <v>0</v>
      </c>
      <c r="X20" s="1">
        <v>0</v>
      </c>
      <c r="Y20" s="1">
        <v>0</v>
      </c>
      <c r="Z20" s="1" t="s">
        <v>359</v>
      </c>
      <c r="AC20" s="1">
        <v>0</v>
      </c>
      <c r="AD20" s="1">
        <v>0</v>
      </c>
      <c r="AF20" s="1">
        <v>-1</v>
      </c>
      <c r="AI20" s="1" t="s">
        <v>341</v>
      </c>
      <c r="AK20" s="1" t="s">
        <v>2594</v>
      </c>
      <c r="AL20" s="1" t="s">
        <v>353</v>
      </c>
      <c r="AO20" s="1">
        <v>0</v>
      </c>
      <c r="AR20" s="1">
        <v>10.99</v>
      </c>
      <c r="AZ20" s="1">
        <v>0</v>
      </c>
      <c r="BC20" s="1">
        <v>0</v>
      </c>
      <c r="BD20" s="1">
        <v>0</v>
      </c>
      <c r="BE20" s="1">
        <v>0</v>
      </c>
      <c r="BF20" s="1">
        <v>0</v>
      </c>
      <c r="BG20" s="1">
        <v>0</v>
      </c>
      <c r="BH20" s="1">
        <v>0</v>
      </c>
      <c r="CF20" s="1">
        <v>0</v>
      </c>
      <c r="CG20" s="1">
        <v>0</v>
      </c>
      <c r="CH20" s="1">
        <v>0</v>
      </c>
      <c r="CI20" s="1">
        <v>0</v>
      </c>
      <c r="CK20" s="1" t="s">
        <v>348</v>
      </c>
    </row>
    <row r="21" s="1" customFormat="1" spans="1:89">
      <c r="A21" s="2">
        <v>46191</v>
      </c>
      <c r="B21" s="1" t="s">
        <v>2725</v>
      </c>
      <c r="C21" s="1" t="s">
        <v>152</v>
      </c>
      <c r="D21" s="1" t="s">
        <v>2726</v>
      </c>
      <c r="E21" s="1" t="s">
        <v>2727</v>
      </c>
      <c r="I21" s="1">
        <v>-1</v>
      </c>
      <c r="P21" s="1" t="s">
        <v>2592</v>
      </c>
      <c r="V21" s="1">
        <v>0</v>
      </c>
      <c r="W21" s="1">
        <v>0</v>
      </c>
      <c r="X21" s="1">
        <v>0</v>
      </c>
      <c r="Y21" s="1">
        <v>0</v>
      </c>
      <c r="Z21" s="1" t="s">
        <v>359</v>
      </c>
      <c r="AC21" s="1">
        <v>0</v>
      </c>
      <c r="AD21" s="1">
        <v>0</v>
      </c>
      <c r="AF21" s="1">
        <v>-1</v>
      </c>
      <c r="AK21" s="1" t="s">
        <v>2594</v>
      </c>
      <c r="AL21" s="1" t="s">
        <v>2728</v>
      </c>
      <c r="AO21" s="1">
        <v>0</v>
      </c>
      <c r="AR21" s="1">
        <v>12.99</v>
      </c>
      <c r="AZ21" s="1">
        <v>0</v>
      </c>
      <c r="BC21" s="1">
        <v>0</v>
      </c>
      <c r="BG21" s="1">
        <v>0</v>
      </c>
      <c r="CF21" s="1">
        <v>0</v>
      </c>
      <c r="CG21" s="1">
        <v>0</v>
      </c>
      <c r="CI21" s="1">
        <v>0</v>
      </c>
      <c r="CK21" s="1" t="s">
        <v>348</v>
      </c>
    </row>
    <row r="22" s="1" customFormat="1" spans="1:89">
      <c r="A22" s="2">
        <v>46191</v>
      </c>
      <c r="B22" s="1" t="s">
        <v>2729</v>
      </c>
      <c r="C22" s="1" t="s">
        <v>153</v>
      </c>
      <c r="D22" s="1" t="s">
        <v>2730</v>
      </c>
      <c r="E22" s="1" t="s">
        <v>2731</v>
      </c>
      <c r="G22" s="1">
        <v>0</v>
      </c>
      <c r="H22" s="1">
        <v>0</v>
      </c>
      <c r="I22" s="1">
        <v>-1</v>
      </c>
      <c r="P22" s="1" t="s">
        <v>2592</v>
      </c>
      <c r="V22" s="1">
        <v>0</v>
      </c>
      <c r="W22" s="1">
        <v>0</v>
      </c>
      <c r="X22" s="1">
        <v>0</v>
      </c>
      <c r="Y22" s="1">
        <v>0</v>
      </c>
      <c r="Z22" s="1" t="s">
        <v>359</v>
      </c>
      <c r="AC22" s="1">
        <v>0</v>
      </c>
      <c r="AD22" s="1">
        <v>0</v>
      </c>
      <c r="AF22" s="1">
        <v>-1</v>
      </c>
      <c r="AI22" s="1" t="s">
        <v>341</v>
      </c>
      <c r="AK22" s="1" t="s">
        <v>2594</v>
      </c>
      <c r="AL22" s="1" t="s">
        <v>465</v>
      </c>
      <c r="AO22" s="1">
        <v>0</v>
      </c>
      <c r="AR22" s="1">
        <v>18.19</v>
      </c>
      <c r="AZ22" s="1">
        <v>0</v>
      </c>
      <c r="BC22" s="1">
        <v>0</v>
      </c>
      <c r="BD22" s="1">
        <v>0</v>
      </c>
      <c r="BE22" s="1">
        <v>0</v>
      </c>
      <c r="BF22" s="1">
        <v>0</v>
      </c>
      <c r="BG22" s="1">
        <v>0</v>
      </c>
      <c r="BH22" s="1">
        <v>32</v>
      </c>
      <c r="CF22" s="1">
        <v>0</v>
      </c>
      <c r="CG22" s="1">
        <v>0</v>
      </c>
      <c r="CH22" s="1">
        <v>0</v>
      </c>
      <c r="CI22" s="1">
        <v>0</v>
      </c>
      <c r="CK22" s="1" t="s">
        <v>348</v>
      </c>
    </row>
    <row r="23" s="1" customFormat="1" spans="1:89">
      <c r="A23" s="2">
        <v>46191</v>
      </c>
      <c r="B23" s="1" t="s">
        <v>2732</v>
      </c>
      <c r="C23" s="1" t="s">
        <v>154</v>
      </c>
      <c r="D23" s="1" t="s">
        <v>2733</v>
      </c>
      <c r="E23" s="1" t="s">
        <v>2734</v>
      </c>
      <c r="G23" s="1">
        <v>0</v>
      </c>
      <c r="H23" s="1">
        <v>0</v>
      </c>
      <c r="I23" s="1">
        <v>-1</v>
      </c>
      <c r="P23" s="1" t="s">
        <v>2592</v>
      </c>
      <c r="V23" s="1">
        <v>0</v>
      </c>
      <c r="W23" s="1">
        <v>0</v>
      </c>
      <c r="X23" s="1">
        <v>0</v>
      </c>
      <c r="Y23" s="1">
        <v>0</v>
      </c>
      <c r="Z23" s="1" t="s">
        <v>359</v>
      </c>
      <c r="AC23" s="1">
        <v>0</v>
      </c>
      <c r="AD23" s="1">
        <v>0</v>
      </c>
      <c r="AF23" s="1">
        <v>-1</v>
      </c>
      <c r="AI23" s="1" t="s">
        <v>341</v>
      </c>
      <c r="AK23" s="1" t="s">
        <v>2594</v>
      </c>
      <c r="AL23" s="1" t="s">
        <v>465</v>
      </c>
      <c r="AO23" s="1">
        <v>0</v>
      </c>
      <c r="AR23" s="1">
        <v>15.11</v>
      </c>
      <c r="AZ23" s="1">
        <v>0</v>
      </c>
      <c r="BC23" s="1">
        <v>0</v>
      </c>
      <c r="BD23" s="1">
        <v>0</v>
      </c>
      <c r="BE23" s="1">
        <v>0</v>
      </c>
      <c r="BF23" s="1">
        <v>0</v>
      </c>
      <c r="BG23" s="1">
        <v>0</v>
      </c>
      <c r="BH23" s="1">
        <v>0</v>
      </c>
      <c r="CF23" s="1">
        <v>0</v>
      </c>
      <c r="CG23" s="1">
        <v>0</v>
      </c>
      <c r="CH23" s="1">
        <v>0</v>
      </c>
      <c r="CI23" s="1">
        <v>0</v>
      </c>
      <c r="CK23" s="1" t="s">
        <v>348</v>
      </c>
    </row>
    <row r="24" s="1" customFormat="1" spans="1:89">
      <c r="A24" s="2">
        <v>46191</v>
      </c>
      <c r="B24" s="1" t="s">
        <v>2735</v>
      </c>
      <c r="C24" s="1" t="s">
        <v>155</v>
      </c>
      <c r="D24" s="1" t="s">
        <v>2736</v>
      </c>
      <c r="E24" s="1" t="s">
        <v>2737</v>
      </c>
      <c r="I24" s="1">
        <v>-1</v>
      </c>
      <c r="P24" s="1" t="s">
        <v>2592</v>
      </c>
      <c r="V24" s="1">
        <v>0</v>
      </c>
      <c r="W24" s="1">
        <v>0</v>
      </c>
      <c r="X24" s="1">
        <v>0</v>
      </c>
      <c r="Y24" s="1">
        <v>0</v>
      </c>
      <c r="Z24" s="1" t="s">
        <v>359</v>
      </c>
      <c r="AC24" s="1">
        <v>0</v>
      </c>
      <c r="AD24" s="1">
        <v>0</v>
      </c>
      <c r="AF24" s="1">
        <v>-1</v>
      </c>
      <c r="AK24" s="1" t="s">
        <v>2594</v>
      </c>
      <c r="AL24" s="1" t="s">
        <v>404</v>
      </c>
      <c r="AO24" s="1">
        <v>0</v>
      </c>
      <c r="AR24" s="1">
        <v>19.99</v>
      </c>
      <c r="AZ24" s="1">
        <v>0</v>
      </c>
      <c r="BC24" s="1">
        <v>0</v>
      </c>
      <c r="BG24" s="1">
        <v>0</v>
      </c>
      <c r="CF24" s="1">
        <v>0</v>
      </c>
      <c r="CG24" s="1">
        <v>0</v>
      </c>
      <c r="CI24" s="1">
        <v>0</v>
      </c>
      <c r="CK24" s="1" t="s">
        <v>348</v>
      </c>
    </row>
    <row r="25" s="1" customFormat="1" spans="1:89">
      <c r="A25" s="2">
        <v>46191</v>
      </c>
      <c r="B25" s="1" t="s">
        <v>2738</v>
      </c>
      <c r="C25" s="1" t="s">
        <v>156</v>
      </c>
      <c r="D25" s="1" t="s">
        <v>2739</v>
      </c>
      <c r="E25" s="1" t="s">
        <v>2740</v>
      </c>
      <c r="I25" s="1">
        <v>-1</v>
      </c>
      <c r="P25" s="1" t="s">
        <v>2592</v>
      </c>
      <c r="V25" s="1">
        <v>0</v>
      </c>
      <c r="W25" s="1">
        <v>0</v>
      </c>
      <c r="X25" s="1">
        <v>0</v>
      </c>
      <c r="Y25" s="1">
        <v>0</v>
      </c>
      <c r="Z25" s="1" t="s">
        <v>359</v>
      </c>
      <c r="AC25" s="1">
        <v>0</v>
      </c>
      <c r="AD25" s="1">
        <v>0</v>
      </c>
      <c r="AF25" s="1">
        <v>-1</v>
      </c>
      <c r="AK25" s="1" t="s">
        <v>2594</v>
      </c>
      <c r="AL25" s="1" t="s">
        <v>465</v>
      </c>
      <c r="AN25" s="1">
        <v>0</v>
      </c>
      <c r="AO25" s="1">
        <v>0</v>
      </c>
      <c r="AR25" s="1">
        <v>16.99</v>
      </c>
      <c r="AZ25" s="1">
        <v>0</v>
      </c>
      <c r="BC25" s="1">
        <v>0</v>
      </c>
      <c r="BG25" s="1">
        <v>0</v>
      </c>
      <c r="BV25" s="1">
        <v>0</v>
      </c>
      <c r="BX25" s="1">
        <v>0</v>
      </c>
      <c r="CF25" s="1">
        <v>0</v>
      </c>
      <c r="CG25" s="1">
        <v>0</v>
      </c>
      <c r="CI25" s="1">
        <v>0</v>
      </c>
      <c r="CJ25" s="1">
        <v>0</v>
      </c>
      <c r="CK25" s="1" t="s">
        <v>348</v>
      </c>
    </row>
    <row r="26" s="1" customFormat="1" spans="1:89">
      <c r="A26" s="2">
        <v>46191</v>
      </c>
      <c r="B26" s="1" t="s">
        <v>2741</v>
      </c>
      <c r="C26" s="1" t="s">
        <v>157</v>
      </c>
      <c r="D26" s="1" t="s">
        <v>2742</v>
      </c>
      <c r="E26" s="1" t="s">
        <v>2743</v>
      </c>
      <c r="G26" s="1">
        <v>0</v>
      </c>
      <c r="H26" s="1">
        <v>0</v>
      </c>
      <c r="I26" s="1">
        <v>-1</v>
      </c>
      <c r="P26" s="1" t="s">
        <v>2592</v>
      </c>
      <c r="V26" s="1">
        <v>0</v>
      </c>
      <c r="W26" s="1">
        <v>0</v>
      </c>
      <c r="X26" s="1">
        <v>0</v>
      </c>
      <c r="Y26" s="1">
        <v>0</v>
      </c>
      <c r="Z26" s="1" t="s">
        <v>359</v>
      </c>
      <c r="AC26" s="1">
        <v>0</v>
      </c>
      <c r="AD26" s="1">
        <v>0</v>
      </c>
      <c r="AF26" s="1">
        <v>-1</v>
      </c>
      <c r="AI26" s="1" t="s">
        <v>341</v>
      </c>
      <c r="AK26" s="1" t="s">
        <v>2594</v>
      </c>
      <c r="AL26" s="1" t="s">
        <v>465</v>
      </c>
      <c r="AO26" s="1">
        <v>0</v>
      </c>
      <c r="AR26" s="1">
        <v>20.79</v>
      </c>
      <c r="AZ26" s="1">
        <v>0</v>
      </c>
      <c r="BC26" s="1">
        <v>0</v>
      </c>
      <c r="BD26" s="1">
        <v>0</v>
      </c>
      <c r="BE26" s="1">
        <v>0</v>
      </c>
      <c r="BF26" s="1">
        <v>0</v>
      </c>
      <c r="BG26" s="1">
        <v>0</v>
      </c>
      <c r="BH26" s="1">
        <v>0</v>
      </c>
      <c r="CF26" s="1">
        <v>0</v>
      </c>
      <c r="CG26" s="1">
        <v>0</v>
      </c>
      <c r="CH26" s="1">
        <v>0</v>
      </c>
      <c r="CI26" s="1">
        <v>0</v>
      </c>
      <c r="CK26" s="1" t="s">
        <v>348</v>
      </c>
    </row>
    <row r="27" s="1" customFormat="1" spans="1:89">
      <c r="A27" s="2">
        <v>46191</v>
      </c>
      <c r="B27" s="1" t="s">
        <v>2744</v>
      </c>
      <c r="C27" s="1" t="s">
        <v>158</v>
      </c>
      <c r="D27" s="1" t="s">
        <v>2745</v>
      </c>
      <c r="E27" s="1" t="s">
        <v>2746</v>
      </c>
      <c r="I27" s="1">
        <v>-1</v>
      </c>
      <c r="P27" s="1" t="s">
        <v>2592</v>
      </c>
      <c r="V27" s="1">
        <v>0</v>
      </c>
      <c r="W27" s="1">
        <v>0</v>
      </c>
      <c r="X27" s="1">
        <v>0</v>
      </c>
      <c r="Y27" s="1">
        <v>0</v>
      </c>
      <c r="Z27" s="1" t="s">
        <v>359</v>
      </c>
      <c r="AC27" s="1">
        <v>0</v>
      </c>
      <c r="AD27" s="1">
        <v>0</v>
      </c>
      <c r="AF27" s="1">
        <v>-1</v>
      </c>
      <c r="AK27" s="1" t="s">
        <v>2594</v>
      </c>
      <c r="AL27" s="1" t="s">
        <v>353</v>
      </c>
      <c r="AO27" s="1">
        <v>0</v>
      </c>
      <c r="AR27" s="1">
        <v>15.99</v>
      </c>
      <c r="AZ27" s="1">
        <v>0</v>
      </c>
      <c r="BC27" s="1">
        <v>0</v>
      </c>
      <c r="BG27" s="1">
        <v>0</v>
      </c>
      <c r="CF27" s="1">
        <v>0</v>
      </c>
      <c r="CG27" s="1">
        <v>0</v>
      </c>
      <c r="CI27" s="1">
        <v>0</v>
      </c>
      <c r="CK27" s="1" t="s">
        <v>348</v>
      </c>
    </row>
    <row r="28" s="1" customFormat="1" spans="1:89">
      <c r="A28" s="2">
        <v>46191</v>
      </c>
      <c r="B28" s="1" t="s">
        <v>2747</v>
      </c>
      <c r="C28" s="1" t="s">
        <v>159</v>
      </c>
      <c r="D28" s="1" t="s">
        <v>2748</v>
      </c>
      <c r="E28" s="1" t="s">
        <v>2749</v>
      </c>
      <c r="G28" s="1">
        <v>0</v>
      </c>
      <c r="H28" s="1">
        <v>0</v>
      </c>
      <c r="I28" s="1">
        <v>-1</v>
      </c>
      <c r="P28" s="1" t="s">
        <v>2592</v>
      </c>
      <c r="V28" s="1">
        <v>0</v>
      </c>
      <c r="W28" s="1">
        <v>0</v>
      </c>
      <c r="X28" s="1">
        <v>0</v>
      </c>
      <c r="Y28" s="1">
        <v>0</v>
      </c>
      <c r="Z28" s="1" t="s">
        <v>359</v>
      </c>
      <c r="AC28" s="1">
        <v>0</v>
      </c>
      <c r="AD28" s="1">
        <v>0</v>
      </c>
      <c r="AF28" s="1">
        <v>-1</v>
      </c>
      <c r="AI28" s="1" t="s">
        <v>341</v>
      </c>
      <c r="AK28" s="1" t="s">
        <v>2594</v>
      </c>
      <c r="AL28" s="1" t="s">
        <v>353</v>
      </c>
      <c r="AO28" s="1">
        <v>0</v>
      </c>
      <c r="AR28" s="1">
        <v>8.99</v>
      </c>
      <c r="AZ28" s="1">
        <v>0</v>
      </c>
      <c r="BC28" s="1">
        <v>0</v>
      </c>
      <c r="BD28" s="1">
        <v>0</v>
      </c>
      <c r="BE28" s="1">
        <v>0</v>
      </c>
      <c r="BF28" s="1">
        <v>0</v>
      </c>
      <c r="BG28" s="1">
        <v>0</v>
      </c>
      <c r="BH28" s="1">
        <v>0</v>
      </c>
      <c r="CF28" s="1">
        <v>0</v>
      </c>
      <c r="CG28" s="1">
        <v>0</v>
      </c>
      <c r="CH28" s="1">
        <v>0</v>
      </c>
      <c r="CI28" s="1">
        <v>0</v>
      </c>
      <c r="CK28" s="1" t="s">
        <v>348</v>
      </c>
    </row>
    <row r="29" s="1" customFormat="1" spans="1:89">
      <c r="A29" s="2">
        <v>46191</v>
      </c>
      <c r="B29" s="1" t="s">
        <v>2750</v>
      </c>
      <c r="C29" s="1" t="s">
        <v>160</v>
      </c>
      <c r="D29" s="1" t="s">
        <v>2751</v>
      </c>
      <c r="E29" s="1" t="s">
        <v>2752</v>
      </c>
      <c r="G29" s="1">
        <v>0</v>
      </c>
      <c r="H29" s="1">
        <v>0</v>
      </c>
      <c r="I29" s="1">
        <v>-1</v>
      </c>
      <c r="P29" s="1" t="s">
        <v>2592</v>
      </c>
      <c r="V29" s="1">
        <v>0</v>
      </c>
      <c r="W29" s="1">
        <v>0</v>
      </c>
      <c r="X29" s="1">
        <v>0</v>
      </c>
      <c r="Y29" s="1">
        <v>0</v>
      </c>
      <c r="Z29" s="1" t="s">
        <v>359</v>
      </c>
      <c r="AC29" s="1">
        <v>0</v>
      </c>
      <c r="AD29" s="1">
        <v>0</v>
      </c>
      <c r="AF29" s="1">
        <v>-1</v>
      </c>
      <c r="AI29" s="1" t="s">
        <v>341</v>
      </c>
      <c r="AK29" s="1" t="s">
        <v>2594</v>
      </c>
      <c r="AL29" s="1" t="s">
        <v>353</v>
      </c>
      <c r="AO29" s="1">
        <v>0</v>
      </c>
      <c r="AR29" s="1">
        <v>6.89</v>
      </c>
      <c r="AZ29" s="1">
        <v>0</v>
      </c>
      <c r="BC29" s="1">
        <v>0</v>
      </c>
      <c r="BD29" s="1">
        <v>0</v>
      </c>
      <c r="BE29" s="1">
        <v>0</v>
      </c>
      <c r="BF29" s="1">
        <v>0</v>
      </c>
      <c r="BG29" s="1">
        <v>0</v>
      </c>
      <c r="BH29" s="1">
        <v>0</v>
      </c>
      <c r="CF29" s="1">
        <v>0</v>
      </c>
      <c r="CG29" s="1">
        <v>0</v>
      </c>
      <c r="CH29" s="1">
        <v>0</v>
      </c>
      <c r="CI29" s="1">
        <v>0</v>
      </c>
      <c r="CK29" s="1" t="s">
        <v>348</v>
      </c>
    </row>
    <row r="30" s="1" customFormat="1" spans="1:89">
      <c r="A30" s="2">
        <v>46191</v>
      </c>
      <c r="B30" s="1" t="s">
        <v>2753</v>
      </c>
      <c r="C30" s="1" t="s">
        <v>161</v>
      </c>
      <c r="D30" s="1" t="s">
        <v>2754</v>
      </c>
      <c r="E30" s="1" t="s">
        <v>2755</v>
      </c>
      <c r="I30" s="1">
        <v>-1</v>
      </c>
      <c r="P30" s="1" t="s">
        <v>2592</v>
      </c>
      <c r="V30" s="1">
        <v>0</v>
      </c>
      <c r="W30" s="1">
        <v>0</v>
      </c>
      <c r="X30" s="1">
        <v>0</v>
      </c>
      <c r="Y30" s="1">
        <v>0</v>
      </c>
      <c r="Z30" s="1" t="s">
        <v>359</v>
      </c>
      <c r="AC30" s="1">
        <v>0</v>
      </c>
      <c r="AD30" s="1">
        <v>0</v>
      </c>
      <c r="AF30" s="1">
        <v>-1</v>
      </c>
      <c r="AK30" s="1" t="s">
        <v>2594</v>
      </c>
      <c r="AL30" s="1" t="s">
        <v>353</v>
      </c>
      <c r="AO30" s="1">
        <v>0</v>
      </c>
      <c r="AZ30" s="1">
        <v>0</v>
      </c>
      <c r="BC30" s="1">
        <v>0</v>
      </c>
      <c r="BG30" s="1">
        <v>0</v>
      </c>
      <c r="CF30" s="1">
        <v>0</v>
      </c>
      <c r="CG30" s="1">
        <v>0</v>
      </c>
      <c r="CI30" s="1">
        <v>0</v>
      </c>
      <c r="CK30" s="1" t="s">
        <v>348</v>
      </c>
    </row>
    <row r="31" s="1" customFormat="1" spans="1:89">
      <c r="A31" s="2">
        <v>46191</v>
      </c>
      <c r="B31" s="1" t="s">
        <v>2756</v>
      </c>
      <c r="C31" s="1" t="s">
        <v>127</v>
      </c>
      <c r="D31" s="1" t="s">
        <v>2757</v>
      </c>
      <c r="E31" s="1" t="s">
        <v>2666</v>
      </c>
      <c r="G31" s="1">
        <v>0</v>
      </c>
      <c r="H31" s="1">
        <v>0</v>
      </c>
      <c r="I31" s="1">
        <v>-1</v>
      </c>
      <c r="P31" s="1" t="s">
        <v>2592</v>
      </c>
      <c r="V31" s="1">
        <v>0</v>
      </c>
      <c r="W31" s="1">
        <v>0</v>
      </c>
      <c r="X31" s="1">
        <v>0</v>
      </c>
      <c r="Y31" s="1">
        <v>0</v>
      </c>
      <c r="Z31" s="1" t="s">
        <v>359</v>
      </c>
      <c r="AC31" s="1">
        <v>0</v>
      </c>
      <c r="AD31" s="1">
        <v>0</v>
      </c>
      <c r="AF31" s="1">
        <v>-1</v>
      </c>
      <c r="AI31" s="1" t="s">
        <v>341</v>
      </c>
      <c r="AK31" s="1" t="s">
        <v>2594</v>
      </c>
      <c r="AL31" s="1" t="s">
        <v>465</v>
      </c>
      <c r="AM31" s="1">
        <v>284482</v>
      </c>
      <c r="AN31" s="1">
        <v>0</v>
      </c>
      <c r="AO31" s="1">
        <v>0</v>
      </c>
      <c r="AR31" s="1">
        <v>14.24</v>
      </c>
      <c r="AZ31" s="1">
        <v>0</v>
      </c>
      <c r="BC31" s="1">
        <v>0</v>
      </c>
      <c r="BD31" s="1">
        <v>0</v>
      </c>
      <c r="BE31" s="1">
        <v>0</v>
      </c>
      <c r="BF31" s="1">
        <v>0</v>
      </c>
      <c r="BG31" s="1">
        <v>0</v>
      </c>
      <c r="BH31" s="1">
        <v>0</v>
      </c>
      <c r="BV31" s="1">
        <v>8</v>
      </c>
      <c r="BW31" s="1" t="s">
        <v>429</v>
      </c>
      <c r="BX31" s="1">
        <v>13</v>
      </c>
      <c r="BY31" s="2">
        <v>46188</v>
      </c>
      <c r="CF31" s="1">
        <v>0</v>
      </c>
      <c r="CG31" s="1">
        <v>0</v>
      </c>
      <c r="CH31" s="1">
        <v>0</v>
      </c>
      <c r="CI31" s="1">
        <v>0</v>
      </c>
      <c r="CJ31" s="1">
        <v>0</v>
      </c>
      <c r="CK31" s="1" t="s">
        <v>348</v>
      </c>
    </row>
    <row r="32" s="1" customFormat="1" spans="1:89">
      <c r="A32" s="2">
        <v>46191</v>
      </c>
      <c r="B32" s="1" t="s">
        <v>2758</v>
      </c>
      <c r="C32" s="1" t="s">
        <v>162</v>
      </c>
      <c r="D32" s="1" t="s">
        <v>2759</v>
      </c>
      <c r="E32" s="1" t="s">
        <v>2760</v>
      </c>
      <c r="G32" s="1">
        <v>0</v>
      </c>
      <c r="H32" s="1">
        <v>0</v>
      </c>
      <c r="I32" s="1">
        <v>-1</v>
      </c>
      <c r="P32" s="1" t="s">
        <v>2592</v>
      </c>
      <c r="V32" s="1">
        <v>0</v>
      </c>
      <c r="W32" s="1">
        <v>0</v>
      </c>
      <c r="X32" s="1">
        <v>0</v>
      </c>
      <c r="Y32" s="1">
        <v>0</v>
      </c>
      <c r="Z32" s="1" t="s">
        <v>359</v>
      </c>
      <c r="AC32" s="1">
        <v>0</v>
      </c>
      <c r="AD32" s="1">
        <v>0</v>
      </c>
      <c r="AF32" s="1">
        <v>-1</v>
      </c>
      <c r="AI32" s="1" t="s">
        <v>341</v>
      </c>
      <c r="AK32" s="1" t="s">
        <v>2594</v>
      </c>
      <c r="AL32" s="1" t="s">
        <v>465</v>
      </c>
      <c r="AO32" s="1">
        <v>0</v>
      </c>
      <c r="AR32" s="1">
        <v>10.99</v>
      </c>
      <c r="AZ32" s="1">
        <v>0</v>
      </c>
      <c r="BC32" s="1">
        <v>0</v>
      </c>
      <c r="BD32" s="1">
        <v>0</v>
      </c>
      <c r="BE32" s="1">
        <v>0</v>
      </c>
      <c r="BF32" s="1">
        <v>0</v>
      </c>
      <c r="BG32" s="1">
        <v>0</v>
      </c>
      <c r="BH32" s="1">
        <v>0</v>
      </c>
      <c r="CF32" s="1">
        <v>0</v>
      </c>
      <c r="CG32" s="1">
        <v>0</v>
      </c>
      <c r="CH32" s="1">
        <v>0</v>
      </c>
      <c r="CI32" s="1">
        <v>0</v>
      </c>
      <c r="CK32" s="1" t="s">
        <v>348</v>
      </c>
    </row>
    <row r="33" s="1" customFormat="1" spans="1:89">
      <c r="A33" s="2">
        <v>46191</v>
      </c>
      <c r="B33" s="1" t="s">
        <v>2761</v>
      </c>
      <c r="C33" s="1" t="s">
        <v>163</v>
      </c>
      <c r="D33" s="1" t="s">
        <v>2762</v>
      </c>
      <c r="E33" s="1" t="s">
        <v>2763</v>
      </c>
      <c r="I33" s="1">
        <v>-1</v>
      </c>
      <c r="P33" s="1" t="s">
        <v>2592</v>
      </c>
      <c r="V33" s="1">
        <v>0</v>
      </c>
      <c r="W33" s="1">
        <v>0</v>
      </c>
      <c r="X33" s="1">
        <v>0</v>
      </c>
      <c r="Y33" s="1">
        <v>0</v>
      </c>
      <c r="Z33" s="1" t="s">
        <v>359</v>
      </c>
      <c r="AC33" s="1">
        <v>0</v>
      </c>
      <c r="AD33" s="1">
        <v>0</v>
      </c>
      <c r="AF33" s="1">
        <v>-1</v>
      </c>
      <c r="AK33" s="1" t="s">
        <v>2594</v>
      </c>
      <c r="AL33" s="1" t="s">
        <v>353</v>
      </c>
      <c r="AO33" s="1">
        <v>0</v>
      </c>
      <c r="AR33" s="1">
        <v>18.14</v>
      </c>
      <c r="AZ33" s="1">
        <v>0</v>
      </c>
      <c r="BC33" s="1">
        <v>0</v>
      </c>
      <c r="BG33" s="1">
        <v>0</v>
      </c>
      <c r="CF33" s="1">
        <v>0</v>
      </c>
      <c r="CG33" s="1">
        <v>0</v>
      </c>
      <c r="CI33" s="1">
        <v>0</v>
      </c>
      <c r="CK33" s="1" t="s">
        <v>348</v>
      </c>
    </row>
    <row r="34" s="1" customFormat="1" spans="1:89">
      <c r="A34" s="2">
        <v>46191</v>
      </c>
      <c r="B34" s="1" t="s">
        <v>2764</v>
      </c>
      <c r="C34" s="1" t="s">
        <v>164</v>
      </c>
      <c r="D34" s="1" t="s">
        <v>2765</v>
      </c>
      <c r="E34" s="1" t="s">
        <v>2766</v>
      </c>
      <c r="G34" s="1">
        <v>0</v>
      </c>
      <c r="H34" s="1">
        <v>0</v>
      </c>
      <c r="I34" s="1">
        <v>-1</v>
      </c>
      <c r="P34" s="1" t="s">
        <v>2592</v>
      </c>
      <c r="Q34" s="1">
        <v>0</v>
      </c>
      <c r="R34" s="1">
        <v>0</v>
      </c>
      <c r="S34" s="1">
        <v>0</v>
      </c>
      <c r="T34" s="1">
        <v>0</v>
      </c>
      <c r="V34" s="1">
        <v>0</v>
      </c>
      <c r="W34" s="1">
        <v>0</v>
      </c>
      <c r="X34" s="1">
        <v>0</v>
      </c>
      <c r="Y34" s="1">
        <v>0</v>
      </c>
      <c r="Z34" s="1" t="s">
        <v>359</v>
      </c>
      <c r="AC34" s="1">
        <v>0</v>
      </c>
      <c r="AD34" s="1">
        <v>0</v>
      </c>
      <c r="AF34" s="1">
        <v>-1</v>
      </c>
      <c r="AI34" s="1" t="s">
        <v>341</v>
      </c>
      <c r="AK34" s="1" t="s">
        <v>2594</v>
      </c>
      <c r="AL34" s="1" t="s">
        <v>353</v>
      </c>
      <c r="AN34" s="1">
        <v>0</v>
      </c>
      <c r="AO34" s="1">
        <v>0</v>
      </c>
      <c r="AR34" s="1">
        <v>49.99</v>
      </c>
      <c r="AS34" s="1">
        <v>0</v>
      </c>
      <c r="AT34" s="1">
        <v>0</v>
      </c>
      <c r="AU34" s="1">
        <v>0</v>
      </c>
      <c r="AV34" s="1">
        <v>0</v>
      </c>
      <c r="AZ34" s="1">
        <v>0</v>
      </c>
      <c r="BC34" s="1">
        <v>0</v>
      </c>
      <c r="BD34" s="1">
        <v>0</v>
      </c>
      <c r="BE34" s="1">
        <v>0</v>
      </c>
      <c r="BF34" s="1">
        <v>0</v>
      </c>
      <c r="BG34" s="1">
        <v>0</v>
      </c>
      <c r="BH34" s="1">
        <v>0</v>
      </c>
      <c r="BV34" s="1">
        <v>0</v>
      </c>
      <c r="BX34" s="1">
        <v>0</v>
      </c>
      <c r="CF34" s="1">
        <v>0</v>
      </c>
      <c r="CG34" s="1">
        <v>0</v>
      </c>
      <c r="CH34" s="1">
        <v>0</v>
      </c>
      <c r="CI34" s="1">
        <v>0</v>
      </c>
      <c r="CJ34" s="1">
        <v>0</v>
      </c>
      <c r="CK34" s="1" t="s">
        <v>348</v>
      </c>
    </row>
    <row r="35" s="1" customFormat="1" spans="1:89">
      <c r="A35" s="2">
        <v>46191</v>
      </c>
      <c r="B35" s="1" t="s">
        <v>2767</v>
      </c>
      <c r="C35" s="1" t="s">
        <v>165</v>
      </c>
      <c r="D35" s="1" t="s">
        <v>231</v>
      </c>
      <c r="E35" s="1" t="s">
        <v>2768</v>
      </c>
      <c r="F35" s="1" t="s">
        <v>337</v>
      </c>
      <c r="G35" s="1">
        <v>49</v>
      </c>
      <c r="H35" s="1">
        <v>0</v>
      </c>
      <c r="I35" s="1">
        <v>0</v>
      </c>
      <c r="J35" s="1">
        <v>50</v>
      </c>
      <c r="K35" s="1">
        <v>0</v>
      </c>
      <c r="L35" s="1">
        <v>0</v>
      </c>
      <c r="M35" s="1">
        <v>0</v>
      </c>
      <c r="N35" s="1">
        <v>0</v>
      </c>
      <c r="O35" s="1">
        <v>0</v>
      </c>
      <c r="P35" s="1" t="s">
        <v>2592</v>
      </c>
      <c r="Q35" s="1">
        <v>1</v>
      </c>
      <c r="R35" s="1">
        <v>1</v>
      </c>
      <c r="S35" s="1">
        <v>2</v>
      </c>
      <c r="T35" s="1">
        <v>2</v>
      </c>
      <c r="U35" s="1" t="s">
        <v>351</v>
      </c>
      <c r="V35" s="1">
        <v>24.99</v>
      </c>
      <c r="W35" s="1">
        <v>0</v>
      </c>
      <c r="X35" s="1">
        <v>19.99</v>
      </c>
      <c r="Y35" s="1">
        <v>0</v>
      </c>
      <c r="Z35" s="1" t="s">
        <v>391</v>
      </c>
      <c r="AA35" s="1">
        <v>0</v>
      </c>
      <c r="AB35" s="1">
        <v>0</v>
      </c>
      <c r="AC35" s="1">
        <v>0</v>
      </c>
      <c r="AD35" s="1">
        <v>0</v>
      </c>
      <c r="AE35" s="1">
        <v>0</v>
      </c>
      <c r="AF35" s="1">
        <v>0.08</v>
      </c>
      <c r="AG35" s="1">
        <v>0.002403</v>
      </c>
      <c r="AH35" s="1" t="s">
        <v>2593</v>
      </c>
      <c r="AI35" s="1" t="s">
        <v>341</v>
      </c>
      <c r="AJ35" s="1">
        <v>0.117738</v>
      </c>
      <c r="AK35" s="1" t="s">
        <v>2594</v>
      </c>
      <c r="AL35" s="1" t="s">
        <v>343</v>
      </c>
      <c r="AM35" s="1">
        <v>295777</v>
      </c>
      <c r="AN35" s="1">
        <v>366</v>
      </c>
      <c r="AO35" s="1">
        <v>0</v>
      </c>
      <c r="AP35" s="1">
        <v>196</v>
      </c>
      <c r="AQ35" s="1">
        <v>318</v>
      </c>
      <c r="AR35" s="1">
        <v>20.16</v>
      </c>
      <c r="AS35" s="1">
        <v>16.8</v>
      </c>
      <c r="AT35" s="1">
        <v>16.8</v>
      </c>
      <c r="AU35" s="1">
        <v>35.28</v>
      </c>
      <c r="AV35" s="1">
        <v>35.28</v>
      </c>
      <c r="AW35" s="1">
        <v>0</v>
      </c>
      <c r="AX35" s="1">
        <v>50</v>
      </c>
      <c r="AY35" s="1">
        <v>0</v>
      </c>
      <c r="AZ35" s="1">
        <v>0</v>
      </c>
      <c r="BA35" s="1">
        <v>0</v>
      </c>
      <c r="BB35" s="1">
        <v>0</v>
      </c>
      <c r="BC35" s="1">
        <v>0</v>
      </c>
      <c r="BD35" s="1">
        <v>0</v>
      </c>
      <c r="BE35" s="1">
        <v>0</v>
      </c>
      <c r="BF35" s="1">
        <v>0</v>
      </c>
      <c r="BG35" s="1">
        <v>0</v>
      </c>
      <c r="BH35" s="1">
        <v>0</v>
      </c>
      <c r="BU35" s="1">
        <v>2562</v>
      </c>
      <c r="BV35" s="1">
        <v>6</v>
      </c>
      <c r="BX35" s="1">
        <v>0</v>
      </c>
      <c r="BZ35" s="2">
        <v>46188</v>
      </c>
      <c r="CA35" s="1" t="s">
        <v>345</v>
      </c>
      <c r="CB35" s="1" t="s">
        <v>346</v>
      </c>
      <c r="CC35" s="1">
        <v>1537</v>
      </c>
      <c r="CD35" s="1">
        <v>2562</v>
      </c>
      <c r="CE35" s="2">
        <v>46189</v>
      </c>
      <c r="CF35" s="1">
        <v>49</v>
      </c>
      <c r="CG35" s="1">
        <v>0</v>
      </c>
      <c r="CH35" s="1">
        <v>0</v>
      </c>
      <c r="CI35" s="1">
        <v>0</v>
      </c>
      <c r="CJ35" s="1">
        <v>366</v>
      </c>
      <c r="CK35" s="1" t="s">
        <v>348</v>
      </c>
    </row>
    <row r="36" s="1" customFormat="1" spans="1:89">
      <c r="A36" s="2">
        <v>46191</v>
      </c>
      <c r="B36" s="1" t="s">
        <v>2769</v>
      </c>
      <c r="C36" s="1" t="s">
        <v>166</v>
      </c>
      <c r="D36" s="1" t="s">
        <v>2770</v>
      </c>
      <c r="E36" s="1" t="s">
        <v>2771</v>
      </c>
      <c r="I36" s="1">
        <v>-1</v>
      </c>
      <c r="P36" s="1" t="s">
        <v>2592</v>
      </c>
      <c r="V36" s="1">
        <v>0</v>
      </c>
      <c r="W36" s="1">
        <v>0</v>
      </c>
      <c r="X36" s="1">
        <v>0</v>
      </c>
      <c r="Y36" s="1">
        <v>0</v>
      </c>
      <c r="Z36" s="1" t="s">
        <v>359</v>
      </c>
      <c r="AC36" s="1">
        <v>0</v>
      </c>
      <c r="AD36" s="1">
        <v>0</v>
      </c>
      <c r="AF36" s="1">
        <v>-1</v>
      </c>
      <c r="AK36" s="1" t="s">
        <v>2594</v>
      </c>
      <c r="AL36" s="1" t="s">
        <v>465</v>
      </c>
      <c r="AN36" s="1">
        <v>0</v>
      </c>
      <c r="AO36" s="1">
        <v>0</v>
      </c>
      <c r="AR36" s="1">
        <v>16.99</v>
      </c>
      <c r="AZ36" s="1">
        <v>0</v>
      </c>
      <c r="BC36" s="1">
        <v>0</v>
      </c>
      <c r="BG36" s="1">
        <v>0</v>
      </c>
      <c r="BV36" s="1">
        <v>0</v>
      </c>
      <c r="BX36" s="1">
        <v>0</v>
      </c>
      <c r="CF36" s="1">
        <v>0</v>
      </c>
      <c r="CG36" s="1">
        <v>0</v>
      </c>
      <c r="CI36" s="1">
        <v>0</v>
      </c>
      <c r="CJ36" s="1">
        <v>0</v>
      </c>
      <c r="CK36" s="1" t="s">
        <v>348</v>
      </c>
    </row>
    <row r="37" s="1" customFormat="1" spans="1:89">
      <c r="A37" s="2">
        <v>46191</v>
      </c>
      <c r="B37" s="1" t="s">
        <v>113</v>
      </c>
      <c r="C37" s="1" t="s">
        <v>113</v>
      </c>
      <c r="D37" s="1" t="s">
        <v>2772</v>
      </c>
      <c r="E37" s="1" t="s">
        <v>2625</v>
      </c>
      <c r="I37" s="1">
        <v>-1</v>
      </c>
      <c r="P37" s="1" t="s">
        <v>2592</v>
      </c>
      <c r="V37" s="1">
        <v>0</v>
      </c>
      <c r="W37" s="1">
        <v>0</v>
      </c>
      <c r="X37" s="1">
        <v>0</v>
      </c>
      <c r="Y37" s="1">
        <v>0</v>
      </c>
      <c r="Z37" s="1" t="s">
        <v>359</v>
      </c>
      <c r="AC37" s="1">
        <v>0</v>
      </c>
      <c r="AD37" s="1">
        <v>0</v>
      </c>
      <c r="AF37" s="1">
        <v>-1</v>
      </c>
      <c r="AK37" s="1" t="s">
        <v>2594</v>
      </c>
      <c r="AL37" s="1" t="s">
        <v>2473</v>
      </c>
      <c r="AM37" s="1">
        <v>387204</v>
      </c>
      <c r="AN37" s="1">
        <v>0</v>
      </c>
      <c r="AO37" s="1">
        <v>0</v>
      </c>
      <c r="AR37" s="1">
        <v>35.99</v>
      </c>
      <c r="AZ37" s="1">
        <v>0</v>
      </c>
      <c r="BC37" s="1">
        <v>0</v>
      </c>
      <c r="BG37" s="1">
        <v>0</v>
      </c>
      <c r="BV37" s="1">
        <v>0</v>
      </c>
      <c r="BX37" s="1">
        <v>0</v>
      </c>
      <c r="CF37" s="1">
        <v>0</v>
      </c>
      <c r="CG37" s="1">
        <v>0</v>
      </c>
      <c r="CI37" s="1">
        <v>0</v>
      </c>
      <c r="CJ37" s="1">
        <v>0</v>
      </c>
      <c r="CK37" s="1" t="s">
        <v>348</v>
      </c>
    </row>
    <row r="38" s="1" customFormat="1" spans="1:89">
      <c r="A38" s="2">
        <v>46191</v>
      </c>
      <c r="B38" s="1" t="s">
        <v>2773</v>
      </c>
      <c r="C38" s="1" t="s">
        <v>167</v>
      </c>
      <c r="D38" s="1" t="s">
        <v>2774</v>
      </c>
      <c r="E38" s="1" t="s">
        <v>2775</v>
      </c>
      <c r="I38" s="1">
        <v>-1</v>
      </c>
      <c r="P38" s="1" t="s">
        <v>2592</v>
      </c>
      <c r="V38" s="1">
        <v>0</v>
      </c>
      <c r="W38" s="1">
        <v>0</v>
      </c>
      <c r="X38" s="1">
        <v>0</v>
      </c>
      <c r="Y38" s="1">
        <v>0</v>
      </c>
      <c r="Z38" s="1" t="s">
        <v>359</v>
      </c>
      <c r="AC38" s="1">
        <v>0</v>
      </c>
      <c r="AD38" s="1">
        <v>0</v>
      </c>
      <c r="AF38" s="1">
        <v>-1</v>
      </c>
      <c r="AK38" s="1" t="s">
        <v>2594</v>
      </c>
      <c r="AL38" s="1" t="s">
        <v>353</v>
      </c>
      <c r="AO38" s="1">
        <v>0</v>
      </c>
      <c r="AR38" s="1">
        <v>14.99</v>
      </c>
      <c r="AZ38" s="1">
        <v>0</v>
      </c>
      <c r="BC38" s="1">
        <v>0</v>
      </c>
      <c r="BG38" s="1">
        <v>0</v>
      </c>
      <c r="CF38" s="1">
        <v>0</v>
      </c>
      <c r="CG38" s="1">
        <v>0</v>
      </c>
      <c r="CI38" s="1">
        <v>0</v>
      </c>
      <c r="CK38" s="1" t="s">
        <v>348</v>
      </c>
    </row>
    <row r="39" s="1" customFormat="1" spans="1:89">
      <c r="A39" s="2">
        <v>46191</v>
      </c>
      <c r="B39" s="1" t="s">
        <v>2776</v>
      </c>
      <c r="C39" s="1" t="s">
        <v>168</v>
      </c>
      <c r="D39" s="1" t="s">
        <v>2777</v>
      </c>
      <c r="E39" s="1" t="s">
        <v>2696</v>
      </c>
      <c r="G39" s="1">
        <v>0</v>
      </c>
      <c r="H39" s="1">
        <v>0</v>
      </c>
      <c r="I39" s="1">
        <v>-1</v>
      </c>
      <c r="P39" s="1" t="s">
        <v>2592</v>
      </c>
      <c r="V39" s="1">
        <v>0</v>
      </c>
      <c r="W39" s="1">
        <v>0</v>
      </c>
      <c r="X39" s="1">
        <v>0</v>
      </c>
      <c r="Y39" s="1">
        <v>0</v>
      </c>
      <c r="Z39" s="1" t="s">
        <v>359</v>
      </c>
      <c r="AC39" s="1">
        <v>0</v>
      </c>
      <c r="AD39" s="1">
        <v>0</v>
      </c>
      <c r="AF39" s="1">
        <v>-1</v>
      </c>
      <c r="AI39" s="1" t="s">
        <v>341</v>
      </c>
      <c r="AK39" s="1" t="s">
        <v>2594</v>
      </c>
      <c r="AL39" s="1" t="s">
        <v>652</v>
      </c>
      <c r="AO39" s="1">
        <v>0</v>
      </c>
      <c r="AZ39" s="1">
        <v>0</v>
      </c>
      <c r="BC39" s="1">
        <v>0</v>
      </c>
      <c r="BD39" s="1">
        <v>0</v>
      </c>
      <c r="BE39" s="1">
        <v>0</v>
      </c>
      <c r="BF39" s="1">
        <v>0</v>
      </c>
      <c r="BG39" s="1">
        <v>0</v>
      </c>
      <c r="BH39" s="1">
        <v>0</v>
      </c>
      <c r="CF39" s="1">
        <v>0</v>
      </c>
      <c r="CG39" s="1">
        <v>0</v>
      </c>
      <c r="CH39" s="1">
        <v>0</v>
      </c>
      <c r="CI39" s="1">
        <v>0</v>
      </c>
      <c r="CK39" s="1" t="s">
        <v>348</v>
      </c>
    </row>
    <row r="40" s="1" customFormat="1" spans="1:89">
      <c r="A40" s="2">
        <v>46191</v>
      </c>
      <c r="B40" s="1" t="s">
        <v>2778</v>
      </c>
      <c r="C40" s="1" t="s">
        <v>169</v>
      </c>
      <c r="D40" s="1" t="s">
        <v>2779</v>
      </c>
      <c r="E40" s="1" t="s">
        <v>2780</v>
      </c>
      <c r="G40" s="1">
        <v>0</v>
      </c>
      <c r="H40" s="1">
        <v>0</v>
      </c>
      <c r="I40" s="1">
        <v>-1</v>
      </c>
      <c r="P40" s="1" t="s">
        <v>2592</v>
      </c>
      <c r="V40" s="1">
        <v>0</v>
      </c>
      <c r="W40" s="1">
        <v>0</v>
      </c>
      <c r="X40" s="1">
        <v>0</v>
      </c>
      <c r="Y40" s="1">
        <v>0</v>
      </c>
      <c r="Z40" s="1" t="s">
        <v>359</v>
      </c>
      <c r="AC40" s="1">
        <v>0</v>
      </c>
      <c r="AD40" s="1">
        <v>0</v>
      </c>
      <c r="AF40" s="1">
        <v>-1</v>
      </c>
      <c r="AI40" s="1" t="s">
        <v>341</v>
      </c>
      <c r="AK40" s="1" t="s">
        <v>2594</v>
      </c>
      <c r="AL40" s="1" t="s">
        <v>465</v>
      </c>
      <c r="AO40" s="1">
        <v>0</v>
      </c>
      <c r="AR40" s="1">
        <v>34.07</v>
      </c>
      <c r="AZ40" s="1">
        <v>0</v>
      </c>
      <c r="BC40" s="1">
        <v>0</v>
      </c>
      <c r="BD40" s="1">
        <v>0</v>
      </c>
      <c r="BE40" s="1">
        <v>0</v>
      </c>
      <c r="BF40" s="1">
        <v>0</v>
      </c>
      <c r="BG40" s="1">
        <v>0</v>
      </c>
      <c r="BH40" s="1">
        <v>30</v>
      </c>
      <c r="CF40" s="1">
        <v>0</v>
      </c>
      <c r="CG40" s="1">
        <v>0</v>
      </c>
      <c r="CH40" s="1">
        <v>0</v>
      </c>
      <c r="CI40" s="1">
        <v>0</v>
      </c>
      <c r="CK40" s="1" t="s">
        <v>348</v>
      </c>
    </row>
    <row r="41" s="1" customFormat="1" spans="1:89">
      <c r="A41" s="2">
        <v>46191</v>
      </c>
      <c r="B41" s="1" t="s">
        <v>2781</v>
      </c>
      <c r="C41" s="1" t="s">
        <v>122</v>
      </c>
      <c r="D41" s="1" t="s">
        <v>232</v>
      </c>
      <c r="E41" s="1" t="s">
        <v>2652</v>
      </c>
      <c r="F41" s="1" t="s">
        <v>337</v>
      </c>
      <c r="G41" s="1">
        <v>0</v>
      </c>
      <c r="H41" s="1">
        <v>36</v>
      </c>
      <c r="I41" s="1">
        <v>0</v>
      </c>
      <c r="J41" s="1">
        <v>36</v>
      </c>
      <c r="K41" s="1">
        <v>0</v>
      </c>
      <c r="L41" s="1">
        <v>0</v>
      </c>
      <c r="M41" s="1">
        <v>0</v>
      </c>
      <c r="N41" s="1">
        <v>0</v>
      </c>
      <c r="O41" s="1">
        <v>0</v>
      </c>
      <c r="P41" s="1" t="s">
        <v>2592</v>
      </c>
      <c r="U41" s="1" t="s">
        <v>351</v>
      </c>
      <c r="V41" s="1">
        <v>41.32</v>
      </c>
      <c r="W41" s="1">
        <v>0</v>
      </c>
      <c r="X41" s="1">
        <v>26.99</v>
      </c>
      <c r="Y41" s="1">
        <v>0</v>
      </c>
      <c r="Z41" s="1" t="s">
        <v>359</v>
      </c>
      <c r="AC41" s="1">
        <v>0</v>
      </c>
      <c r="AD41" s="1">
        <v>0</v>
      </c>
      <c r="AF41" s="1">
        <v>0</v>
      </c>
      <c r="AG41" s="1">
        <v>0.003327</v>
      </c>
      <c r="AH41" s="1" t="s">
        <v>2593</v>
      </c>
      <c r="AI41" s="1" t="s">
        <v>341</v>
      </c>
      <c r="AJ41" s="1">
        <v>0</v>
      </c>
      <c r="AK41" s="1" t="s">
        <v>2594</v>
      </c>
      <c r="AL41" s="1" t="s">
        <v>465</v>
      </c>
      <c r="AO41" s="1">
        <v>0</v>
      </c>
      <c r="AR41" s="1">
        <v>28.99</v>
      </c>
      <c r="AW41" s="1">
        <v>36</v>
      </c>
      <c r="AX41" s="1">
        <v>0</v>
      </c>
      <c r="AY41" s="1">
        <v>0</v>
      </c>
      <c r="AZ41" s="1">
        <v>0</v>
      </c>
      <c r="BA41" s="1">
        <v>0</v>
      </c>
      <c r="BC41" s="1">
        <v>0</v>
      </c>
      <c r="BD41" s="1">
        <v>0</v>
      </c>
      <c r="BE41" s="1">
        <v>0</v>
      </c>
      <c r="BF41" s="1">
        <v>0</v>
      </c>
      <c r="BG41" s="1">
        <v>0</v>
      </c>
      <c r="BH41" s="1">
        <v>0</v>
      </c>
      <c r="CE41" s="2">
        <v>46189</v>
      </c>
      <c r="CF41" s="1">
        <v>36</v>
      </c>
      <c r="CG41" s="1">
        <v>0</v>
      </c>
      <c r="CH41" s="1">
        <v>0</v>
      </c>
      <c r="CI41" s="1">
        <v>0</v>
      </c>
      <c r="CK41" s="1" t="s">
        <v>348</v>
      </c>
    </row>
    <row r="42" s="1" customFormat="1" spans="1:89">
      <c r="A42" s="2">
        <v>46191</v>
      </c>
      <c r="B42" s="1" t="s">
        <v>2782</v>
      </c>
      <c r="C42" s="1" t="s">
        <v>170</v>
      </c>
      <c r="D42" s="1" t="s">
        <v>2783</v>
      </c>
      <c r="E42" s="1" t="s">
        <v>2784</v>
      </c>
      <c r="I42" s="1">
        <v>-1</v>
      </c>
      <c r="P42" s="1" t="s">
        <v>2592</v>
      </c>
      <c r="V42" s="1">
        <v>0</v>
      </c>
      <c r="W42" s="1">
        <v>0</v>
      </c>
      <c r="X42" s="1">
        <v>0</v>
      </c>
      <c r="Y42" s="1">
        <v>0</v>
      </c>
      <c r="Z42" s="1" t="s">
        <v>359</v>
      </c>
      <c r="AC42" s="1">
        <v>0</v>
      </c>
      <c r="AD42" s="1">
        <v>0</v>
      </c>
      <c r="AF42" s="1">
        <v>-1</v>
      </c>
      <c r="AK42" s="1" t="s">
        <v>2594</v>
      </c>
      <c r="AL42" s="1" t="s">
        <v>465</v>
      </c>
      <c r="AO42" s="1">
        <v>0</v>
      </c>
      <c r="AR42" s="1">
        <v>16.99</v>
      </c>
      <c r="AZ42" s="1">
        <v>0</v>
      </c>
      <c r="BC42" s="1">
        <v>0</v>
      </c>
      <c r="BG42" s="1">
        <v>0</v>
      </c>
      <c r="CF42" s="1">
        <v>0</v>
      </c>
      <c r="CG42" s="1">
        <v>0</v>
      </c>
      <c r="CI42" s="1">
        <v>0</v>
      </c>
      <c r="CK42" s="1" t="s">
        <v>348</v>
      </c>
    </row>
    <row r="43" s="1" customFormat="1" spans="1:89">
      <c r="A43" s="2">
        <v>46191</v>
      </c>
      <c r="B43" s="1" t="s">
        <v>2785</v>
      </c>
      <c r="C43" s="1" t="s">
        <v>171</v>
      </c>
      <c r="D43" s="1" t="s">
        <v>2786</v>
      </c>
      <c r="E43" s="1" t="s">
        <v>2787</v>
      </c>
      <c r="I43" s="1">
        <v>-1</v>
      </c>
      <c r="P43" s="1" t="s">
        <v>2592</v>
      </c>
      <c r="V43" s="1">
        <v>0</v>
      </c>
      <c r="W43" s="1">
        <v>0</v>
      </c>
      <c r="X43" s="1">
        <v>0</v>
      </c>
      <c r="Y43" s="1">
        <v>0</v>
      </c>
      <c r="Z43" s="1" t="s">
        <v>359</v>
      </c>
      <c r="AC43" s="1">
        <v>0</v>
      </c>
      <c r="AD43" s="1">
        <v>0</v>
      </c>
      <c r="AF43" s="1">
        <v>-1</v>
      </c>
      <c r="AK43" s="1" t="s">
        <v>2594</v>
      </c>
      <c r="AL43" s="1" t="s">
        <v>353</v>
      </c>
      <c r="AN43" s="1">
        <v>0</v>
      </c>
      <c r="AO43" s="1">
        <v>0</v>
      </c>
      <c r="AR43" s="1">
        <v>18.99</v>
      </c>
      <c r="AZ43" s="1">
        <v>0</v>
      </c>
      <c r="BC43" s="1">
        <v>0</v>
      </c>
      <c r="BG43" s="1">
        <v>0</v>
      </c>
      <c r="CF43" s="1">
        <v>0</v>
      </c>
      <c r="CG43" s="1">
        <v>0</v>
      </c>
      <c r="CI43" s="1">
        <v>0</v>
      </c>
      <c r="CJ43" s="1">
        <v>0</v>
      </c>
      <c r="CK43" s="1" t="s">
        <v>348</v>
      </c>
    </row>
    <row r="44" s="1" customFormat="1" spans="1:89">
      <c r="A44" s="2">
        <v>46191</v>
      </c>
      <c r="B44" s="1" t="s">
        <v>2788</v>
      </c>
      <c r="C44" s="1" t="s">
        <v>172</v>
      </c>
      <c r="D44" s="1" t="s">
        <v>2789</v>
      </c>
      <c r="E44" s="1" t="s">
        <v>2790</v>
      </c>
      <c r="G44" s="1">
        <v>0</v>
      </c>
      <c r="H44" s="1">
        <v>0</v>
      </c>
      <c r="I44" s="1">
        <v>-1</v>
      </c>
      <c r="P44" s="1" t="s">
        <v>2592</v>
      </c>
      <c r="V44" s="1">
        <v>0</v>
      </c>
      <c r="W44" s="1">
        <v>0</v>
      </c>
      <c r="X44" s="1">
        <v>0</v>
      </c>
      <c r="Y44" s="1">
        <v>0</v>
      </c>
      <c r="Z44" s="1" t="s">
        <v>359</v>
      </c>
      <c r="AC44" s="1">
        <v>0</v>
      </c>
      <c r="AD44" s="1">
        <v>0</v>
      </c>
      <c r="AF44" s="1">
        <v>-1</v>
      </c>
      <c r="AI44" s="1" t="s">
        <v>341</v>
      </c>
      <c r="AK44" s="1" t="s">
        <v>2594</v>
      </c>
      <c r="AL44" s="1" t="s">
        <v>353</v>
      </c>
      <c r="AO44" s="1">
        <v>0</v>
      </c>
      <c r="AR44" s="1">
        <v>48.8</v>
      </c>
      <c r="AZ44" s="1">
        <v>0</v>
      </c>
      <c r="BC44" s="1">
        <v>0</v>
      </c>
      <c r="BD44" s="1">
        <v>0</v>
      </c>
      <c r="BE44" s="1">
        <v>0</v>
      </c>
      <c r="BF44" s="1">
        <v>0</v>
      </c>
      <c r="BG44" s="1">
        <v>0</v>
      </c>
      <c r="BH44" s="1">
        <v>0</v>
      </c>
      <c r="CF44" s="1">
        <v>0</v>
      </c>
      <c r="CG44" s="1">
        <v>0</v>
      </c>
      <c r="CH44" s="1">
        <v>0</v>
      </c>
      <c r="CI44" s="1">
        <v>0</v>
      </c>
      <c r="CK44" s="1" t="s">
        <v>348</v>
      </c>
    </row>
    <row r="45" s="1" customFormat="1" spans="1:89">
      <c r="A45" s="2">
        <v>46191</v>
      </c>
      <c r="B45" s="1" t="s">
        <v>2791</v>
      </c>
      <c r="C45" s="1" t="s">
        <v>121</v>
      </c>
      <c r="D45" s="1" t="s">
        <v>627</v>
      </c>
      <c r="E45" s="1" t="s">
        <v>2649</v>
      </c>
      <c r="I45" s="1">
        <v>-1</v>
      </c>
      <c r="P45" s="1" t="s">
        <v>2592</v>
      </c>
      <c r="V45" s="1">
        <v>0</v>
      </c>
      <c r="W45" s="1">
        <v>0</v>
      </c>
      <c r="X45" s="1">
        <v>0</v>
      </c>
      <c r="Y45" s="1">
        <v>0</v>
      </c>
      <c r="Z45" s="1" t="s">
        <v>359</v>
      </c>
      <c r="AC45" s="1">
        <v>0</v>
      </c>
      <c r="AD45" s="1">
        <v>0</v>
      </c>
      <c r="AF45" s="1">
        <v>-1</v>
      </c>
      <c r="AK45" s="1" t="s">
        <v>2594</v>
      </c>
      <c r="AL45" s="1" t="s">
        <v>465</v>
      </c>
      <c r="AN45" s="1">
        <v>0</v>
      </c>
      <c r="AO45" s="1">
        <v>0</v>
      </c>
      <c r="AR45" s="1">
        <v>21.2</v>
      </c>
      <c r="AZ45" s="1">
        <v>0</v>
      </c>
      <c r="BC45" s="1">
        <v>0</v>
      </c>
      <c r="BG45" s="1">
        <v>0</v>
      </c>
      <c r="CF45" s="1">
        <v>0</v>
      </c>
      <c r="CG45" s="1">
        <v>0</v>
      </c>
      <c r="CI45" s="1">
        <v>0</v>
      </c>
      <c r="CJ45" s="1">
        <v>0</v>
      </c>
      <c r="CK45" s="1" t="s">
        <v>348</v>
      </c>
    </row>
    <row r="46" s="1" customFormat="1" spans="1:89">
      <c r="A46" s="2">
        <v>46191</v>
      </c>
      <c r="B46" s="1" t="s">
        <v>2792</v>
      </c>
      <c r="C46" s="1" t="s">
        <v>173</v>
      </c>
      <c r="D46" s="1" t="s">
        <v>2793</v>
      </c>
      <c r="E46" s="1" t="s">
        <v>2794</v>
      </c>
      <c r="I46" s="1">
        <v>-1</v>
      </c>
      <c r="P46" s="1" t="s">
        <v>2592</v>
      </c>
      <c r="V46" s="1">
        <v>0</v>
      </c>
      <c r="W46" s="1">
        <v>0</v>
      </c>
      <c r="X46" s="1">
        <v>0</v>
      </c>
      <c r="Y46" s="1">
        <v>0</v>
      </c>
      <c r="Z46" s="1" t="s">
        <v>359</v>
      </c>
      <c r="AC46" s="1">
        <v>0</v>
      </c>
      <c r="AD46" s="1">
        <v>0</v>
      </c>
      <c r="AF46" s="1">
        <v>-1</v>
      </c>
      <c r="AK46" s="1" t="s">
        <v>2594</v>
      </c>
      <c r="AL46" s="1" t="s">
        <v>353</v>
      </c>
      <c r="AO46" s="1">
        <v>0</v>
      </c>
      <c r="AR46" s="1">
        <v>9.99</v>
      </c>
      <c r="AZ46" s="1">
        <v>0</v>
      </c>
      <c r="BC46" s="1">
        <v>0</v>
      </c>
      <c r="BG46" s="1">
        <v>0</v>
      </c>
      <c r="CF46" s="1">
        <v>0</v>
      </c>
      <c r="CG46" s="1">
        <v>0</v>
      </c>
      <c r="CI46" s="1">
        <v>0</v>
      </c>
      <c r="CK46" s="1" t="s">
        <v>348</v>
      </c>
    </row>
    <row r="47" s="1" customFormat="1" spans="1:89">
      <c r="A47" s="2">
        <v>46191</v>
      </c>
      <c r="B47" s="1" t="s">
        <v>2795</v>
      </c>
      <c r="C47" s="1" t="s">
        <v>105</v>
      </c>
      <c r="D47" s="1" t="s">
        <v>233</v>
      </c>
      <c r="E47" s="1" t="s">
        <v>2603</v>
      </c>
      <c r="F47" s="1" t="s">
        <v>337</v>
      </c>
      <c r="G47" s="1">
        <v>14</v>
      </c>
      <c r="H47" s="1">
        <v>1</v>
      </c>
      <c r="I47" s="1">
        <v>0</v>
      </c>
      <c r="J47" s="1">
        <v>15</v>
      </c>
      <c r="K47" s="1">
        <v>0</v>
      </c>
      <c r="L47" s="1">
        <v>0</v>
      </c>
      <c r="M47" s="1">
        <v>0</v>
      </c>
      <c r="N47" s="1">
        <v>0</v>
      </c>
      <c r="O47" s="1">
        <v>0</v>
      </c>
      <c r="P47" s="1" t="s">
        <v>2592</v>
      </c>
      <c r="U47" s="1" t="s">
        <v>351</v>
      </c>
      <c r="V47" s="1">
        <v>35.81</v>
      </c>
      <c r="W47" s="1">
        <v>0</v>
      </c>
      <c r="X47" s="1">
        <v>18.99</v>
      </c>
      <c r="Y47" s="1">
        <v>0</v>
      </c>
      <c r="Z47" s="1" t="s">
        <v>613</v>
      </c>
      <c r="AC47" s="1">
        <v>0</v>
      </c>
      <c r="AD47" s="1">
        <v>0</v>
      </c>
      <c r="AF47" s="1">
        <v>0</v>
      </c>
      <c r="AG47" s="1">
        <v>0.001632</v>
      </c>
      <c r="AH47" s="1" t="s">
        <v>2593</v>
      </c>
      <c r="AI47" s="1" t="s">
        <v>341</v>
      </c>
      <c r="AJ47" s="1">
        <v>0.022853</v>
      </c>
      <c r="AK47" s="1" t="s">
        <v>2594</v>
      </c>
      <c r="AL47" s="1" t="s">
        <v>404</v>
      </c>
      <c r="AM47" s="1">
        <v>1022710</v>
      </c>
      <c r="AO47" s="1">
        <v>0</v>
      </c>
      <c r="AR47" s="1">
        <v>35.99</v>
      </c>
      <c r="AW47" s="1">
        <v>15</v>
      </c>
      <c r="AX47" s="1">
        <v>0</v>
      </c>
      <c r="AY47" s="1">
        <v>0</v>
      </c>
      <c r="AZ47" s="1">
        <v>0</v>
      </c>
      <c r="BA47" s="1">
        <v>0</v>
      </c>
      <c r="BC47" s="1">
        <v>0</v>
      </c>
      <c r="BD47" s="1">
        <v>0</v>
      </c>
      <c r="BE47" s="1">
        <v>0</v>
      </c>
      <c r="BF47" s="1">
        <v>0</v>
      </c>
      <c r="BG47" s="1">
        <v>0</v>
      </c>
      <c r="BH47" s="1">
        <v>0</v>
      </c>
      <c r="CE47" s="2">
        <v>46189</v>
      </c>
      <c r="CF47" s="1">
        <v>15</v>
      </c>
      <c r="CG47" s="1">
        <v>0</v>
      </c>
      <c r="CH47" s="1">
        <v>0</v>
      </c>
      <c r="CI47" s="1">
        <v>0</v>
      </c>
      <c r="CK47" s="1" t="s">
        <v>348</v>
      </c>
    </row>
    <row r="48" s="1" customFormat="1" spans="1:89">
      <c r="A48" s="2">
        <v>46191</v>
      </c>
      <c r="B48" s="1" t="s">
        <v>2796</v>
      </c>
      <c r="C48" s="1" t="s">
        <v>174</v>
      </c>
      <c r="D48" s="1" t="s">
        <v>2797</v>
      </c>
      <c r="E48" s="1" t="s">
        <v>2798</v>
      </c>
      <c r="G48" s="1">
        <v>0</v>
      </c>
      <c r="H48" s="1">
        <v>0</v>
      </c>
      <c r="I48" s="1">
        <v>-1</v>
      </c>
      <c r="P48" s="1" t="s">
        <v>2592</v>
      </c>
      <c r="V48" s="1">
        <v>0</v>
      </c>
      <c r="W48" s="1">
        <v>0</v>
      </c>
      <c r="X48" s="1">
        <v>0</v>
      </c>
      <c r="Y48" s="1">
        <v>0</v>
      </c>
      <c r="Z48" s="1" t="s">
        <v>359</v>
      </c>
      <c r="AC48" s="1">
        <v>0</v>
      </c>
      <c r="AD48" s="1">
        <v>0</v>
      </c>
      <c r="AF48" s="1">
        <v>-1</v>
      </c>
      <c r="AI48" s="1" t="s">
        <v>341</v>
      </c>
      <c r="AK48" s="1" t="s">
        <v>2594</v>
      </c>
      <c r="AL48" s="1" t="s">
        <v>353</v>
      </c>
      <c r="AN48" s="1">
        <v>0</v>
      </c>
      <c r="AO48" s="1">
        <v>0</v>
      </c>
      <c r="AR48" s="1">
        <v>33.13</v>
      </c>
      <c r="AZ48" s="1">
        <v>0</v>
      </c>
      <c r="BC48" s="1">
        <v>0</v>
      </c>
      <c r="BD48" s="1">
        <v>0</v>
      </c>
      <c r="BE48" s="1">
        <v>0</v>
      </c>
      <c r="BF48" s="1">
        <v>0</v>
      </c>
      <c r="BG48" s="1">
        <v>0</v>
      </c>
      <c r="BH48" s="1">
        <v>0</v>
      </c>
      <c r="CF48" s="1">
        <v>0</v>
      </c>
      <c r="CG48" s="1">
        <v>0</v>
      </c>
      <c r="CH48" s="1">
        <v>0</v>
      </c>
      <c r="CI48" s="1">
        <v>0</v>
      </c>
      <c r="CJ48" s="1">
        <v>0</v>
      </c>
      <c r="CK48" s="1" t="s">
        <v>348</v>
      </c>
    </row>
    <row r="49" s="1" customFormat="1" spans="1:89">
      <c r="A49" s="2">
        <v>46191</v>
      </c>
      <c r="B49" s="1" t="s">
        <v>2799</v>
      </c>
      <c r="C49" s="1" t="s">
        <v>175</v>
      </c>
      <c r="D49" s="1" t="s">
        <v>2800</v>
      </c>
      <c r="E49" s="1" t="s">
        <v>2801</v>
      </c>
      <c r="I49" s="1">
        <v>-1</v>
      </c>
      <c r="P49" s="1" t="s">
        <v>2592</v>
      </c>
      <c r="V49" s="1">
        <v>0</v>
      </c>
      <c r="W49" s="1">
        <v>0</v>
      </c>
      <c r="X49" s="1">
        <v>0</v>
      </c>
      <c r="Y49" s="1">
        <v>0</v>
      </c>
      <c r="Z49" s="1" t="s">
        <v>359</v>
      </c>
      <c r="AC49" s="1">
        <v>0</v>
      </c>
      <c r="AD49" s="1">
        <v>0</v>
      </c>
      <c r="AF49" s="1">
        <v>-1</v>
      </c>
      <c r="AK49" s="1" t="s">
        <v>2594</v>
      </c>
      <c r="AL49" s="1" t="s">
        <v>353</v>
      </c>
      <c r="AO49" s="1">
        <v>0</v>
      </c>
      <c r="AR49" s="1">
        <v>9.49</v>
      </c>
      <c r="AZ49" s="1">
        <v>0</v>
      </c>
      <c r="BC49" s="1">
        <v>0</v>
      </c>
      <c r="BG49" s="1">
        <v>0</v>
      </c>
      <c r="BV49" s="1">
        <v>0</v>
      </c>
      <c r="BX49" s="1">
        <v>0</v>
      </c>
      <c r="CF49" s="1">
        <v>0</v>
      </c>
      <c r="CG49" s="1">
        <v>0</v>
      </c>
      <c r="CI49" s="1">
        <v>0</v>
      </c>
      <c r="CK49" s="1" t="s">
        <v>348</v>
      </c>
    </row>
    <row r="50" s="1" customFormat="1" spans="1:89">
      <c r="A50" s="2">
        <v>46191</v>
      </c>
      <c r="B50" s="1" t="s">
        <v>2802</v>
      </c>
      <c r="C50" s="1" t="s">
        <v>176</v>
      </c>
      <c r="D50" s="1" t="s">
        <v>2803</v>
      </c>
      <c r="E50" s="1" t="s">
        <v>2804</v>
      </c>
      <c r="I50" s="1">
        <v>-1</v>
      </c>
      <c r="P50" s="1" t="s">
        <v>2592</v>
      </c>
      <c r="V50" s="1">
        <v>0</v>
      </c>
      <c r="W50" s="1">
        <v>0</v>
      </c>
      <c r="X50" s="1">
        <v>0</v>
      </c>
      <c r="Y50" s="1">
        <v>0</v>
      </c>
      <c r="Z50" s="1" t="s">
        <v>359</v>
      </c>
      <c r="AC50" s="1">
        <v>0</v>
      </c>
      <c r="AD50" s="1">
        <v>0</v>
      </c>
      <c r="AF50" s="1">
        <v>-1</v>
      </c>
      <c r="AK50" s="1" t="s">
        <v>2594</v>
      </c>
      <c r="AL50" s="1" t="s">
        <v>465</v>
      </c>
      <c r="AO50" s="1">
        <v>0</v>
      </c>
      <c r="AR50" s="1">
        <v>13.99</v>
      </c>
      <c r="AZ50" s="1">
        <v>0</v>
      </c>
      <c r="BC50" s="1">
        <v>0</v>
      </c>
      <c r="BG50" s="1">
        <v>0</v>
      </c>
      <c r="CF50" s="1">
        <v>0</v>
      </c>
      <c r="CG50" s="1">
        <v>0</v>
      </c>
      <c r="CI50" s="1">
        <v>0</v>
      </c>
      <c r="CK50" s="1" t="s">
        <v>348</v>
      </c>
    </row>
    <row r="51" s="1" customFormat="1" spans="1:89">
      <c r="A51" s="2">
        <v>46191</v>
      </c>
      <c r="B51" s="1" t="s">
        <v>2805</v>
      </c>
      <c r="C51" s="1" t="s">
        <v>117</v>
      </c>
      <c r="D51" s="1" t="s">
        <v>2806</v>
      </c>
      <c r="E51" s="1" t="s">
        <v>2637</v>
      </c>
      <c r="I51" s="1">
        <v>-1</v>
      </c>
      <c r="P51" s="1" t="s">
        <v>2592</v>
      </c>
      <c r="V51" s="1">
        <v>0</v>
      </c>
      <c r="W51" s="1">
        <v>0</v>
      </c>
      <c r="X51" s="1">
        <v>0</v>
      </c>
      <c r="Y51" s="1">
        <v>0</v>
      </c>
      <c r="Z51" s="1" t="s">
        <v>359</v>
      </c>
      <c r="AC51" s="1">
        <v>0</v>
      </c>
      <c r="AD51" s="1">
        <v>0</v>
      </c>
      <c r="AF51" s="1">
        <v>-1</v>
      </c>
      <c r="AK51" s="1" t="s">
        <v>2594</v>
      </c>
      <c r="AL51" s="1" t="s">
        <v>353</v>
      </c>
      <c r="AO51" s="1">
        <v>0</v>
      </c>
      <c r="AR51" s="1">
        <v>19.99</v>
      </c>
      <c r="AZ51" s="1">
        <v>0</v>
      </c>
      <c r="BC51" s="1">
        <v>0</v>
      </c>
      <c r="BG51" s="1">
        <v>0</v>
      </c>
      <c r="BV51" s="1">
        <v>0</v>
      </c>
      <c r="BX51" s="1">
        <v>0</v>
      </c>
      <c r="CF51" s="1">
        <v>0</v>
      </c>
      <c r="CG51" s="1">
        <v>0</v>
      </c>
      <c r="CI51" s="1">
        <v>0</v>
      </c>
      <c r="CK51" s="1" t="s">
        <v>348</v>
      </c>
    </row>
    <row r="52" s="1" customFormat="1" spans="1:89">
      <c r="A52" s="2">
        <v>46191</v>
      </c>
      <c r="B52" s="1" t="s">
        <v>2807</v>
      </c>
      <c r="C52" s="1" t="s">
        <v>177</v>
      </c>
      <c r="D52" s="1" t="s">
        <v>2808</v>
      </c>
      <c r="E52" s="1" t="s">
        <v>2809</v>
      </c>
      <c r="G52" s="1">
        <v>0</v>
      </c>
      <c r="H52" s="1">
        <v>0</v>
      </c>
      <c r="I52" s="1">
        <v>-1</v>
      </c>
      <c r="P52" s="1" t="s">
        <v>2592</v>
      </c>
      <c r="V52" s="1">
        <v>0</v>
      </c>
      <c r="W52" s="1">
        <v>0</v>
      </c>
      <c r="X52" s="1">
        <v>0</v>
      </c>
      <c r="Y52" s="1">
        <v>0</v>
      </c>
      <c r="Z52" s="1" t="s">
        <v>359</v>
      </c>
      <c r="AC52" s="1">
        <v>0</v>
      </c>
      <c r="AD52" s="1">
        <v>0</v>
      </c>
      <c r="AF52" s="1">
        <v>-1</v>
      </c>
      <c r="AI52" s="1" t="s">
        <v>341</v>
      </c>
      <c r="AK52" s="1" t="s">
        <v>2594</v>
      </c>
      <c r="AL52" s="1" t="s">
        <v>465</v>
      </c>
      <c r="AO52" s="1">
        <v>0</v>
      </c>
      <c r="AR52" s="1">
        <v>25.99</v>
      </c>
      <c r="AZ52" s="1">
        <v>0</v>
      </c>
      <c r="BC52" s="1">
        <v>0</v>
      </c>
      <c r="BD52" s="1">
        <v>0</v>
      </c>
      <c r="BE52" s="1">
        <v>0</v>
      </c>
      <c r="BF52" s="1">
        <v>0</v>
      </c>
      <c r="BG52" s="1">
        <v>0</v>
      </c>
      <c r="BH52" s="1">
        <v>12</v>
      </c>
      <c r="CF52" s="1">
        <v>0</v>
      </c>
      <c r="CG52" s="1">
        <v>0</v>
      </c>
      <c r="CH52" s="1">
        <v>0</v>
      </c>
      <c r="CI52" s="1">
        <v>0</v>
      </c>
      <c r="CK52" s="1" t="s">
        <v>348</v>
      </c>
    </row>
    <row r="53" s="1" customFormat="1" spans="1:89">
      <c r="A53" s="2">
        <v>46191</v>
      </c>
      <c r="B53" s="1" t="s">
        <v>2810</v>
      </c>
      <c r="C53" s="1" t="s">
        <v>108</v>
      </c>
      <c r="D53" s="1" t="s">
        <v>2811</v>
      </c>
      <c r="E53" s="1" t="s">
        <v>2612</v>
      </c>
      <c r="I53" s="1">
        <v>-1</v>
      </c>
      <c r="P53" s="1" t="s">
        <v>2592</v>
      </c>
      <c r="V53" s="1">
        <v>0</v>
      </c>
      <c r="W53" s="1">
        <v>0</v>
      </c>
      <c r="X53" s="1">
        <v>0</v>
      </c>
      <c r="Y53" s="1">
        <v>0</v>
      </c>
      <c r="Z53" s="1" t="s">
        <v>359</v>
      </c>
      <c r="AC53" s="1">
        <v>0</v>
      </c>
      <c r="AD53" s="1">
        <v>0</v>
      </c>
      <c r="AF53" s="1">
        <v>-1</v>
      </c>
      <c r="AK53" s="1" t="s">
        <v>2594</v>
      </c>
      <c r="AL53" s="1" t="s">
        <v>2473</v>
      </c>
      <c r="AM53" s="1">
        <v>460145</v>
      </c>
      <c r="AN53" s="1">
        <v>0</v>
      </c>
      <c r="AO53" s="1">
        <v>0</v>
      </c>
      <c r="AR53" s="1">
        <v>33.49</v>
      </c>
      <c r="AZ53" s="1">
        <v>0</v>
      </c>
      <c r="BC53" s="1">
        <v>0</v>
      </c>
      <c r="BG53" s="1">
        <v>0</v>
      </c>
      <c r="BV53" s="1">
        <v>0</v>
      </c>
      <c r="BX53" s="1">
        <v>0</v>
      </c>
      <c r="CF53" s="1">
        <v>0</v>
      </c>
      <c r="CG53" s="1">
        <v>0</v>
      </c>
      <c r="CI53" s="1">
        <v>0</v>
      </c>
      <c r="CJ53" s="1">
        <v>0</v>
      </c>
      <c r="CK53" s="1" t="s">
        <v>348</v>
      </c>
    </row>
    <row r="54" s="1" customFormat="1" spans="1:89">
      <c r="A54" s="2">
        <v>46191</v>
      </c>
      <c r="B54" s="1" t="s">
        <v>2812</v>
      </c>
      <c r="C54" s="1" t="s">
        <v>178</v>
      </c>
      <c r="D54" s="1" t="s">
        <v>2813</v>
      </c>
      <c r="E54" s="1" t="s">
        <v>2814</v>
      </c>
      <c r="I54" s="1">
        <v>-1</v>
      </c>
      <c r="P54" s="1" t="s">
        <v>2592</v>
      </c>
      <c r="V54" s="1">
        <v>0</v>
      </c>
      <c r="W54" s="1">
        <v>0</v>
      </c>
      <c r="X54" s="1">
        <v>0</v>
      </c>
      <c r="Y54" s="1">
        <v>0</v>
      </c>
      <c r="Z54" s="1" t="s">
        <v>359</v>
      </c>
      <c r="AC54" s="1">
        <v>0</v>
      </c>
      <c r="AD54" s="1">
        <v>0</v>
      </c>
      <c r="AF54" s="1">
        <v>-1</v>
      </c>
      <c r="AK54" s="1" t="s">
        <v>2594</v>
      </c>
      <c r="AL54" s="1" t="s">
        <v>404</v>
      </c>
      <c r="AO54" s="1">
        <v>0</v>
      </c>
      <c r="AZ54" s="1">
        <v>0</v>
      </c>
      <c r="BC54" s="1">
        <v>0</v>
      </c>
      <c r="BG54" s="1">
        <v>0</v>
      </c>
      <c r="CF54" s="1">
        <v>0</v>
      </c>
      <c r="CG54" s="1">
        <v>0</v>
      </c>
      <c r="CI54" s="1">
        <v>0</v>
      </c>
      <c r="CK54" s="1" t="s">
        <v>348</v>
      </c>
    </row>
    <row r="55" s="1" customFormat="1" spans="1:89">
      <c r="A55" s="2">
        <v>46191</v>
      </c>
      <c r="B55" s="1" t="s">
        <v>2815</v>
      </c>
      <c r="C55" s="1" t="s">
        <v>179</v>
      </c>
      <c r="D55" s="1" t="s">
        <v>2816</v>
      </c>
      <c r="E55" s="1" t="s">
        <v>2817</v>
      </c>
      <c r="G55" s="1">
        <v>0</v>
      </c>
      <c r="H55" s="1">
        <v>0</v>
      </c>
      <c r="I55" s="1">
        <v>-1</v>
      </c>
      <c r="P55" s="1" t="s">
        <v>2592</v>
      </c>
      <c r="Q55" s="1">
        <v>0</v>
      </c>
      <c r="R55" s="1">
        <v>0</v>
      </c>
      <c r="S55" s="1">
        <v>0</v>
      </c>
      <c r="T55" s="1">
        <v>0</v>
      </c>
      <c r="V55" s="1">
        <v>0</v>
      </c>
      <c r="W55" s="1">
        <v>0</v>
      </c>
      <c r="X55" s="1">
        <v>0</v>
      </c>
      <c r="Y55" s="1">
        <v>0</v>
      </c>
      <c r="Z55" s="1" t="s">
        <v>359</v>
      </c>
      <c r="AC55" s="1">
        <v>0</v>
      </c>
      <c r="AD55" s="1">
        <v>0</v>
      </c>
      <c r="AF55" s="1">
        <v>-1</v>
      </c>
      <c r="AI55" s="1" t="s">
        <v>341</v>
      </c>
      <c r="AK55" s="1" t="s">
        <v>2594</v>
      </c>
      <c r="AL55" s="1" t="s">
        <v>353</v>
      </c>
      <c r="AN55" s="1">
        <v>0</v>
      </c>
      <c r="AO55" s="1">
        <v>0</v>
      </c>
      <c r="AR55" s="1">
        <v>48.99</v>
      </c>
      <c r="AS55" s="1">
        <v>0</v>
      </c>
      <c r="AT55" s="1">
        <v>0</v>
      </c>
      <c r="AU55" s="1">
        <v>0</v>
      </c>
      <c r="AV55" s="1">
        <v>0</v>
      </c>
      <c r="AZ55" s="1">
        <v>0</v>
      </c>
      <c r="BC55" s="1">
        <v>0</v>
      </c>
      <c r="BD55" s="1">
        <v>0</v>
      </c>
      <c r="BE55" s="1">
        <v>0</v>
      </c>
      <c r="BF55" s="1">
        <v>0</v>
      </c>
      <c r="BG55" s="1">
        <v>0</v>
      </c>
      <c r="BH55" s="1">
        <v>0</v>
      </c>
      <c r="BV55" s="1">
        <v>0</v>
      </c>
      <c r="BX55" s="1">
        <v>0</v>
      </c>
      <c r="CF55" s="1">
        <v>0</v>
      </c>
      <c r="CG55" s="1">
        <v>0</v>
      </c>
      <c r="CH55" s="1">
        <v>0</v>
      </c>
      <c r="CI55" s="1">
        <v>0</v>
      </c>
      <c r="CJ55" s="1">
        <v>0</v>
      </c>
      <c r="CK55" s="1" t="s">
        <v>348</v>
      </c>
    </row>
    <row r="56" s="1" customFormat="1" spans="1:89">
      <c r="A56" s="2">
        <v>46191</v>
      </c>
      <c r="B56" s="1" t="s">
        <v>2818</v>
      </c>
      <c r="C56" s="1" t="s">
        <v>180</v>
      </c>
      <c r="D56" s="1" t="s">
        <v>2819</v>
      </c>
      <c r="E56" s="1" t="s">
        <v>2820</v>
      </c>
      <c r="I56" s="1">
        <v>-1</v>
      </c>
      <c r="P56" s="1" t="s">
        <v>2592</v>
      </c>
      <c r="V56" s="1">
        <v>0</v>
      </c>
      <c r="W56" s="1">
        <v>0</v>
      </c>
      <c r="X56" s="1">
        <v>0</v>
      </c>
      <c r="Y56" s="1">
        <v>0</v>
      </c>
      <c r="Z56" s="1" t="s">
        <v>359</v>
      </c>
      <c r="AC56" s="1">
        <v>0</v>
      </c>
      <c r="AD56" s="1">
        <v>0</v>
      </c>
      <c r="AF56" s="1">
        <v>-1</v>
      </c>
      <c r="AK56" s="1" t="s">
        <v>2594</v>
      </c>
      <c r="AL56" s="1" t="s">
        <v>353</v>
      </c>
      <c r="AO56" s="1">
        <v>0</v>
      </c>
      <c r="AR56" s="1">
        <v>12.59</v>
      </c>
      <c r="AZ56" s="1">
        <v>0</v>
      </c>
      <c r="BC56" s="1">
        <v>0</v>
      </c>
      <c r="BG56" s="1">
        <v>0</v>
      </c>
      <c r="CF56" s="1">
        <v>0</v>
      </c>
      <c r="CG56" s="1">
        <v>0</v>
      </c>
      <c r="CI56" s="1">
        <v>0</v>
      </c>
      <c r="CK56" s="1" t="s">
        <v>348</v>
      </c>
    </row>
    <row r="57" s="1" customFormat="1" spans="1:89">
      <c r="A57" s="2">
        <v>46191</v>
      </c>
      <c r="B57" s="1" t="s">
        <v>2821</v>
      </c>
      <c r="C57" s="1" t="s">
        <v>181</v>
      </c>
      <c r="D57" s="1" t="s">
        <v>2822</v>
      </c>
      <c r="E57" s="1" t="s">
        <v>2823</v>
      </c>
      <c r="G57" s="1">
        <v>0</v>
      </c>
      <c r="H57" s="1">
        <v>0</v>
      </c>
      <c r="I57" s="1">
        <v>-1</v>
      </c>
      <c r="P57" s="1" t="s">
        <v>2592</v>
      </c>
      <c r="V57" s="1">
        <v>0</v>
      </c>
      <c r="W57" s="1">
        <v>0</v>
      </c>
      <c r="X57" s="1">
        <v>0</v>
      </c>
      <c r="Y57" s="1">
        <v>0</v>
      </c>
      <c r="Z57" s="1" t="s">
        <v>359</v>
      </c>
      <c r="AC57" s="1">
        <v>0</v>
      </c>
      <c r="AD57" s="1">
        <v>0</v>
      </c>
      <c r="AF57" s="1">
        <v>-1</v>
      </c>
      <c r="AI57" s="1" t="s">
        <v>341</v>
      </c>
      <c r="AK57" s="1" t="s">
        <v>2594</v>
      </c>
      <c r="AL57" s="1" t="s">
        <v>465</v>
      </c>
      <c r="AO57" s="1">
        <v>0</v>
      </c>
      <c r="AZ57" s="1">
        <v>0</v>
      </c>
      <c r="BC57" s="1">
        <v>0</v>
      </c>
      <c r="BD57" s="1">
        <v>0</v>
      </c>
      <c r="BE57" s="1">
        <v>0</v>
      </c>
      <c r="BF57" s="1">
        <v>0</v>
      </c>
      <c r="BG57" s="1">
        <v>0</v>
      </c>
      <c r="BH57" s="1">
        <v>0</v>
      </c>
      <c r="CF57" s="1">
        <v>0</v>
      </c>
      <c r="CG57" s="1">
        <v>0</v>
      </c>
      <c r="CH57" s="1">
        <v>0</v>
      </c>
      <c r="CI57" s="1">
        <v>0</v>
      </c>
      <c r="CK57" s="1" t="s">
        <v>348</v>
      </c>
    </row>
    <row r="58" s="1" customFormat="1" spans="1:89">
      <c r="A58" s="2">
        <v>46191</v>
      </c>
      <c r="B58" s="1" t="s">
        <v>2824</v>
      </c>
      <c r="C58" s="1" t="s">
        <v>182</v>
      </c>
      <c r="D58" s="1" t="s">
        <v>2825</v>
      </c>
      <c r="E58" s="1" t="s">
        <v>2826</v>
      </c>
      <c r="I58" s="1">
        <v>-1</v>
      </c>
      <c r="P58" s="1" t="s">
        <v>2592</v>
      </c>
      <c r="V58" s="1">
        <v>0</v>
      </c>
      <c r="W58" s="1">
        <v>0</v>
      </c>
      <c r="X58" s="1">
        <v>0</v>
      </c>
      <c r="Y58" s="1">
        <v>0</v>
      </c>
      <c r="Z58" s="1" t="s">
        <v>359</v>
      </c>
      <c r="AC58" s="1">
        <v>0</v>
      </c>
      <c r="AD58" s="1">
        <v>0</v>
      </c>
      <c r="AF58" s="1">
        <v>-1</v>
      </c>
      <c r="AK58" s="1" t="s">
        <v>2594</v>
      </c>
      <c r="AL58" s="1" t="s">
        <v>353</v>
      </c>
      <c r="AO58" s="1">
        <v>0</v>
      </c>
      <c r="AR58" s="1">
        <v>10.99</v>
      </c>
      <c r="AZ58" s="1">
        <v>0</v>
      </c>
      <c r="BC58" s="1">
        <v>0</v>
      </c>
      <c r="BG58" s="1">
        <v>0</v>
      </c>
      <c r="CF58" s="1">
        <v>0</v>
      </c>
      <c r="CG58" s="1">
        <v>0</v>
      </c>
      <c r="CI58" s="1">
        <v>0</v>
      </c>
      <c r="CK58" s="1" t="s">
        <v>348</v>
      </c>
    </row>
    <row r="59" s="1" customFormat="1" spans="1:89">
      <c r="A59" s="2">
        <v>46191</v>
      </c>
      <c r="B59" s="1" t="s">
        <v>2827</v>
      </c>
      <c r="C59" s="1" t="s">
        <v>183</v>
      </c>
      <c r="D59" s="1" t="s">
        <v>2828</v>
      </c>
      <c r="E59" s="1" t="s">
        <v>2696</v>
      </c>
      <c r="G59" s="1">
        <v>0</v>
      </c>
      <c r="H59" s="1">
        <v>0</v>
      </c>
      <c r="I59" s="1">
        <v>-1</v>
      </c>
      <c r="P59" s="1" t="s">
        <v>2592</v>
      </c>
      <c r="V59" s="1">
        <v>0</v>
      </c>
      <c r="W59" s="1">
        <v>0</v>
      </c>
      <c r="X59" s="1">
        <v>0</v>
      </c>
      <c r="Y59" s="1">
        <v>0</v>
      </c>
      <c r="Z59" s="1" t="s">
        <v>359</v>
      </c>
      <c r="AC59" s="1">
        <v>0</v>
      </c>
      <c r="AD59" s="1">
        <v>0</v>
      </c>
      <c r="AF59" s="1">
        <v>-1</v>
      </c>
      <c r="AI59" s="1" t="s">
        <v>341</v>
      </c>
      <c r="AK59" s="1" t="s">
        <v>2594</v>
      </c>
      <c r="AL59" s="1" t="s">
        <v>652</v>
      </c>
      <c r="AO59" s="1">
        <v>0</v>
      </c>
      <c r="AR59" s="1">
        <v>12.99</v>
      </c>
      <c r="AZ59" s="1">
        <v>0</v>
      </c>
      <c r="BC59" s="1">
        <v>0</v>
      </c>
      <c r="BD59" s="1">
        <v>0</v>
      </c>
      <c r="BE59" s="1">
        <v>0</v>
      </c>
      <c r="BF59" s="1">
        <v>0</v>
      </c>
      <c r="BG59" s="1">
        <v>0</v>
      </c>
      <c r="BH59" s="1">
        <v>0</v>
      </c>
      <c r="CF59" s="1">
        <v>0</v>
      </c>
      <c r="CG59" s="1">
        <v>0</v>
      </c>
      <c r="CH59" s="1">
        <v>0</v>
      </c>
      <c r="CI59" s="1">
        <v>0</v>
      </c>
      <c r="CK59" s="1" t="s">
        <v>348</v>
      </c>
    </row>
    <row r="60" s="1" customFormat="1" spans="1:89">
      <c r="A60" s="2">
        <v>46191</v>
      </c>
      <c r="B60" s="1" t="s">
        <v>2829</v>
      </c>
      <c r="C60" s="1" t="s">
        <v>184</v>
      </c>
      <c r="D60" s="1" t="s">
        <v>2830</v>
      </c>
      <c r="E60" s="1" t="s">
        <v>2831</v>
      </c>
      <c r="G60" s="1">
        <v>0</v>
      </c>
      <c r="H60" s="1">
        <v>0</v>
      </c>
      <c r="I60" s="1">
        <v>-1</v>
      </c>
      <c r="P60" s="1" t="s">
        <v>2592</v>
      </c>
      <c r="V60" s="1">
        <v>0</v>
      </c>
      <c r="W60" s="1">
        <v>0</v>
      </c>
      <c r="X60" s="1">
        <v>0</v>
      </c>
      <c r="Y60" s="1">
        <v>0</v>
      </c>
      <c r="Z60" s="1" t="s">
        <v>359</v>
      </c>
      <c r="AC60" s="1">
        <v>0</v>
      </c>
      <c r="AD60" s="1">
        <v>0</v>
      </c>
      <c r="AF60" s="1">
        <v>-1</v>
      </c>
      <c r="AI60" s="1" t="s">
        <v>341</v>
      </c>
      <c r="AK60" s="1" t="s">
        <v>2594</v>
      </c>
      <c r="AL60" s="1" t="s">
        <v>353</v>
      </c>
      <c r="AO60" s="1">
        <v>0</v>
      </c>
      <c r="AZ60" s="1">
        <v>0</v>
      </c>
      <c r="BC60" s="1">
        <v>0</v>
      </c>
      <c r="BD60" s="1">
        <v>0</v>
      </c>
      <c r="BE60" s="1">
        <v>0</v>
      </c>
      <c r="BF60" s="1">
        <v>0</v>
      </c>
      <c r="BG60" s="1">
        <v>0</v>
      </c>
      <c r="BH60" s="1">
        <v>0</v>
      </c>
      <c r="CF60" s="1">
        <v>0</v>
      </c>
      <c r="CG60" s="1">
        <v>0</v>
      </c>
      <c r="CH60" s="1">
        <v>0</v>
      </c>
      <c r="CI60" s="1">
        <v>0</v>
      </c>
      <c r="CK60" s="1" t="s">
        <v>348</v>
      </c>
    </row>
    <row r="61" s="1" customFormat="1" spans="1:89">
      <c r="A61" s="2">
        <v>46191</v>
      </c>
      <c r="B61" s="1" t="s">
        <v>2832</v>
      </c>
      <c r="C61" s="1" t="s">
        <v>185</v>
      </c>
      <c r="D61" s="1" t="s">
        <v>2833</v>
      </c>
      <c r="E61" s="1" t="s">
        <v>2834</v>
      </c>
      <c r="I61" s="1">
        <v>-1</v>
      </c>
      <c r="P61" s="1" t="s">
        <v>2592</v>
      </c>
      <c r="V61" s="1">
        <v>0</v>
      </c>
      <c r="W61" s="1">
        <v>0</v>
      </c>
      <c r="X61" s="1">
        <v>0</v>
      </c>
      <c r="Y61" s="1">
        <v>0</v>
      </c>
      <c r="Z61" s="1" t="s">
        <v>359</v>
      </c>
      <c r="AC61" s="1">
        <v>0</v>
      </c>
      <c r="AD61" s="1">
        <v>0</v>
      </c>
      <c r="AF61" s="1">
        <v>-1</v>
      </c>
      <c r="AK61" s="1" t="s">
        <v>2594</v>
      </c>
      <c r="AL61" s="1" t="s">
        <v>353</v>
      </c>
      <c r="AO61" s="1">
        <v>0</v>
      </c>
      <c r="AR61" s="1">
        <v>14.99</v>
      </c>
      <c r="AZ61" s="1">
        <v>0</v>
      </c>
      <c r="BC61" s="1">
        <v>0</v>
      </c>
      <c r="BG61" s="1">
        <v>0</v>
      </c>
      <c r="CF61" s="1">
        <v>0</v>
      </c>
      <c r="CG61" s="1">
        <v>0</v>
      </c>
      <c r="CI61" s="1">
        <v>0</v>
      </c>
      <c r="CK61" s="1" t="s">
        <v>348</v>
      </c>
    </row>
    <row r="62" s="1" customFormat="1" spans="1:89">
      <c r="A62" s="2">
        <v>46191</v>
      </c>
      <c r="B62" s="1" t="s">
        <v>2835</v>
      </c>
      <c r="C62" s="1" t="s">
        <v>150</v>
      </c>
      <c r="D62" s="1" t="s">
        <v>2836</v>
      </c>
      <c r="E62" s="1" t="s">
        <v>2721</v>
      </c>
      <c r="G62" s="1">
        <v>0</v>
      </c>
      <c r="H62" s="1">
        <v>0</v>
      </c>
      <c r="I62" s="1">
        <v>-1</v>
      </c>
      <c r="P62" s="1" t="s">
        <v>2592</v>
      </c>
      <c r="V62" s="1">
        <v>0</v>
      </c>
      <c r="W62" s="1">
        <v>0</v>
      </c>
      <c r="X62" s="1">
        <v>0</v>
      </c>
      <c r="Y62" s="1">
        <v>0</v>
      </c>
      <c r="Z62" s="1" t="s">
        <v>359</v>
      </c>
      <c r="AC62" s="1">
        <v>0</v>
      </c>
      <c r="AD62" s="1">
        <v>0</v>
      </c>
      <c r="AF62" s="1">
        <v>-1</v>
      </c>
      <c r="AI62" s="1" t="s">
        <v>341</v>
      </c>
      <c r="AK62" s="1" t="s">
        <v>2594</v>
      </c>
      <c r="AL62" s="1" t="s">
        <v>353</v>
      </c>
      <c r="AO62" s="1">
        <v>0</v>
      </c>
      <c r="AR62" s="1">
        <v>57.18</v>
      </c>
      <c r="AZ62" s="1">
        <v>0</v>
      </c>
      <c r="BC62" s="1">
        <v>0</v>
      </c>
      <c r="BD62" s="1">
        <v>0</v>
      </c>
      <c r="BE62" s="1">
        <v>0</v>
      </c>
      <c r="BF62" s="1">
        <v>0</v>
      </c>
      <c r="BG62" s="1">
        <v>0</v>
      </c>
      <c r="BH62" s="1">
        <v>0</v>
      </c>
      <c r="CF62" s="1">
        <v>0</v>
      </c>
      <c r="CG62" s="1">
        <v>0</v>
      </c>
      <c r="CH62" s="1">
        <v>0</v>
      </c>
      <c r="CI62" s="1">
        <v>0</v>
      </c>
      <c r="CK62" s="1" t="s">
        <v>348</v>
      </c>
    </row>
    <row r="63" s="1" customFormat="1" spans="1:89">
      <c r="A63" s="2">
        <v>46191</v>
      </c>
      <c r="B63" s="1" t="s">
        <v>2837</v>
      </c>
      <c r="C63" s="1" t="s">
        <v>186</v>
      </c>
      <c r="D63" s="1" t="s">
        <v>2838</v>
      </c>
      <c r="E63" s="1" t="s">
        <v>2839</v>
      </c>
      <c r="I63" s="1">
        <v>-1</v>
      </c>
      <c r="P63" s="1" t="s">
        <v>2592</v>
      </c>
      <c r="V63" s="1">
        <v>0</v>
      </c>
      <c r="W63" s="1">
        <v>0</v>
      </c>
      <c r="X63" s="1">
        <v>0</v>
      </c>
      <c r="Y63" s="1">
        <v>0</v>
      </c>
      <c r="Z63" s="1" t="s">
        <v>359</v>
      </c>
      <c r="AC63" s="1">
        <v>0</v>
      </c>
      <c r="AD63" s="1">
        <v>0</v>
      </c>
      <c r="AF63" s="1">
        <v>-1</v>
      </c>
      <c r="AK63" s="1" t="s">
        <v>2594</v>
      </c>
      <c r="AL63" s="1" t="s">
        <v>652</v>
      </c>
      <c r="AO63" s="1">
        <v>0</v>
      </c>
      <c r="AR63" s="1">
        <v>9.99</v>
      </c>
      <c r="AZ63" s="1">
        <v>0</v>
      </c>
      <c r="BC63" s="1">
        <v>0</v>
      </c>
      <c r="BG63" s="1">
        <v>0</v>
      </c>
      <c r="CF63" s="1">
        <v>0</v>
      </c>
      <c r="CG63" s="1">
        <v>0</v>
      </c>
      <c r="CI63" s="1">
        <v>0</v>
      </c>
      <c r="CK63" s="1" t="s">
        <v>348</v>
      </c>
    </row>
    <row r="64" s="1" customFormat="1" spans="1:89">
      <c r="A64" s="2">
        <v>46191</v>
      </c>
      <c r="B64" s="1" t="s">
        <v>2840</v>
      </c>
      <c r="C64" s="1" t="s">
        <v>187</v>
      </c>
      <c r="D64" s="1" t="s">
        <v>2841</v>
      </c>
      <c r="E64" s="1" t="s">
        <v>2696</v>
      </c>
      <c r="G64" s="1">
        <v>0</v>
      </c>
      <c r="H64" s="1">
        <v>0</v>
      </c>
      <c r="I64" s="1">
        <v>-1</v>
      </c>
      <c r="P64" s="1" t="s">
        <v>2592</v>
      </c>
      <c r="V64" s="1">
        <v>0</v>
      </c>
      <c r="W64" s="1">
        <v>0</v>
      </c>
      <c r="X64" s="1">
        <v>0</v>
      </c>
      <c r="Y64" s="1">
        <v>0</v>
      </c>
      <c r="Z64" s="1" t="s">
        <v>359</v>
      </c>
      <c r="AC64" s="1">
        <v>0</v>
      </c>
      <c r="AD64" s="1">
        <v>0</v>
      </c>
      <c r="AF64" s="1">
        <v>-1</v>
      </c>
      <c r="AI64" s="1" t="s">
        <v>341</v>
      </c>
      <c r="AK64" s="1" t="s">
        <v>2594</v>
      </c>
      <c r="AL64" s="1" t="s">
        <v>652</v>
      </c>
      <c r="AO64" s="1">
        <v>0</v>
      </c>
      <c r="AR64" s="1">
        <v>12.99</v>
      </c>
      <c r="AZ64" s="1">
        <v>0</v>
      </c>
      <c r="BC64" s="1">
        <v>0</v>
      </c>
      <c r="BD64" s="1">
        <v>0</v>
      </c>
      <c r="BE64" s="1">
        <v>0</v>
      </c>
      <c r="BF64" s="1">
        <v>0</v>
      </c>
      <c r="BG64" s="1">
        <v>0</v>
      </c>
      <c r="BH64" s="1">
        <v>0</v>
      </c>
      <c r="CF64" s="1">
        <v>0</v>
      </c>
      <c r="CG64" s="1">
        <v>0</v>
      </c>
      <c r="CH64" s="1">
        <v>0</v>
      </c>
      <c r="CI64" s="1">
        <v>0</v>
      </c>
      <c r="CK64" s="1" t="s">
        <v>348</v>
      </c>
    </row>
    <row r="65" s="1" customFormat="1" spans="1:89">
      <c r="A65" s="2">
        <v>46191</v>
      </c>
      <c r="B65" s="1" t="s">
        <v>2842</v>
      </c>
      <c r="C65" s="1" t="s">
        <v>188</v>
      </c>
      <c r="D65" s="1" t="s">
        <v>2843</v>
      </c>
      <c r="E65" s="1" t="s">
        <v>2752</v>
      </c>
      <c r="G65" s="1">
        <v>0</v>
      </c>
      <c r="H65" s="1">
        <v>0</v>
      </c>
      <c r="I65" s="1">
        <v>-1</v>
      </c>
      <c r="P65" s="1" t="s">
        <v>2592</v>
      </c>
      <c r="V65" s="1">
        <v>0</v>
      </c>
      <c r="W65" s="1">
        <v>0</v>
      </c>
      <c r="X65" s="1">
        <v>0</v>
      </c>
      <c r="Y65" s="1">
        <v>0</v>
      </c>
      <c r="Z65" s="1" t="s">
        <v>359</v>
      </c>
      <c r="AC65" s="1">
        <v>0</v>
      </c>
      <c r="AD65" s="1">
        <v>0</v>
      </c>
      <c r="AF65" s="1">
        <v>-1</v>
      </c>
      <c r="AI65" s="1" t="s">
        <v>341</v>
      </c>
      <c r="AK65" s="1" t="s">
        <v>2594</v>
      </c>
      <c r="AL65" s="1" t="s">
        <v>353</v>
      </c>
      <c r="AO65" s="1">
        <v>0</v>
      </c>
      <c r="AR65" s="1">
        <v>9.99</v>
      </c>
      <c r="AZ65" s="1">
        <v>0</v>
      </c>
      <c r="BC65" s="1">
        <v>0</v>
      </c>
      <c r="BD65" s="1">
        <v>0</v>
      </c>
      <c r="BE65" s="1">
        <v>0</v>
      </c>
      <c r="BF65" s="1">
        <v>0</v>
      </c>
      <c r="BG65" s="1">
        <v>0</v>
      </c>
      <c r="BH65" s="1">
        <v>0</v>
      </c>
      <c r="BX65" s="1">
        <v>0</v>
      </c>
      <c r="CF65" s="1">
        <v>0</v>
      </c>
      <c r="CG65" s="1">
        <v>0</v>
      </c>
      <c r="CH65" s="1">
        <v>0</v>
      </c>
      <c r="CI65" s="1">
        <v>0</v>
      </c>
      <c r="CK65" s="1" t="s">
        <v>348</v>
      </c>
    </row>
    <row r="66" s="1" customFormat="1" spans="1:89">
      <c r="A66" s="2">
        <v>46191</v>
      </c>
      <c r="B66" s="1" t="s">
        <v>2844</v>
      </c>
      <c r="C66" s="1" t="s">
        <v>105</v>
      </c>
      <c r="D66" s="1" t="s">
        <v>2845</v>
      </c>
      <c r="E66" s="1" t="s">
        <v>2603</v>
      </c>
      <c r="I66" s="1">
        <v>-1</v>
      </c>
      <c r="P66" s="1" t="s">
        <v>2592</v>
      </c>
      <c r="V66" s="1">
        <v>0</v>
      </c>
      <c r="W66" s="1">
        <v>0</v>
      </c>
      <c r="X66" s="1">
        <v>0</v>
      </c>
      <c r="Y66" s="1">
        <v>0</v>
      </c>
      <c r="Z66" s="1" t="s">
        <v>359</v>
      </c>
      <c r="AC66" s="1">
        <v>0</v>
      </c>
      <c r="AD66" s="1">
        <v>0</v>
      </c>
      <c r="AF66" s="1">
        <v>-1</v>
      </c>
      <c r="AK66" s="1" t="s">
        <v>2594</v>
      </c>
      <c r="AL66" s="1" t="s">
        <v>404</v>
      </c>
      <c r="AM66" s="1">
        <v>1022710</v>
      </c>
      <c r="AO66" s="1">
        <v>0</v>
      </c>
      <c r="AR66" s="1">
        <v>35.99</v>
      </c>
      <c r="AZ66" s="1">
        <v>0</v>
      </c>
      <c r="BC66" s="1">
        <v>0</v>
      </c>
      <c r="BG66" s="1">
        <v>0</v>
      </c>
      <c r="CF66" s="1">
        <v>0</v>
      </c>
      <c r="CG66" s="1">
        <v>0</v>
      </c>
      <c r="CI66" s="1">
        <v>0</v>
      </c>
      <c r="CK66" s="1" t="s">
        <v>348</v>
      </c>
    </row>
    <row r="67" s="1" customFormat="1" spans="1:89">
      <c r="A67" s="2">
        <v>46191</v>
      </c>
      <c r="B67" s="1" t="s">
        <v>2846</v>
      </c>
      <c r="C67" s="1" t="s">
        <v>189</v>
      </c>
      <c r="D67" s="1" t="s">
        <v>2847</v>
      </c>
      <c r="E67" s="1" t="s">
        <v>2848</v>
      </c>
      <c r="G67" s="1">
        <v>0</v>
      </c>
      <c r="H67" s="1">
        <v>0</v>
      </c>
      <c r="I67" s="1">
        <v>-1</v>
      </c>
      <c r="P67" s="1" t="s">
        <v>2592</v>
      </c>
      <c r="V67" s="1">
        <v>0</v>
      </c>
      <c r="W67" s="1">
        <v>0</v>
      </c>
      <c r="X67" s="1">
        <v>0</v>
      </c>
      <c r="Y67" s="1">
        <v>0</v>
      </c>
      <c r="Z67" s="1" t="s">
        <v>359</v>
      </c>
      <c r="AC67" s="1">
        <v>0</v>
      </c>
      <c r="AD67" s="1">
        <v>0</v>
      </c>
      <c r="AF67" s="1">
        <v>-1</v>
      </c>
      <c r="AI67" s="1" t="s">
        <v>341</v>
      </c>
      <c r="AK67" s="1" t="s">
        <v>2594</v>
      </c>
      <c r="AL67" s="1" t="s">
        <v>353</v>
      </c>
      <c r="AO67" s="1">
        <v>0</v>
      </c>
      <c r="AR67" s="1">
        <v>12.99</v>
      </c>
      <c r="AZ67" s="1">
        <v>0</v>
      </c>
      <c r="BC67" s="1">
        <v>0</v>
      </c>
      <c r="BD67" s="1">
        <v>0</v>
      </c>
      <c r="BE67" s="1">
        <v>0</v>
      </c>
      <c r="BF67" s="1">
        <v>0</v>
      </c>
      <c r="BG67" s="1">
        <v>0</v>
      </c>
      <c r="BH67" s="1">
        <v>0</v>
      </c>
      <c r="CF67" s="1">
        <v>0</v>
      </c>
      <c r="CG67" s="1">
        <v>0</v>
      </c>
      <c r="CH67" s="1">
        <v>0</v>
      </c>
      <c r="CI67" s="1">
        <v>0</v>
      </c>
      <c r="CK67" s="1" t="s">
        <v>348</v>
      </c>
    </row>
    <row r="68" s="1" customFormat="1" spans="1:89">
      <c r="A68" s="2">
        <v>46191</v>
      </c>
      <c r="B68" s="1" t="s">
        <v>2849</v>
      </c>
      <c r="C68" s="1" t="s">
        <v>190</v>
      </c>
      <c r="D68" s="1" t="s">
        <v>2850</v>
      </c>
      <c r="E68" s="1" t="s">
        <v>2851</v>
      </c>
      <c r="I68" s="1">
        <v>-1</v>
      </c>
      <c r="P68" s="1" t="s">
        <v>2592</v>
      </c>
      <c r="V68" s="1">
        <v>0</v>
      </c>
      <c r="W68" s="1">
        <v>0</v>
      </c>
      <c r="X68" s="1">
        <v>0</v>
      </c>
      <c r="Y68" s="1">
        <v>0</v>
      </c>
      <c r="Z68" s="1" t="s">
        <v>359</v>
      </c>
      <c r="AC68" s="1">
        <v>0</v>
      </c>
      <c r="AD68" s="1">
        <v>0</v>
      </c>
      <c r="AF68" s="1">
        <v>-1</v>
      </c>
      <c r="AK68" s="1" t="s">
        <v>2594</v>
      </c>
      <c r="AL68" s="1" t="s">
        <v>353</v>
      </c>
      <c r="AO68" s="1">
        <v>0</v>
      </c>
      <c r="AR68" s="1">
        <v>14.99</v>
      </c>
      <c r="AZ68" s="1">
        <v>0</v>
      </c>
      <c r="BC68" s="1">
        <v>0</v>
      </c>
      <c r="BG68" s="1">
        <v>0</v>
      </c>
      <c r="CF68" s="1">
        <v>0</v>
      </c>
      <c r="CG68" s="1">
        <v>0</v>
      </c>
      <c r="CI68" s="1">
        <v>0</v>
      </c>
      <c r="CK68" s="1" t="s">
        <v>348</v>
      </c>
    </row>
    <row r="69" s="1" customFormat="1" spans="1:89">
      <c r="A69" s="2">
        <v>46191</v>
      </c>
      <c r="B69" s="1" t="s">
        <v>2852</v>
      </c>
      <c r="C69" s="1" t="s">
        <v>191</v>
      </c>
      <c r="D69" s="1" t="s">
        <v>2853</v>
      </c>
      <c r="E69" s="1" t="s">
        <v>2854</v>
      </c>
      <c r="I69" s="1">
        <v>-1</v>
      </c>
      <c r="P69" s="1" t="s">
        <v>2592</v>
      </c>
      <c r="V69" s="1">
        <v>0</v>
      </c>
      <c r="W69" s="1">
        <v>0</v>
      </c>
      <c r="X69" s="1">
        <v>0</v>
      </c>
      <c r="Y69" s="1">
        <v>0</v>
      </c>
      <c r="Z69" s="1" t="s">
        <v>359</v>
      </c>
      <c r="AC69" s="1">
        <v>0</v>
      </c>
      <c r="AD69" s="1">
        <v>0</v>
      </c>
      <c r="AF69" s="1">
        <v>-1</v>
      </c>
      <c r="AK69" s="1" t="s">
        <v>2594</v>
      </c>
      <c r="AL69" s="1" t="s">
        <v>652</v>
      </c>
      <c r="AO69" s="1">
        <v>0</v>
      </c>
      <c r="AR69" s="1">
        <v>13.99</v>
      </c>
      <c r="AZ69" s="1">
        <v>0</v>
      </c>
      <c r="BC69" s="1">
        <v>0</v>
      </c>
      <c r="BG69" s="1">
        <v>0</v>
      </c>
      <c r="CF69" s="1">
        <v>0</v>
      </c>
      <c r="CG69" s="1">
        <v>0</v>
      </c>
      <c r="CI69" s="1">
        <v>0</v>
      </c>
      <c r="CK69" s="1" t="s">
        <v>348</v>
      </c>
    </row>
    <row r="70" s="1" customFormat="1" spans="1:89">
      <c r="A70" s="2">
        <v>46191</v>
      </c>
      <c r="B70" s="1" t="s">
        <v>2855</v>
      </c>
      <c r="C70" s="1" t="s">
        <v>192</v>
      </c>
      <c r="D70" s="1" t="s">
        <v>2856</v>
      </c>
      <c r="E70" s="1" t="s">
        <v>2857</v>
      </c>
      <c r="I70" s="1">
        <v>-1</v>
      </c>
      <c r="P70" s="1" t="s">
        <v>2592</v>
      </c>
      <c r="V70" s="1">
        <v>0</v>
      </c>
      <c r="W70" s="1">
        <v>0</v>
      </c>
      <c r="X70" s="1">
        <v>0</v>
      </c>
      <c r="Y70" s="1">
        <v>0</v>
      </c>
      <c r="Z70" s="1" t="s">
        <v>359</v>
      </c>
      <c r="AC70" s="1">
        <v>0</v>
      </c>
      <c r="AD70" s="1">
        <v>0</v>
      </c>
      <c r="AF70" s="1">
        <v>-1</v>
      </c>
      <c r="AK70" s="1" t="s">
        <v>2594</v>
      </c>
      <c r="AL70" s="1" t="s">
        <v>353</v>
      </c>
      <c r="AO70" s="1">
        <v>0</v>
      </c>
      <c r="AR70" s="1">
        <v>8.99</v>
      </c>
      <c r="AZ70" s="1">
        <v>0</v>
      </c>
      <c r="BC70" s="1">
        <v>0</v>
      </c>
      <c r="BG70" s="1">
        <v>0</v>
      </c>
      <c r="CF70" s="1">
        <v>0</v>
      </c>
      <c r="CG70" s="1">
        <v>0</v>
      </c>
      <c r="CI70" s="1">
        <v>0</v>
      </c>
      <c r="CK70" s="1" t="s">
        <v>348</v>
      </c>
    </row>
    <row r="71" s="1" customFormat="1" spans="1:89">
      <c r="A71" s="2">
        <v>46191</v>
      </c>
      <c r="B71" s="1" t="s">
        <v>2858</v>
      </c>
      <c r="C71" s="1" t="s">
        <v>193</v>
      </c>
      <c r="D71" s="1" t="s">
        <v>2859</v>
      </c>
      <c r="E71" s="1" t="s">
        <v>2860</v>
      </c>
      <c r="G71" s="1">
        <v>0</v>
      </c>
      <c r="H71" s="1">
        <v>0</v>
      </c>
      <c r="I71" s="1">
        <v>-1</v>
      </c>
      <c r="P71" s="1" t="s">
        <v>2592</v>
      </c>
      <c r="V71" s="1">
        <v>0</v>
      </c>
      <c r="W71" s="1">
        <v>0</v>
      </c>
      <c r="X71" s="1">
        <v>0</v>
      </c>
      <c r="Y71" s="1">
        <v>0</v>
      </c>
      <c r="Z71" s="1" t="s">
        <v>359</v>
      </c>
      <c r="AC71" s="1">
        <v>0</v>
      </c>
      <c r="AD71" s="1">
        <v>0</v>
      </c>
      <c r="AF71" s="1">
        <v>-1</v>
      </c>
      <c r="AI71" s="1" t="s">
        <v>341</v>
      </c>
      <c r="AK71" s="1" t="s">
        <v>2594</v>
      </c>
      <c r="AL71" s="1" t="s">
        <v>343</v>
      </c>
      <c r="AO71" s="1">
        <v>0</v>
      </c>
      <c r="AR71" s="1">
        <v>8.99</v>
      </c>
      <c r="AZ71" s="1">
        <v>0</v>
      </c>
      <c r="BC71" s="1">
        <v>0</v>
      </c>
      <c r="BD71" s="1">
        <v>0</v>
      </c>
      <c r="BE71" s="1">
        <v>0</v>
      </c>
      <c r="BF71" s="1">
        <v>0</v>
      </c>
      <c r="BG71" s="1">
        <v>0</v>
      </c>
      <c r="BH71" s="1">
        <v>0</v>
      </c>
      <c r="CF71" s="1">
        <v>0</v>
      </c>
      <c r="CG71" s="1">
        <v>0</v>
      </c>
      <c r="CH71" s="1">
        <v>0</v>
      </c>
      <c r="CI71" s="1">
        <v>0</v>
      </c>
      <c r="CK71" s="1" t="s">
        <v>348</v>
      </c>
    </row>
    <row r="72" s="1" customFormat="1" spans="1:89">
      <c r="A72" s="2">
        <v>46191</v>
      </c>
      <c r="B72" s="1" t="s">
        <v>2861</v>
      </c>
      <c r="C72" s="1" t="s">
        <v>194</v>
      </c>
      <c r="D72" s="1" t="s">
        <v>2862</v>
      </c>
      <c r="E72" s="1" t="s">
        <v>2696</v>
      </c>
      <c r="G72" s="1">
        <v>0</v>
      </c>
      <c r="H72" s="1">
        <v>0</v>
      </c>
      <c r="I72" s="1">
        <v>-1</v>
      </c>
      <c r="P72" s="1" t="s">
        <v>2592</v>
      </c>
      <c r="V72" s="1">
        <v>0</v>
      </c>
      <c r="W72" s="1">
        <v>0</v>
      </c>
      <c r="X72" s="1">
        <v>0</v>
      </c>
      <c r="Y72" s="1">
        <v>0</v>
      </c>
      <c r="Z72" s="1" t="s">
        <v>359</v>
      </c>
      <c r="AC72" s="1">
        <v>0</v>
      </c>
      <c r="AD72" s="1">
        <v>0</v>
      </c>
      <c r="AF72" s="1">
        <v>-1</v>
      </c>
      <c r="AI72" s="1" t="s">
        <v>341</v>
      </c>
      <c r="AK72" s="1" t="s">
        <v>2594</v>
      </c>
      <c r="AL72" s="1" t="s">
        <v>652</v>
      </c>
      <c r="AO72" s="1">
        <v>0</v>
      </c>
      <c r="AR72" s="1">
        <v>10.39</v>
      </c>
      <c r="AZ72" s="1">
        <v>0</v>
      </c>
      <c r="BC72" s="1">
        <v>0</v>
      </c>
      <c r="BD72" s="1">
        <v>0</v>
      </c>
      <c r="BE72" s="1">
        <v>0</v>
      </c>
      <c r="BF72" s="1">
        <v>0</v>
      </c>
      <c r="BG72" s="1">
        <v>0</v>
      </c>
      <c r="BH72" s="1">
        <v>0</v>
      </c>
      <c r="CF72" s="1">
        <v>0</v>
      </c>
      <c r="CG72" s="1">
        <v>0</v>
      </c>
      <c r="CH72" s="1">
        <v>0</v>
      </c>
      <c r="CI72" s="1">
        <v>0</v>
      </c>
      <c r="CK72" s="1" t="s">
        <v>348</v>
      </c>
    </row>
    <row r="73" s="1" customFormat="1" spans="1:89">
      <c r="A73" s="2">
        <v>46191</v>
      </c>
      <c r="B73" s="1" t="s">
        <v>2863</v>
      </c>
      <c r="C73" s="1" t="s">
        <v>195</v>
      </c>
      <c r="D73" s="1" t="s">
        <v>2864</v>
      </c>
      <c r="E73" s="1" t="s">
        <v>2865</v>
      </c>
      <c r="G73" s="1">
        <v>0</v>
      </c>
      <c r="H73" s="1">
        <v>0</v>
      </c>
      <c r="I73" s="1">
        <v>-1</v>
      </c>
      <c r="P73" s="1" t="s">
        <v>2592</v>
      </c>
      <c r="V73" s="1">
        <v>0</v>
      </c>
      <c r="W73" s="1">
        <v>0</v>
      </c>
      <c r="X73" s="1">
        <v>0</v>
      </c>
      <c r="Y73" s="1">
        <v>0</v>
      </c>
      <c r="Z73" s="1" t="s">
        <v>359</v>
      </c>
      <c r="AC73" s="1">
        <v>0</v>
      </c>
      <c r="AD73" s="1">
        <v>0</v>
      </c>
      <c r="AF73" s="1">
        <v>-1</v>
      </c>
      <c r="AI73" s="1" t="s">
        <v>341</v>
      </c>
      <c r="AK73" s="1" t="s">
        <v>2594</v>
      </c>
      <c r="AL73" s="1" t="s">
        <v>353</v>
      </c>
      <c r="AO73" s="1">
        <v>0</v>
      </c>
      <c r="AR73" s="1">
        <v>10.99</v>
      </c>
      <c r="AZ73" s="1">
        <v>0</v>
      </c>
      <c r="BC73" s="1">
        <v>0</v>
      </c>
      <c r="BD73" s="1">
        <v>0</v>
      </c>
      <c r="BE73" s="1">
        <v>0</v>
      </c>
      <c r="BF73" s="1">
        <v>0</v>
      </c>
      <c r="BG73" s="1">
        <v>0</v>
      </c>
      <c r="BH73" s="1">
        <v>0</v>
      </c>
      <c r="CF73" s="1">
        <v>0</v>
      </c>
      <c r="CG73" s="1">
        <v>0</v>
      </c>
      <c r="CH73" s="1">
        <v>0</v>
      </c>
      <c r="CI73" s="1">
        <v>0</v>
      </c>
      <c r="CK73" s="1" t="s">
        <v>348</v>
      </c>
    </row>
    <row r="74" s="1" customFormat="1" spans="1:89">
      <c r="A74" s="2">
        <v>46191</v>
      </c>
      <c r="B74" s="1" t="s">
        <v>2866</v>
      </c>
      <c r="C74" s="1" t="s">
        <v>196</v>
      </c>
      <c r="D74" s="1" t="s">
        <v>2867</v>
      </c>
      <c r="E74" s="1" t="s">
        <v>2868</v>
      </c>
      <c r="G74" s="1">
        <v>0</v>
      </c>
      <c r="H74" s="1">
        <v>0</v>
      </c>
      <c r="I74" s="1">
        <v>-1</v>
      </c>
      <c r="P74" s="1" t="s">
        <v>2592</v>
      </c>
      <c r="V74" s="1">
        <v>0</v>
      </c>
      <c r="W74" s="1">
        <v>0</v>
      </c>
      <c r="X74" s="1">
        <v>0</v>
      </c>
      <c r="Y74" s="1">
        <v>0</v>
      </c>
      <c r="Z74" s="1" t="s">
        <v>359</v>
      </c>
      <c r="AC74" s="1">
        <v>0</v>
      </c>
      <c r="AD74" s="1">
        <v>0</v>
      </c>
      <c r="AF74" s="1">
        <v>-1</v>
      </c>
      <c r="AI74" s="1" t="s">
        <v>341</v>
      </c>
      <c r="AK74" s="1" t="s">
        <v>2594</v>
      </c>
      <c r="AL74" s="1" t="s">
        <v>465</v>
      </c>
      <c r="AO74" s="1">
        <v>0</v>
      </c>
      <c r="AZ74" s="1">
        <v>0</v>
      </c>
      <c r="BC74" s="1">
        <v>0</v>
      </c>
      <c r="BD74" s="1">
        <v>0</v>
      </c>
      <c r="BE74" s="1">
        <v>0</v>
      </c>
      <c r="BF74" s="1">
        <v>0</v>
      </c>
      <c r="BG74" s="1">
        <v>0</v>
      </c>
      <c r="BH74" s="1">
        <v>0</v>
      </c>
      <c r="CF74" s="1">
        <v>0</v>
      </c>
      <c r="CG74" s="1">
        <v>0</v>
      </c>
      <c r="CH74" s="1">
        <v>0</v>
      </c>
      <c r="CI74" s="1">
        <v>0</v>
      </c>
      <c r="CK74" s="1" t="s">
        <v>348</v>
      </c>
    </row>
    <row r="75" s="1" customFormat="1" spans="1:89">
      <c r="A75" s="2">
        <v>46191</v>
      </c>
      <c r="B75" s="1" t="s">
        <v>2869</v>
      </c>
      <c r="C75" s="1" t="s">
        <v>197</v>
      </c>
      <c r="D75" s="1" t="s">
        <v>2870</v>
      </c>
      <c r="E75" s="1" t="s">
        <v>2871</v>
      </c>
      <c r="G75" s="1">
        <v>0</v>
      </c>
      <c r="H75" s="1">
        <v>0</v>
      </c>
      <c r="I75" s="1">
        <v>-1</v>
      </c>
      <c r="P75" s="1" t="s">
        <v>2592</v>
      </c>
      <c r="V75" s="1">
        <v>0</v>
      </c>
      <c r="W75" s="1">
        <v>0</v>
      </c>
      <c r="X75" s="1">
        <v>0</v>
      </c>
      <c r="Y75" s="1">
        <v>0</v>
      </c>
      <c r="Z75" s="1" t="s">
        <v>359</v>
      </c>
      <c r="AC75" s="1">
        <v>0</v>
      </c>
      <c r="AD75" s="1">
        <v>0</v>
      </c>
      <c r="AF75" s="1">
        <v>-1</v>
      </c>
      <c r="AI75" s="1" t="s">
        <v>341</v>
      </c>
      <c r="AK75" s="1" t="s">
        <v>2594</v>
      </c>
      <c r="AL75" s="1" t="s">
        <v>353</v>
      </c>
      <c r="AO75" s="1">
        <v>0</v>
      </c>
      <c r="AR75" s="1">
        <v>10.39</v>
      </c>
      <c r="AZ75" s="1">
        <v>0</v>
      </c>
      <c r="BC75" s="1">
        <v>0</v>
      </c>
      <c r="BD75" s="1">
        <v>0</v>
      </c>
      <c r="BE75" s="1">
        <v>0</v>
      </c>
      <c r="BF75" s="1">
        <v>0</v>
      </c>
      <c r="BG75" s="1">
        <v>0</v>
      </c>
      <c r="BH75" s="1">
        <v>0</v>
      </c>
      <c r="CF75" s="1">
        <v>0</v>
      </c>
      <c r="CG75" s="1">
        <v>0</v>
      </c>
      <c r="CH75" s="1">
        <v>0</v>
      </c>
      <c r="CI75" s="1">
        <v>0</v>
      </c>
      <c r="CK75" s="1" t="s">
        <v>348</v>
      </c>
    </row>
    <row r="76" s="1" customFormat="1" spans="1:89">
      <c r="A76" s="2">
        <v>46191</v>
      </c>
      <c r="B76" s="1" t="s">
        <v>2872</v>
      </c>
      <c r="C76" s="1" t="s">
        <v>198</v>
      </c>
      <c r="D76" s="1" t="s">
        <v>2873</v>
      </c>
      <c r="E76" s="1" t="s">
        <v>2874</v>
      </c>
      <c r="G76" s="1">
        <v>0</v>
      </c>
      <c r="H76" s="1">
        <v>0</v>
      </c>
      <c r="I76" s="1">
        <v>-1</v>
      </c>
      <c r="P76" s="1" t="s">
        <v>2592</v>
      </c>
      <c r="V76" s="1">
        <v>0</v>
      </c>
      <c r="W76" s="1">
        <v>0</v>
      </c>
      <c r="X76" s="1">
        <v>0</v>
      </c>
      <c r="Y76" s="1">
        <v>0</v>
      </c>
      <c r="Z76" s="1" t="s">
        <v>359</v>
      </c>
      <c r="AC76" s="1">
        <v>0</v>
      </c>
      <c r="AD76" s="1">
        <v>0</v>
      </c>
      <c r="AF76" s="1">
        <v>-1</v>
      </c>
      <c r="AI76" s="1" t="s">
        <v>341</v>
      </c>
      <c r="AK76" s="1" t="s">
        <v>2594</v>
      </c>
      <c r="AL76" s="1" t="s">
        <v>465</v>
      </c>
      <c r="AO76" s="1">
        <v>0</v>
      </c>
      <c r="AR76" s="1">
        <v>10.49</v>
      </c>
      <c r="AZ76" s="1">
        <v>0</v>
      </c>
      <c r="BC76" s="1">
        <v>0</v>
      </c>
      <c r="BD76" s="1">
        <v>0</v>
      </c>
      <c r="BE76" s="1">
        <v>0</v>
      </c>
      <c r="BF76" s="1">
        <v>0</v>
      </c>
      <c r="BG76" s="1">
        <v>0</v>
      </c>
      <c r="BH76" s="1">
        <v>0</v>
      </c>
      <c r="BX76" s="1">
        <v>0</v>
      </c>
      <c r="CF76" s="1">
        <v>0</v>
      </c>
      <c r="CG76" s="1">
        <v>0</v>
      </c>
      <c r="CH76" s="1">
        <v>0</v>
      </c>
      <c r="CI76" s="1">
        <v>0</v>
      </c>
      <c r="CK76" s="1" t="s">
        <v>348</v>
      </c>
    </row>
    <row r="77" s="1" customFormat="1" spans="1:89">
      <c r="A77" s="2">
        <v>46191</v>
      </c>
      <c r="B77" s="1" t="s">
        <v>2875</v>
      </c>
      <c r="C77" s="1" t="s">
        <v>199</v>
      </c>
      <c r="D77" s="1" t="s">
        <v>2876</v>
      </c>
      <c r="E77" s="1" t="s">
        <v>2877</v>
      </c>
      <c r="G77" s="1">
        <v>0</v>
      </c>
      <c r="H77" s="1">
        <v>0</v>
      </c>
      <c r="I77" s="1">
        <v>-1</v>
      </c>
      <c r="P77" s="1" t="s">
        <v>2592</v>
      </c>
      <c r="V77" s="1">
        <v>0</v>
      </c>
      <c r="W77" s="1">
        <v>0</v>
      </c>
      <c r="X77" s="1">
        <v>0</v>
      </c>
      <c r="Y77" s="1">
        <v>0</v>
      </c>
      <c r="Z77" s="1" t="s">
        <v>359</v>
      </c>
      <c r="AC77" s="1">
        <v>0</v>
      </c>
      <c r="AD77" s="1">
        <v>0</v>
      </c>
      <c r="AF77" s="1">
        <v>-1</v>
      </c>
      <c r="AI77" s="1" t="s">
        <v>341</v>
      </c>
      <c r="AK77" s="1" t="s">
        <v>2594</v>
      </c>
      <c r="AL77" s="1" t="s">
        <v>353</v>
      </c>
      <c r="AO77" s="1">
        <v>0</v>
      </c>
      <c r="AR77" s="1">
        <v>12.65</v>
      </c>
      <c r="AZ77" s="1">
        <v>0</v>
      </c>
      <c r="BC77" s="1">
        <v>0</v>
      </c>
      <c r="BD77" s="1">
        <v>0</v>
      </c>
      <c r="BE77" s="1">
        <v>0</v>
      </c>
      <c r="BF77" s="1">
        <v>0</v>
      </c>
      <c r="BG77" s="1">
        <v>0</v>
      </c>
      <c r="BH77" s="1">
        <v>0</v>
      </c>
      <c r="CF77" s="1">
        <v>0</v>
      </c>
      <c r="CG77" s="1">
        <v>0</v>
      </c>
      <c r="CH77" s="1">
        <v>0</v>
      </c>
      <c r="CI77" s="1">
        <v>0</v>
      </c>
      <c r="CK77" s="1" t="s">
        <v>348</v>
      </c>
    </row>
    <row r="78" s="1" customFormat="1" spans="1:89">
      <c r="A78" s="2">
        <v>46191</v>
      </c>
      <c r="B78" s="1" t="s">
        <v>2878</v>
      </c>
      <c r="C78" s="1" t="s">
        <v>200</v>
      </c>
      <c r="D78" s="1" t="s">
        <v>234</v>
      </c>
      <c r="E78" s="1" t="s">
        <v>2879</v>
      </c>
      <c r="F78" s="1" t="s">
        <v>337</v>
      </c>
      <c r="G78" s="1">
        <v>32</v>
      </c>
      <c r="H78" s="1">
        <v>0</v>
      </c>
      <c r="I78" s="1">
        <v>0</v>
      </c>
      <c r="J78" s="1">
        <v>32</v>
      </c>
      <c r="K78" s="1">
        <v>0</v>
      </c>
      <c r="L78" s="1">
        <v>0</v>
      </c>
      <c r="M78" s="1">
        <v>0</v>
      </c>
      <c r="N78" s="1">
        <v>0</v>
      </c>
      <c r="O78" s="1">
        <v>0</v>
      </c>
      <c r="P78" s="1" t="s">
        <v>2592</v>
      </c>
      <c r="U78" s="1" t="s">
        <v>351</v>
      </c>
      <c r="V78" s="1">
        <v>25.99</v>
      </c>
      <c r="W78" s="1">
        <v>0</v>
      </c>
      <c r="X78" s="1">
        <v>19.99</v>
      </c>
      <c r="Y78" s="1">
        <v>0</v>
      </c>
      <c r="Z78" s="1" t="s">
        <v>391</v>
      </c>
      <c r="AA78" s="1">
        <v>0</v>
      </c>
      <c r="AB78" s="1">
        <v>0</v>
      </c>
      <c r="AC78" s="1">
        <v>0</v>
      </c>
      <c r="AD78" s="1">
        <v>0</v>
      </c>
      <c r="AE78" s="1">
        <v>0</v>
      </c>
      <c r="AF78" s="1">
        <v>0</v>
      </c>
      <c r="AG78" s="1">
        <v>0.003558</v>
      </c>
      <c r="AH78" s="1" t="s">
        <v>2593</v>
      </c>
      <c r="AI78" s="1" t="s">
        <v>341</v>
      </c>
      <c r="AJ78" s="1">
        <v>0.113859</v>
      </c>
      <c r="AK78" s="1" t="s">
        <v>2594</v>
      </c>
      <c r="AL78" s="1" t="s">
        <v>465</v>
      </c>
      <c r="AM78" s="1">
        <v>516719</v>
      </c>
      <c r="AN78" s="1">
        <v>366</v>
      </c>
      <c r="AO78" s="1">
        <v>0</v>
      </c>
      <c r="AR78" s="1">
        <v>19.99</v>
      </c>
      <c r="AW78" s="1">
        <v>0</v>
      </c>
      <c r="AX78" s="1">
        <v>32</v>
      </c>
      <c r="AY78" s="1">
        <v>0</v>
      </c>
      <c r="AZ78" s="1">
        <v>0</v>
      </c>
      <c r="BA78" s="1">
        <v>0</v>
      </c>
      <c r="BB78" s="1">
        <v>0</v>
      </c>
      <c r="BC78" s="1">
        <v>0</v>
      </c>
      <c r="BD78" s="1">
        <v>0</v>
      </c>
      <c r="BE78" s="1">
        <v>0</v>
      </c>
      <c r="BF78" s="1">
        <v>0</v>
      </c>
      <c r="BG78" s="1">
        <v>0</v>
      </c>
      <c r="BH78" s="1">
        <v>0</v>
      </c>
      <c r="BV78" s="1">
        <v>0</v>
      </c>
      <c r="BX78" s="1">
        <v>0</v>
      </c>
      <c r="CE78" s="2">
        <v>46189</v>
      </c>
      <c r="CF78" s="1">
        <v>32</v>
      </c>
      <c r="CG78" s="1">
        <v>0</v>
      </c>
      <c r="CH78" s="1">
        <v>0</v>
      </c>
      <c r="CI78" s="1">
        <v>0</v>
      </c>
      <c r="CJ78" s="1">
        <v>366</v>
      </c>
      <c r="CK78" s="1" t="s">
        <v>348</v>
      </c>
    </row>
    <row r="79" s="1" customFormat="1" spans="1:89">
      <c r="A79" s="2">
        <v>46191</v>
      </c>
      <c r="B79" s="1" t="s">
        <v>2880</v>
      </c>
      <c r="C79" s="1" t="s">
        <v>108</v>
      </c>
      <c r="D79" s="1" t="s">
        <v>2881</v>
      </c>
      <c r="E79" s="1" t="s">
        <v>2612</v>
      </c>
      <c r="F79" s="1" t="s">
        <v>337</v>
      </c>
      <c r="G79" s="1">
        <v>100</v>
      </c>
      <c r="H79" s="1">
        <v>0</v>
      </c>
      <c r="I79" s="1">
        <v>0</v>
      </c>
      <c r="J79" s="1">
        <v>1</v>
      </c>
      <c r="K79" s="1">
        <v>5</v>
      </c>
      <c r="L79" s="1">
        <v>96</v>
      </c>
      <c r="M79" s="1">
        <v>0</v>
      </c>
      <c r="N79" s="1">
        <v>0</v>
      </c>
      <c r="O79" s="1">
        <v>0</v>
      </c>
      <c r="P79" s="1" t="s">
        <v>2592</v>
      </c>
      <c r="Q79" s="1">
        <v>0</v>
      </c>
      <c r="R79" s="1">
        <v>2</v>
      </c>
      <c r="S79" s="1">
        <v>3</v>
      </c>
      <c r="T79" s="1">
        <v>6</v>
      </c>
      <c r="U79" s="1" t="s">
        <v>351</v>
      </c>
      <c r="V79" s="1">
        <v>49.99</v>
      </c>
      <c r="W79" s="1">
        <v>0</v>
      </c>
      <c r="X79" s="1">
        <v>49.99</v>
      </c>
      <c r="Y79" s="1">
        <v>12.81</v>
      </c>
      <c r="Z79" s="1" t="s">
        <v>339</v>
      </c>
      <c r="AA79" s="1">
        <v>15</v>
      </c>
      <c r="AB79" s="1">
        <v>0</v>
      </c>
      <c r="AC79" s="1">
        <v>0</v>
      </c>
      <c r="AD79" s="1">
        <v>0</v>
      </c>
      <c r="AE79" s="1">
        <v>0</v>
      </c>
      <c r="AF79" s="1">
        <v>0.16</v>
      </c>
      <c r="AG79" s="1">
        <v>0.007963</v>
      </c>
      <c r="AH79" s="1" t="s">
        <v>2593</v>
      </c>
      <c r="AI79" s="1" t="s">
        <v>341</v>
      </c>
      <c r="AJ79" s="1">
        <v>0.796295</v>
      </c>
      <c r="AK79" s="1" t="s">
        <v>2594</v>
      </c>
      <c r="AL79" s="1" t="s">
        <v>2473</v>
      </c>
      <c r="AM79" s="1">
        <v>460145</v>
      </c>
      <c r="AN79" s="1">
        <v>119</v>
      </c>
      <c r="AO79" s="1">
        <v>0</v>
      </c>
      <c r="AP79" s="1">
        <v>200</v>
      </c>
      <c r="AQ79" s="1">
        <v>216</v>
      </c>
      <c r="AR79" s="1">
        <v>33.49</v>
      </c>
      <c r="AS79" s="1">
        <v>0</v>
      </c>
      <c r="AT79" s="1">
        <v>58.38</v>
      </c>
      <c r="AU79" s="1">
        <v>88.62</v>
      </c>
      <c r="AV79" s="1">
        <v>202.04</v>
      </c>
      <c r="AW79" s="1">
        <v>1</v>
      </c>
      <c r="AX79" s="1">
        <v>0</v>
      </c>
      <c r="AY79" s="1">
        <v>0</v>
      </c>
      <c r="AZ79" s="1">
        <v>96</v>
      </c>
      <c r="BA79" s="1">
        <v>0</v>
      </c>
      <c r="BB79" s="1">
        <v>16.83</v>
      </c>
      <c r="BC79" s="1">
        <v>0</v>
      </c>
      <c r="BD79" s="1">
        <v>0</v>
      </c>
      <c r="BE79" s="1">
        <v>0</v>
      </c>
      <c r="BF79" s="1">
        <v>0</v>
      </c>
      <c r="BG79" s="1">
        <v>2</v>
      </c>
      <c r="BH79" s="1">
        <v>1</v>
      </c>
      <c r="BU79" s="1">
        <v>236.3</v>
      </c>
      <c r="BV79" s="1">
        <v>71</v>
      </c>
      <c r="BX79" s="1">
        <v>22</v>
      </c>
      <c r="BY79" s="2">
        <v>46197</v>
      </c>
      <c r="BZ79" s="2">
        <v>46188</v>
      </c>
      <c r="CA79" s="1" t="s">
        <v>345</v>
      </c>
      <c r="CB79" s="1" t="s">
        <v>346</v>
      </c>
      <c r="CC79" s="1">
        <v>178.1</v>
      </c>
      <c r="CD79" s="1">
        <v>236.3</v>
      </c>
      <c r="CE79" s="2">
        <v>46189</v>
      </c>
      <c r="CF79" s="1">
        <v>100</v>
      </c>
      <c r="CG79" s="1">
        <v>0</v>
      </c>
      <c r="CH79" s="1">
        <v>2</v>
      </c>
      <c r="CI79" s="1">
        <v>0</v>
      </c>
      <c r="CJ79" s="1">
        <v>120</v>
      </c>
      <c r="CK79" s="1" t="s">
        <v>348</v>
      </c>
    </row>
    <row r="80" s="1" customFormat="1" spans="1:89">
      <c r="A80" s="2">
        <v>46191</v>
      </c>
      <c r="B80" s="1" t="s">
        <v>2882</v>
      </c>
      <c r="C80" s="1" t="s">
        <v>184</v>
      </c>
      <c r="D80" s="1" t="s">
        <v>2883</v>
      </c>
      <c r="E80" s="1" t="s">
        <v>2831</v>
      </c>
      <c r="F80" s="1" t="s">
        <v>337</v>
      </c>
      <c r="G80" s="1">
        <v>13</v>
      </c>
      <c r="H80" s="1">
        <v>3</v>
      </c>
      <c r="I80" s="1">
        <v>0</v>
      </c>
      <c r="J80" s="1">
        <v>16</v>
      </c>
      <c r="K80" s="1">
        <v>0</v>
      </c>
      <c r="L80" s="1">
        <v>0</v>
      </c>
      <c r="M80" s="1">
        <v>0</v>
      </c>
      <c r="N80" s="1">
        <v>0</v>
      </c>
      <c r="O80" s="1">
        <v>0</v>
      </c>
      <c r="P80" s="1" t="s">
        <v>2592</v>
      </c>
      <c r="U80" s="1" t="s">
        <v>351</v>
      </c>
      <c r="V80" s="1">
        <v>49.99</v>
      </c>
      <c r="W80" s="1">
        <v>0</v>
      </c>
      <c r="X80" s="1">
        <v>29.99</v>
      </c>
      <c r="Y80" s="1">
        <v>0</v>
      </c>
      <c r="Z80" s="1" t="s">
        <v>613</v>
      </c>
      <c r="AA80" s="1">
        <v>0</v>
      </c>
      <c r="AB80" s="1">
        <v>0</v>
      </c>
      <c r="AC80" s="1">
        <v>0</v>
      </c>
      <c r="AD80" s="1">
        <v>0</v>
      </c>
      <c r="AE80" s="1">
        <v>673.54</v>
      </c>
      <c r="AF80" s="1">
        <v>0</v>
      </c>
      <c r="AG80" s="1">
        <v>0.00432</v>
      </c>
      <c r="AH80" s="1" t="s">
        <v>2593</v>
      </c>
      <c r="AI80" s="1" t="s">
        <v>341</v>
      </c>
      <c r="AJ80" s="1">
        <v>0.05616</v>
      </c>
      <c r="AK80" s="1" t="s">
        <v>2594</v>
      </c>
      <c r="AL80" s="1" t="s">
        <v>353</v>
      </c>
      <c r="AO80" s="1">
        <v>0</v>
      </c>
      <c r="AW80" s="1">
        <v>16</v>
      </c>
      <c r="AX80" s="1">
        <v>0</v>
      </c>
      <c r="AY80" s="1">
        <v>0</v>
      </c>
      <c r="AZ80" s="1">
        <v>0</v>
      </c>
      <c r="BA80" s="1">
        <v>0</v>
      </c>
      <c r="BB80" s="1">
        <v>22.06</v>
      </c>
      <c r="BC80" s="1">
        <v>0</v>
      </c>
      <c r="BD80" s="1">
        <v>0</v>
      </c>
      <c r="BE80" s="1">
        <v>0</v>
      </c>
      <c r="BF80" s="1">
        <v>0</v>
      </c>
      <c r="BG80" s="1">
        <v>0</v>
      </c>
      <c r="BH80" s="1">
        <v>0</v>
      </c>
      <c r="CE80" s="2">
        <v>46188</v>
      </c>
      <c r="CF80" s="1">
        <v>16</v>
      </c>
      <c r="CG80" s="1">
        <v>0</v>
      </c>
      <c r="CH80" s="1">
        <v>0</v>
      </c>
      <c r="CI80" s="1">
        <v>0</v>
      </c>
      <c r="CK80" s="1" t="s">
        <v>348</v>
      </c>
    </row>
    <row r="81" s="1" customFormat="1" spans="1:89">
      <c r="A81" s="2">
        <v>46191</v>
      </c>
      <c r="B81" s="1" t="s">
        <v>2884</v>
      </c>
      <c r="C81" s="1" t="s">
        <v>201</v>
      </c>
      <c r="D81" s="1" t="s">
        <v>2885</v>
      </c>
      <c r="E81" s="1" t="s">
        <v>2886</v>
      </c>
      <c r="G81" s="1">
        <v>0</v>
      </c>
      <c r="H81" s="1">
        <v>0</v>
      </c>
      <c r="I81" s="1">
        <v>-1</v>
      </c>
      <c r="P81" s="1" t="s">
        <v>2592</v>
      </c>
      <c r="V81" s="1">
        <v>0</v>
      </c>
      <c r="W81" s="1">
        <v>0</v>
      </c>
      <c r="X81" s="1">
        <v>0</v>
      </c>
      <c r="Y81" s="1">
        <v>0</v>
      </c>
      <c r="Z81" s="1" t="s">
        <v>359</v>
      </c>
      <c r="AC81" s="1">
        <v>0</v>
      </c>
      <c r="AD81" s="1">
        <v>0</v>
      </c>
      <c r="AF81" s="1">
        <v>-1</v>
      </c>
      <c r="AI81" s="1" t="s">
        <v>341</v>
      </c>
      <c r="AK81" s="1" t="s">
        <v>2594</v>
      </c>
      <c r="AL81" s="1" t="s">
        <v>465</v>
      </c>
      <c r="AM81" s="1">
        <v>343455</v>
      </c>
      <c r="AN81" s="1">
        <v>0</v>
      </c>
      <c r="AO81" s="1">
        <v>0</v>
      </c>
      <c r="AR81" s="1">
        <v>22.99</v>
      </c>
      <c r="AZ81" s="1">
        <v>0</v>
      </c>
      <c r="BC81" s="1">
        <v>0</v>
      </c>
      <c r="BD81" s="1">
        <v>0</v>
      </c>
      <c r="BE81" s="1">
        <v>0</v>
      </c>
      <c r="BF81" s="1">
        <v>0</v>
      </c>
      <c r="BG81" s="1">
        <v>0</v>
      </c>
      <c r="BH81" s="1">
        <v>0</v>
      </c>
      <c r="CF81" s="1">
        <v>0</v>
      </c>
      <c r="CG81" s="1">
        <v>0</v>
      </c>
      <c r="CH81" s="1">
        <v>0</v>
      </c>
      <c r="CI81" s="1">
        <v>0</v>
      </c>
      <c r="CJ81" s="1">
        <v>0</v>
      </c>
      <c r="CK81" s="1" t="s">
        <v>348</v>
      </c>
    </row>
    <row r="82" s="1" customFormat="1" spans="1:89">
      <c r="A82" s="2">
        <v>46191</v>
      </c>
      <c r="B82" s="1" t="s">
        <v>2887</v>
      </c>
      <c r="C82" s="1" t="s">
        <v>202</v>
      </c>
      <c r="D82" s="1" t="s">
        <v>2888</v>
      </c>
      <c r="E82" s="1" t="s">
        <v>2752</v>
      </c>
      <c r="G82" s="1">
        <v>0</v>
      </c>
      <c r="H82" s="1">
        <v>0</v>
      </c>
      <c r="I82" s="1">
        <v>-1</v>
      </c>
      <c r="P82" s="1" t="s">
        <v>2592</v>
      </c>
      <c r="V82" s="1">
        <v>0</v>
      </c>
      <c r="W82" s="1">
        <v>0</v>
      </c>
      <c r="X82" s="1">
        <v>0</v>
      </c>
      <c r="Y82" s="1">
        <v>0</v>
      </c>
      <c r="Z82" s="1" t="s">
        <v>359</v>
      </c>
      <c r="AC82" s="1">
        <v>0</v>
      </c>
      <c r="AD82" s="1">
        <v>0</v>
      </c>
      <c r="AF82" s="1">
        <v>-1</v>
      </c>
      <c r="AI82" s="1" t="s">
        <v>341</v>
      </c>
      <c r="AK82" s="1" t="s">
        <v>2594</v>
      </c>
      <c r="AL82" s="1" t="s">
        <v>353</v>
      </c>
      <c r="AO82" s="1">
        <v>0</v>
      </c>
      <c r="AR82" s="1">
        <v>8.99</v>
      </c>
      <c r="AZ82" s="1">
        <v>0</v>
      </c>
      <c r="BC82" s="1">
        <v>0</v>
      </c>
      <c r="BD82" s="1">
        <v>0</v>
      </c>
      <c r="BE82" s="1">
        <v>0</v>
      </c>
      <c r="BF82" s="1">
        <v>0</v>
      </c>
      <c r="BG82" s="1">
        <v>0</v>
      </c>
      <c r="BH82" s="1">
        <v>0</v>
      </c>
      <c r="CF82" s="1">
        <v>0</v>
      </c>
      <c r="CG82" s="1">
        <v>0</v>
      </c>
      <c r="CH82" s="1">
        <v>0</v>
      </c>
      <c r="CI82" s="1">
        <v>0</v>
      </c>
      <c r="CK82" s="1" t="s">
        <v>348</v>
      </c>
    </row>
    <row r="83" s="1" customFormat="1" spans="1:89">
      <c r="A83" s="2">
        <v>46191</v>
      </c>
      <c r="B83" s="1" t="s">
        <v>2889</v>
      </c>
      <c r="C83" s="1" t="s">
        <v>203</v>
      </c>
      <c r="D83" s="1" t="s">
        <v>2890</v>
      </c>
      <c r="E83" s="1" t="s">
        <v>2891</v>
      </c>
      <c r="I83" s="1">
        <v>-1</v>
      </c>
      <c r="P83" s="1" t="s">
        <v>2592</v>
      </c>
      <c r="V83" s="1">
        <v>0</v>
      </c>
      <c r="W83" s="1">
        <v>0</v>
      </c>
      <c r="X83" s="1">
        <v>0</v>
      </c>
      <c r="Y83" s="1">
        <v>0</v>
      </c>
      <c r="Z83" s="1" t="s">
        <v>359</v>
      </c>
      <c r="AC83" s="1">
        <v>0</v>
      </c>
      <c r="AD83" s="1">
        <v>0</v>
      </c>
      <c r="AF83" s="1">
        <v>-1</v>
      </c>
      <c r="AK83" s="1" t="s">
        <v>2594</v>
      </c>
      <c r="AL83" s="1" t="s">
        <v>353</v>
      </c>
      <c r="AO83" s="1">
        <v>0</v>
      </c>
      <c r="AR83" s="1">
        <v>14.99</v>
      </c>
      <c r="AZ83" s="1">
        <v>0</v>
      </c>
      <c r="BC83" s="1">
        <v>0</v>
      </c>
      <c r="BG83" s="1">
        <v>0</v>
      </c>
      <c r="CF83" s="1">
        <v>0</v>
      </c>
      <c r="CG83" s="1">
        <v>0</v>
      </c>
      <c r="CI83" s="1">
        <v>0</v>
      </c>
      <c r="CK83" s="1" t="s">
        <v>348</v>
      </c>
    </row>
    <row r="84" s="1" customFormat="1" spans="1:89">
      <c r="A84" s="2">
        <v>46191</v>
      </c>
      <c r="B84" s="1" t="s">
        <v>2892</v>
      </c>
      <c r="C84" s="1" t="s">
        <v>204</v>
      </c>
      <c r="D84" s="1" t="s">
        <v>2893</v>
      </c>
      <c r="E84" s="1" t="s">
        <v>2894</v>
      </c>
      <c r="I84" s="1">
        <v>-1</v>
      </c>
      <c r="P84" s="1" t="s">
        <v>2592</v>
      </c>
      <c r="V84" s="1">
        <v>0</v>
      </c>
      <c r="W84" s="1">
        <v>0</v>
      </c>
      <c r="X84" s="1">
        <v>0</v>
      </c>
      <c r="Y84" s="1">
        <v>0</v>
      </c>
      <c r="Z84" s="1" t="s">
        <v>359</v>
      </c>
      <c r="AC84" s="1">
        <v>0</v>
      </c>
      <c r="AD84" s="1">
        <v>0</v>
      </c>
      <c r="AF84" s="1">
        <v>-1</v>
      </c>
      <c r="AK84" s="1" t="s">
        <v>2594</v>
      </c>
      <c r="AL84" s="1" t="s">
        <v>343</v>
      </c>
      <c r="AO84" s="1">
        <v>0</v>
      </c>
      <c r="AR84" s="1">
        <v>14.99</v>
      </c>
      <c r="AZ84" s="1">
        <v>0</v>
      </c>
      <c r="BC84" s="1">
        <v>0</v>
      </c>
      <c r="BG84" s="1">
        <v>0</v>
      </c>
      <c r="CF84" s="1">
        <v>0</v>
      </c>
      <c r="CG84" s="1">
        <v>0</v>
      </c>
      <c r="CI84" s="1">
        <v>0</v>
      </c>
      <c r="CK84" s="1" t="s">
        <v>348</v>
      </c>
    </row>
    <row r="85" s="1" customFormat="1" spans="1:89">
      <c r="A85" s="2">
        <v>46191</v>
      </c>
      <c r="B85" s="1" t="s">
        <v>2895</v>
      </c>
      <c r="C85" s="1" t="s">
        <v>205</v>
      </c>
      <c r="D85" s="1" t="s">
        <v>2896</v>
      </c>
      <c r="E85" s="1" t="s">
        <v>2897</v>
      </c>
      <c r="I85" s="1">
        <v>-1</v>
      </c>
      <c r="P85" s="1" t="s">
        <v>2592</v>
      </c>
      <c r="V85" s="1">
        <v>0</v>
      </c>
      <c r="W85" s="1">
        <v>0</v>
      </c>
      <c r="X85" s="1">
        <v>0</v>
      </c>
      <c r="Y85" s="1">
        <v>0</v>
      </c>
      <c r="Z85" s="1" t="s">
        <v>359</v>
      </c>
      <c r="AC85" s="1">
        <v>0</v>
      </c>
      <c r="AD85" s="1">
        <v>0</v>
      </c>
      <c r="AF85" s="1">
        <v>-1</v>
      </c>
      <c r="AK85" s="1" t="s">
        <v>2594</v>
      </c>
      <c r="AL85" s="1" t="s">
        <v>652</v>
      </c>
      <c r="AO85" s="1">
        <v>0</v>
      </c>
      <c r="AR85" s="1">
        <v>11.99</v>
      </c>
      <c r="AZ85" s="1">
        <v>0</v>
      </c>
      <c r="BC85" s="1">
        <v>0</v>
      </c>
      <c r="BG85" s="1">
        <v>0</v>
      </c>
      <c r="CF85" s="1">
        <v>0</v>
      </c>
      <c r="CG85" s="1">
        <v>0</v>
      </c>
      <c r="CI85" s="1">
        <v>0</v>
      </c>
      <c r="CK85" s="1" t="s">
        <v>348</v>
      </c>
    </row>
    <row r="86" s="1" customFormat="1" spans="1:89">
      <c r="A86" s="2">
        <v>46191</v>
      </c>
      <c r="B86" s="1" t="s">
        <v>2898</v>
      </c>
      <c r="C86" s="1" t="s">
        <v>206</v>
      </c>
      <c r="D86" s="1" t="s">
        <v>2899</v>
      </c>
      <c r="E86" s="1" t="s">
        <v>2724</v>
      </c>
      <c r="I86" s="1">
        <v>-1</v>
      </c>
      <c r="P86" s="1" t="s">
        <v>2592</v>
      </c>
      <c r="V86" s="1">
        <v>0</v>
      </c>
      <c r="W86" s="1">
        <v>0</v>
      </c>
      <c r="X86" s="1">
        <v>0</v>
      </c>
      <c r="Y86" s="1">
        <v>0</v>
      </c>
      <c r="Z86" s="1" t="s">
        <v>359</v>
      </c>
      <c r="AC86" s="1">
        <v>0</v>
      </c>
      <c r="AD86" s="1">
        <v>0</v>
      </c>
      <c r="AF86" s="1">
        <v>-1</v>
      </c>
      <c r="AK86" s="1" t="s">
        <v>2594</v>
      </c>
      <c r="AL86" s="1" t="s">
        <v>353</v>
      </c>
      <c r="AO86" s="1">
        <v>0</v>
      </c>
      <c r="AR86" s="1">
        <v>11.99</v>
      </c>
      <c r="AZ86" s="1">
        <v>0</v>
      </c>
      <c r="BC86" s="1">
        <v>0</v>
      </c>
      <c r="BG86" s="1">
        <v>0</v>
      </c>
      <c r="CF86" s="1">
        <v>0</v>
      </c>
      <c r="CG86" s="1">
        <v>0</v>
      </c>
      <c r="CI86" s="1">
        <v>0</v>
      </c>
      <c r="CK86" s="1" t="s">
        <v>348</v>
      </c>
    </row>
    <row r="87" s="1" customFormat="1" spans="1:89">
      <c r="A87" s="2">
        <v>46191</v>
      </c>
      <c r="B87" s="1" t="s">
        <v>2900</v>
      </c>
      <c r="C87" s="1" t="s">
        <v>207</v>
      </c>
      <c r="D87" s="1" t="s">
        <v>2901</v>
      </c>
      <c r="E87" s="1" t="s">
        <v>2902</v>
      </c>
      <c r="I87" s="1">
        <v>-1</v>
      </c>
      <c r="P87" s="1" t="s">
        <v>2592</v>
      </c>
      <c r="V87" s="1">
        <v>0</v>
      </c>
      <c r="W87" s="1">
        <v>0</v>
      </c>
      <c r="X87" s="1">
        <v>0</v>
      </c>
      <c r="Y87" s="1">
        <v>0</v>
      </c>
      <c r="Z87" s="1" t="s">
        <v>359</v>
      </c>
      <c r="AC87" s="1">
        <v>0</v>
      </c>
      <c r="AD87" s="1">
        <v>0</v>
      </c>
      <c r="AF87" s="1">
        <v>-1</v>
      </c>
      <c r="AK87" s="1" t="s">
        <v>2594</v>
      </c>
      <c r="AL87" s="1" t="s">
        <v>353</v>
      </c>
      <c r="AO87" s="1">
        <v>0</v>
      </c>
      <c r="AR87" s="1">
        <v>9.99</v>
      </c>
      <c r="AZ87" s="1">
        <v>0</v>
      </c>
      <c r="BC87" s="1">
        <v>0</v>
      </c>
      <c r="BG87" s="1">
        <v>0</v>
      </c>
      <c r="CF87" s="1">
        <v>0</v>
      </c>
      <c r="CG87" s="1">
        <v>0</v>
      </c>
      <c r="CI87" s="1">
        <v>0</v>
      </c>
      <c r="CK87" s="1" t="s">
        <v>348</v>
      </c>
    </row>
    <row r="88" s="1" customFormat="1" spans="1:89">
      <c r="A88" s="2">
        <v>46191</v>
      </c>
      <c r="B88" s="1" t="s">
        <v>2903</v>
      </c>
      <c r="C88" s="1" t="s">
        <v>208</v>
      </c>
      <c r="D88" s="1" t="s">
        <v>2904</v>
      </c>
      <c r="E88" s="1" t="s">
        <v>2696</v>
      </c>
      <c r="G88" s="1">
        <v>0</v>
      </c>
      <c r="H88" s="1">
        <v>0</v>
      </c>
      <c r="I88" s="1">
        <v>-1</v>
      </c>
      <c r="P88" s="1" t="s">
        <v>2592</v>
      </c>
      <c r="V88" s="1">
        <v>0</v>
      </c>
      <c r="W88" s="1">
        <v>0</v>
      </c>
      <c r="X88" s="1">
        <v>0</v>
      </c>
      <c r="Y88" s="1">
        <v>0</v>
      </c>
      <c r="Z88" s="1" t="s">
        <v>359</v>
      </c>
      <c r="AC88" s="1">
        <v>0</v>
      </c>
      <c r="AD88" s="1">
        <v>0</v>
      </c>
      <c r="AF88" s="1">
        <v>-1</v>
      </c>
      <c r="AI88" s="1" t="s">
        <v>341</v>
      </c>
      <c r="AK88" s="1" t="s">
        <v>2594</v>
      </c>
      <c r="AL88" s="1" t="s">
        <v>652</v>
      </c>
      <c r="AO88" s="1">
        <v>0</v>
      </c>
      <c r="AR88" s="1">
        <v>12.99</v>
      </c>
      <c r="AZ88" s="1">
        <v>0</v>
      </c>
      <c r="BC88" s="1">
        <v>0</v>
      </c>
      <c r="BD88" s="1">
        <v>0</v>
      </c>
      <c r="BE88" s="1">
        <v>0</v>
      </c>
      <c r="BF88" s="1">
        <v>0</v>
      </c>
      <c r="BG88" s="1">
        <v>0</v>
      </c>
      <c r="BH88" s="1">
        <v>0</v>
      </c>
      <c r="CF88" s="1">
        <v>0</v>
      </c>
      <c r="CG88" s="1">
        <v>0</v>
      </c>
      <c r="CH88" s="1">
        <v>0</v>
      </c>
      <c r="CI88" s="1">
        <v>0</v>
      </c>
      <c r="CK88" s="1" t="s">
        <v>348</v>
      </c>
    </row>
    <row r="89" s="1" customFormat="1" spans="1:89">
      <c r="A89" s="2">
        <v>46191</v>
      </c>
      <c r="B89" s="1" t="s">
        <v>2905</v>
      </c>
      <c r="C89" s="1" t="s">
        <v>209</v>
      </c>
      <c r="D89" s="1" t="s">
        <v>2906</v>
      </c>
      <c r="E89" s="1" t="s">
        <v>2696</v>
      </c>
      <c r="G89" s="1">
        <v>0</v>
      </c>
      <c r="H89" s="1">
        <v>0</v>
      </c>
      <c r="I89" s="1">
        <v>-1</v>
      </c>
      <c r="P89" s="1" t="s">
        <v>2592</v>
      </c>
      <c r="V89" s="1">
        <v>0</v>
      </c>
      <c r="W89" s="1">
        <v>0</v>
      </c>
      <c r="X89" s="1">
        <v>0</v>
      </c>
      <c r="Y89" s="1">
        <v>0</v>
      </c>
      <c r="Z89" s="1" t="s">
        <v>359</v>
      </c>
      <c r="AC89" s="1">
        <v>0</v>
      </c>
      <c r="AD89" s="1">
        <v>0</v>
      </c>
      <c r="AF89" s="1">
        <v>-1</v>
      </c>
      <c r="AI89" s="1" t="s">
        <v>341</v>
      </c>
      <c r="AK89" s="1" t="s">
        <v>2594</v>
      </c>
      <c r="AL89" s="1" t="s">
        <v>652</v>
      </c>
      <c r="AO89" s="1">
        <v>0</v>
      </c>
      <c r="AR89" s="1">
        <v>12.99</v>
      </c>
      <c r="AZ89" s="1">
        <v>0</v>
      </c>
      <c r="BC89" s="1">
        <v>0</v>
      </c>
      <c r="BD89" s="1">
        <v>0</v>
      </c>
      <c r="BE89" s="1">
        <v>0</v>
      </c>
      <c r="BF89" s="1">
        <v>0</v>
      </c>
      <c r="BG89" s="1">
        <v>0</v>
      </c>
      <c r="BH89" s="1">
        <v>0</v>
      </c>
      <c r="CF89" s="1">
        <v>0</v>
      </c>
      <c r="CG89" s="1">
        <v>0</v>
      </c>
      <c r="CH89" s="1">
        <v>0</v>
      </c>
      <c r="CI89" s="1">
        <v>0</v>
      </c>
      <c r="CK89" s="1" t="s">
        <v>348</v>
      </c>
    </row>
    <row r="90" s="1" customFormat="1" spans="1:89">
      <c r="A90" s="2">
        <v>46191</v>
      </c>
      <c r="B90" s="1" t="s">
        <v>2907</v>
      </c>
      <c r="C90" s="1" t="s">
        <v>210</v>
      </c>
      <c r="D90" s="1" t="s">
        <v>2908</v>
      </c>
      <c r="E90" s="1" t="s">
        <v>2752</v>
      </c>
      <c r="G90" s="1">
        <v>0</v>
      </c>
      <c r="H90" s="1">
        <v>0</v>
      </c>
      <c r="I90" s="1">
        <v>-1</v>
      </c>
      <c r="P90" s="1" t="s">
        <v>2592</v>
      </c>
      <c r="V90" s="1">
        <v>0</v>
      </c>
      <c r="W90" s="1">
        <v>0</v>
      </c>
      <c r="X90" s="1">
        <v>0</v>
      </c>
      <c r="Y90" s="1">
        <v>0</v>
      </c>
      <c r="Z90" s="1" t="s">
        <v>359</v>
      </c>
      <c r="AC90" s="1">
        <v>0</v>
      </c>
      <c r="AD90" s="1">
        <v>0</v>
      </c>
      <c r="AF90" s="1">
        <v>-1</v>
      </c>
      <c r="AI90" s="1" t="s">
        <v>341</v>
      </c>
      <c r="AK90" s="1" t="s">
        <v>2594</v>
      </c>
      <c r="AL90" s="1" t="s">
        <v>353</v>
      </c>
      <c r="AO90" s="1">
        <v>0</v>
      </c>
      <c r="AR90" s="1">
        <v>11.99</v>
      </c>
      <c r="AZ90" s="1">
        <v>0</v>
      </c>
      <c r="BC90" s="1">
        <v>0</v>
      </c>
      <c r="BD90" s="1">
        <v>0</v>
      </c>
      <c r="BE90" s="1">
        <v>0</v>
      </c>
      <c r="BF90" s="1">
        <v>0</v>
      </c>
      <c r="BG90" s="1">
        <v>0</v>
      </c>
      <c r="BH90" s="1">
        <v>0</v>
      </c>
      <c r="CF90" s="1">
        <v>0</v>
      </c>
      <c r="CG90" s="1">
        <v>0</v>
      </c>
      <c r="CH90" s="1">
        <v>0</v>
      </c>
      <c r="CI90" s="1">
        <v>0</v>
      </c>
      <c r="CK90" s="1" t="s">
        <v>348</v>
      </c>
    </row>
    <row r="91" s="1" customFormat="1" spans="1:89">
      <c r="A91" s="2">
        <v>46191</v>
      </c>
      <c r="B91" s="1" t="s">
        <v>2909</v>
      </c>
      <c r="C91" s="1" t="s">
        <v>211</v>
      </c>
      <c r="D91" s="1" t="s">
        <v>2910</v>
      </c>
      <c r="E91" s="1" t="s">
        <v>2696</v>
      </c>
      <c r="G91" s="1">
        <v>0</v>
      </c>
      <c r="H91" s="1">
        <v>0</v>
      </c>
      <c r="I91" s="1">
        <v>-1</v>
      </c>
      <c r="P91" s="1" t="s">
        <v>2592</v>
      </c>
      <c r="V91" s="1">
        <v>0</v>
      </c>
      <c r="W91" s="1">
        <v>0</v>
      </c>
      <c r="X91" s="1">
        <v>0</v>
      </c>
      <c r="Y91" s="1">
        <v>0</v>
      </c>
      <c r="Z91" s="1" t="s">
        <v>359</v>
      </c>
      <c r="AC91" s="1">
        <v>0</v>
      </c>
      <c r="AD91" s="1">
        <v>0</v>
      </c>
      <c r="AF91" s="1">
        <v>-1</v>
      </c>
      <c r="AI91" s="1" t="s">
        <v>341</v>
      </c>
      <c r="AK91" s="1" t="s">
        <v>2594</v>
      </c>
      <c r="AL91" s="1" t="s">
        <v>652</v>
      </c>
      <c r="AO91" s="1">
        <v>0</v>
      </c>
      <c r="AR91" s="1">
        <v>12.99</v>
      </c>
      <c r="AZ91" s="1">
        <v>0</v>
      </c>
      <c r="BC91" s="1">
        <v>0</v>
      </c>
      <c r="BD91" s="1">
        <v>0</v>
      </c>
      <c r="BE91" s="1">
        <v>0</v>
      </c>
      <c r="BF91" s="1">
        <v>0</v>
      </c>
      <c r="BG91" s="1">
        <v>0</v>
      </c>
      <c r="BH91" s="1">
        <v>0</v>
      </c>
      <c r="CF91" s="1">
        <v>0</v>
      </c>
      <c r="CG91" s="1">
        <v>0</v>
      </c>
      <c r="CH91" s="1">
        <v>0</v>
      </c>
      <c r="CI91" s="1">
        <v>0</v>
      </c>
      <c r="CK91" s="1" t="s">
        <v>348</v>
      </c>
    </row>
    <row r="92" s="1" customFormat="1" spans="1:89">
      <c r="A92" s="2">
        <v>46191</v>
      </c>
      <c r="B92" s="1" t="s">
        <v>2911</v>
      </c>
      <c r="C92" s="1" t="s">
        <v>212</v>
      </c>
      <c r="D92" s="1" t="s">
        <v>2912</v>
      </c>
      <c r="E92" s="1" t="s">
        <v>2913</v>
      </c>
      <c r="I92" s="1">
        <v>-1</v>
      </c>
      <c r="P92" s="1" t="s">
        <v>2592</v>
      </c>
      <c r="V92" s="1">
        <v>0</v>
      </c>
      <c r="W92" s="1">
        <v>0</v>
      </c>
      <c r="X92" s="1">
        <v>0</v>
      </c>
      <c r="Y92" s="1">
        <v>0</v>
      </c>
      <c r="Z92" s="1" t="s">
        <v>359</v>
      </c>
      <c r="AC92" s="1">
        <v>0</v>
      </c>
      <c r="AD92" s="1">
        <v>0</v>
      </c>
      <c r="AF92" s="1">
        <v>-1</v>
      </c>
      <c r="AK92" s="1" t="s">
        <v>2594</v>
      </c>
      <c r="AL92" s="1" t="s">
        <v>353</v>
      </c>
      <c r="AO92" s="1">
        <v>0</v>
      </c>
      <c r="AR92" s="1">
        <v>9.99</v>
      </c>
      <c r="AZ92" s="1">
        <v>0</v>
      </c>
      <c r="BC92" s="1">
        <v>0</v>
      </c>
      <c r="BG92" s="1">
        <v>0</v>
      </c>
      <c r="CF92" s="1">
        <v>0</v>
      </c>
      <c r="CG92" s="1">
        <v>0</v>
      </c>
      <c r="CI92" s="1">
        <v>0</v>
      </c>
      <c r="CK92" s="1" t="s">
        <v>348</v>
      </c>
    </row>
    <row r="93" s="1" customFormat="1" spans="1:89">
      <c r="A93" s="2">
        <v>46191</v>
      </c>
      <c r="B93" s="1" t="s">
        <v>2914</v>
      </c>
      <c r="C93" s="1" t="s">
        <v>213</v>
      </c>
      <c r="D93" s="1" t="s">
        <v>2915</v>
      </c>
      <c r="E93" s="1" t="s">
        <v>2916</v>
      </c>
      <c r="I93" s="1">
        <v>-1</v>
      </c>
      <c r="P93" s="1" t="s">
        <v>2592</v>
      </c>
      <c r="V93" s="1">
        <v>0</v>
      </c>
      <c r="W93" s="1">
        <v>0</v>
      </c>
      <c r="X93" s="1">
        <v>0</v>
      </c>
      <c r="Y93" s="1">
        <v>0</v>
      </c>
      <c r="Z93" s="1" t="s">
        <v>359</v>
      </c>
      <c r="AC93" s="1">
        <v>0</v>
      </c>
      <c r="AD93" s="1">
        <v>0</v>
      </c>
      <c r="AF93" s="1">
        <v>-1</v>
      </c>
      <c r="AK93" s="1" t="s">
        <v>2594</v>
      </c>
      <c r="AL93" s="1" t="s">
        <v>2728</v>
      </c>
      <c r="AO93" s="1">
        <v>0</v>
      </c>
      <c r="AR93" s="1">
        <v>14.99</v>
      </c>
      <c r="AZ93" s="1">
        <v>0</v>
      </c>
      <c r="BC93" s="1">
        <v>0</v>
      </c>
      <c r="BG93" s="1">
        <v>0</v>
      </c>
      <c r="CF93" s="1">
        <v>0</v>
      </c>
      <c r="CG93" s="1">
        <v>0</v>
      </c>
      <c r="CI93" s="1">
        <v>0</v>
      </c>
      <c r="CK93" s="1" t="s">
        <v>348</v>
      </c>
    </row>
    <row r="94" s="1" customFormat="1" spans="1:89">
      <c r="A94" s="2">
        <v>46191</v>
      </c>
      <c r="B94" s="1" t="s">
        <v>2917</v>
      </c>
      <c r="C94" s="1" t="s">
        <v>214</v>
      </c>
      <c r="D94" s="1" t="s">
        <v>2918</v>
      </c>
      <c r="E94" s="1" t="s">
        <v>2919</v>
      </c>
      <c r="G94" s="1">
        <v>0</v>
      </c>
      <c r="H94" s="1">
        <v>0</v>
      </c>
      <c r="I94" s="1">
        <v>-1</v>
      </c>
      <c r="P94" s="1" t="s">
        <v>2592</v>
      </c>
      <c r="V94" s="1">
        <v>0</v>
      </c>
      <c r="W94" s="1">
        <v>0</v>
      </c>
      <c r="X94" s="1">
        <v>0</v>
      </c>
      <c r="Y94" s="1">
        <v>0</v>
      </c>
      <c r="Z94" s="1" t="s">
        <v>359</v>
      </c>
      <c r="AC94" s="1">
        <v>0</v>
      </c>
      <c r="AD94" s="1">
        <v>0</v>
      </c>
      <c r="AF94" s="1">
        <v>-1</v>
      </c>
      <c r="AI94" s="1" t="s">
        <v>341</v>
      </c>
      <c r="AK94" s="1" t="s">
        <v>2594</v>
      </c>
      <c r="AL94" s="1" t="s">
        <v>465</v>
      </c>
      <c r="AO94" s="1">
        <v>0</v>
      </c>
      <c r="AR94" s="1">
        <v>13.99</v>
      </c>
      <c r="AZ94" s="1">
        <v>0</v>
      </c>
      <c r="BC94" s="1">
        <v>0</v>
      </c>
      <c r="BD94" s="1">
        <v>0</v>
      </c>
      <c r="BE94" s="1">
        <v>0</v>
      </c>
      <c r="BF94" s="1">
        <v>0</v>
      </c>
      <c r="BG94" s="1">
        <v>0</v>
      </c>
      <c r="BH94" s="1">
        <v>0</v>
      </c>
      <c r="CF94" s="1">
        <v>0</v>
      </c>
      <c r="CG94" s="1">
        <v>0</v>
      </c>
      <c r="CH94" s="1">
        <v>0</v>
      </c>
      <c r="CI94" s="1">
        <v>0</v>
      </c>
      <c r="CK94" s="1" t="s">
        <v>348</v>
      </c>
    </row>
    <row r="95" s="1" customFormat="1" spans="1:89">
      <c r="A95" s="2">
        <v>46191</v>
      </c>
      <c r="B95" s="1" t="s">
        <v>2920</v>
      </c>
      <c r="C95" s="1" t="s">
        <v>215</v>
      </c>
      <c r="D95" s="1" t="s">
        <v>2921</v>
      </c>
      <c r="E95" s="1" t="s">
        <v>2696</v>
      </c>
      <c r="G95" s="1">
        <v>0</v>
      </c>
      <c r="H95" s="1">
        <v>0</v>
      </c>
      <c r="I95" s="1">
        <v>-1</v>
      </c>
      <c r="P95" s="1" t="s">
        <v>2592</v>
      </c>
      <c r="V95" s="1">
        <v>0</v>
      </c>
      <c r="W95" s="1">
        <v>0</v>
      </c>
      <c r="X95" s="1">
        <v>0</v>
      </c>
      <c r="Y95" s="1">
        <v>0</v>
      </c>
      <c r="Z95" s="1" t="s">
        <v>359</v>
      </c>
      <c r="AC95" s="1">
        <v>0</v>
      </c>
      <c r="AD95" s="1">
        <v>0</v>
      </c>
      <c r="AF95" s="1">
        <v>-1</v>
      </c>
      <c r="AI95" s="1" t="s">
        <v>341</v>
      </c>
      <c r="AK95" s="1" t="s">
        <v>2594</v>
      </c>
      <c r="AL95" s="1" t="s">
        <v>652</v>
      </c>
      <c r="AO95" s="1">
        <v>0</v>
      </c>
      <c r="AR95" s="1">
        <v>11.99</v>
      </c>
      <c r="AZ95" s="1">
        <v>0</v>
      </c>
      <c r="BC95" s="1">
        <v>0</v>
      </c>
      <c r="BD95" s="1">
        <v>0</v>
      </c>
      <c r="BE95" s="1">
        <v>0</v>
      </c>
      <c r="BF95" s="1">
        <v>0</v>
      </c>
      <c r="BG95" s="1">
        <v>0</v>
      </c>
      <c r="BH95" s="1">
        <v>0</v>
      </c>
      <c r="CF95" s="1">
        <v>0</v>
      </c>
      <c r="CG95" s="1">
        <v>0</v>
      </c>
      <c r="CH95" s="1">
        <v>0</v>
      </c>
      <c r="CI95" s="1">
        <v>0</v>
      </c>
      <c r="CK95" s="1" t="s">
        <v>348</v>
      </c>
    </row>
    <row r="96" s="1" customFormat="1" spans="1:89">
      <c r="A96" s="2">
        <v>46191</v>
      </c>
      <c r="B96" s="1" t="s">
        <v>2922</v>
      </c>
      <c r="C96" s="1" t="s">
        <v>216</v>
      </c>
      <c r="D96" s="1" t="s">
        <v>2923</v>
      </c>
      <c r="E96" s="1" t="s">
        <v>2924</v>
      </c>
      <c r="I96" s="1">
        <v>-1</v>
      </c>
      <c r="P96" s="1" t="s">
        <v>2592</v>
      </c>
      <c r="V96" s="1">
        <v>0</v>
      </c>
      <c r="W96" s="1">
        <v>0</v>
      </c>
      <c r="X96" s="1">
        <v>0</v>
      </c>
      <c r="Y96" s="1">
        <v>0</v>
      </c>
      <c r="Z96" s="1" t="s">
        <v>359</v>
      </c>
      <c r="AC96" s="1">
        <v>0</v>
      </c>
      <c r="AD96" s="1">
        <v>0</v>
      </c>
      <c r="AF96" s="1">
        <v>-1</v>
      </c>
      <c r="AK96" s="1" t="s">
        <v>2594</v>
      </c>
      <c r="AL96" s="1" t="s">
        <v>353</v>
      </c>
      <c r="AO96" s="1">
        <v>0</v>
      </c>
      <c r="AR96" s="1">
        <v>9.99</v>
      </c>
      <c r="AZ96" s="1">
        <v>0</v>
      </c>
      <c r="BC96" s="1">
        <v>0</v>
      </c>
      <c r="BG96" s="1">
        <v>0</v>
      </c>
      <c r="CF96" s="1">
        <v>0</v>
      </c>
      <c r="CG96" s="1">
        <v>0</v>
      </c>
      <c r="CI96" s="1">
        <v>0</v>
      </c>
      <c r="CK96" s="1" t="s">
        <v>348</v>
      </c>
    </row>
    <row r="97" s="1" customFormat="1" spans="1:89">
      <c r="A97" s="2">
        <v>46191</v>
      </c>
      <c r="B97" s="1" t="s">
        <v>2925</v>
      </c>
      <c r="C97" s="1" t="s">
        <v>217</v>
      </c>
      <c r="D97" s="1" t="s">
        <v>2926</v>
      </c>
      <c r="E97" s="1" t="s">
        <v>2927</v>
      </c>
      <c r="G97" s="1">
        <v>0</v>
      </c>
      <c r="H97" s="1">
        <v>0</v>
      </c>
      <c r="I97" s="1">
        <v>-1</v>
      </c>
      <c r="P97" s="1" t="s">
        <v>2592</v>
      </c>
      <c r="V97" s="1">
        <v>0</v>
      </c>
      <c r="W97" s="1">
        <v>0</v>
      </c>
      <c r="X97" s="1">
        <v>0</v>
      </c>
      <c r="Y97" s="1">
        <v>0</v>
      </c>
      <c r="Z97" s="1" t="s">
        <v>359</v>
      </c>
      <c r="AC97" s="1">
        <v>0</v>
      </c>
      <c r="AD97" s="1">
        <v>0</v>
      </c>
      <c r="AF97" s="1">
        <v>-1</v>
      </c>
      <c r="AI97" s="1" t="s">
        <v>341</v>
      </c>
      <c r="AK97" s="1" t="s">
        <v>2594</v>
      </c>
      <c r="AL97" s="1" t="s">
        <v>353</v>
      </c>
      <c r="AO97" s="1">
        <v>0</v>
      </c>
      <c r="AR97" s="1">
        <v>75.99</v>
      </c>
      <c r="AZ97" s="1">
        <v>0</v>
      </c>
      <c r="BC97" s="1">
        <v>0</v>
      </c>
      <c r="BD97" s="1">
        <v>0</v>
      </c>
      <c r="BE97" s="1">
        <v>0</v>
      </c>
      <c r="BF97" s="1">
        <v>0</v>
      </c>
      <c r="BG97" s="1">
        <v>0</v>
      </c>
      <c r="BH97" s="1">
        <v>0</v>
      </c>
      <c r="CF97" s="1">
        <v>0</v>
      </c>
      <c r="CG97" s="1">
        <v>0</v>
      </c>
      <c r="CH97" s="1">
        <v>0</v>
      </c>
      <c r="CI97" s="1">
        <v>0</v>
      </c>
      <c r="CK97" s="1" t="s">
        <v>348</v>
      </c>
    </row>
    <row r="98" s="1" customFormat="1" spans="1:89">
      <c r="A98" s="2">
        <v>46191</v>
      </c>
      <c r="B98" s="1" t="s">
        <v>2928</v>
      </c>
      <c r="C98" s="1" t="s">
        <v>218</v>
      </c>
      <c r="D98" s="1" t="s">
        <v>2929</v>
      </c>
      <c r="E98" s="1" t="s">
        <v>2930</v>
      </c>
      <c r="G98" s="1">
        <v>0</v>
      </c>
      <c r="H98" s="1">
        <v>0</v>
      </c>
      <c r="I98" s="1">
        <v>-1</v>
      </c>
      <c r="P98" s="1" t="s">
        <v>2592</v>
      </c>
      <c r="Q98" s="1">
        <v>0</v>
      </c>
      <c r="R98" s="1">
        <v>0</v>
      </c>
      <c r="S98" s="1">
        <v>0</v>
      </c>
      <c r="T98" s="1">
        <v>0</v>
      </c>
      <c r="V98" s="1">
        <v>0</v>
      </c>
      <c r="W98" s="1">
        <v>0</v>
      </c>
      <c r="X98" s="1">
        <v>0</v>
      </c>
      <c r="Y98" s="1">
        <v>0</v>
      </c>
      <c r="Z98" s="1" t="s">
        <v>359</v>
      </c>
      <c r="AC98" s="1">
        <v>0</v>
      </c>
      <c r="AD98" s="1">
        <v>0</v>
      </c>
      <c r="AF98" s="1">
        <v>-1</v>
      </c>
      <c r="AI98" s="1" t="s">
        <v>341</v>
      </c>
      <c r="AK98" s="1" t="s">
        <v>2594</v>
      </c>
      <c r="AL98" s="1" t="s">
        <v>353</v>
      </c>
      <c r="AM98" s="1">
        <v>236340</v>
      </c>
      <c r="AO98" s="1">
        <v>0</v>
      </c>
      <c r="AR98" s="1">
        <v>41.21</v>
      </c>
      <c r="AS98" s="1">
        <v>0</v>
      </c>
      <c r="AT98" s="1">
        <v>0</v>
      </c>
      <c r="AU98" s="1">
        <v>0</v>
      </c>
      <c r="AV98" s="1">
        <v>0</v>
      </c>
      <c r="AZ98" s="1">
        <v>0</v>
      </c>
      <c r="BC98" s="1">
        <v>0</v>
      </c>
      <c r="BD98" s="1">
        <v>0</v>
      </c>
      <c r="BE98" s="1">
        <v>0</v>
      </c>
      <c r="BF98" s="1">
        <v>0</v>
      </c>
      <c r="BG98" s="1">
        <v>0</v>
      </c>
      <c r="BH98" s="1">
        <v>0</v>
      </c>
      <c r="BV98" s="1">
        <v>0</v>
      </c>
      <c r="BX98" s="1">
        <v>0</v>
      </c>
      <c r="CF98" s="1">
        <v>0</v>
      </c>
      <c r="CG98" s="1">
        <v>0</v>
      </c>
      <c r="CH98" s="1">
        <v>0</v>
      </c>
      <c r="CI98" s="1">
        <v>0</v>
      </c>
      <c r="CK98" s="1" t="s">
        <v>348</v>
      </c>
    </row>
    <row r="99" s="1" customFormat="1" spans="1:89">
      <c r="A99" s="2">
        <v>46191</v>
      </c>
      <c r="B99" s="1" t="s">
        <v>2931</v>
      </c>
      <c r="C99" s="1" t="s">
        <v>127</v>
      </c>
      <c r="D99" s="1" t="s">
        <v>2932</v>
      </c>
      <c r="E99" s="1" t="s">
        <v>2666</v>
      </c>
      <c r="F99" s="1" t="s">
        <v>337</v>
      </c>
      <c r="G99" s="1">
        <v>0</v>
      </c>
      <c r="H99" s="1">
        <v>59</v>
      </c>
      <c r="I99" s="1">
        <v>0</v>
      </c>
      <c r="J99" s="1">
        <v>60</v>
      </c>
      <c r="K99" s="1">
        <v>0</v>
      </c>
      <c r="L99" s="1">
        <v>0</v>
      </c>
      <c r="M99" s="1">
        <v>0</v>
      </c>
      <c r="N99" s="1">
        <v>0</v>
      </c>
      <c r="O99" s="1">
        <v>0</v>
      </c>
      <c r="P99" s="1" t="s">
        <v>2592</v>
      </c>
      <c r="Q99" s="1">
        <v>0</v>
      </c>
      <c r="R99" s="1">
        <v>0</v>
      </c>
      <c r="S99" s="1">
        <v>0</v>
      </c>
      <c r="T99" s="1">
        <v>2</v>
      </c>
      <c r="U99" s="1" t="s">
        <v>351</v>
      </c>
      <c r="V99" s="1">
        <v>14.99</v>
      </c>
      <c r="W99" s="1">
        <v>0</v>
      </c>
      <c r="X99" s="1">
        <v>14.99</v>
      </c>
      <c r="Y99" s="1">
        <v>0</v>
      </c>
      <c r="Z99" s="1" t="s">
        <v>633</v>
      </c>
      <c r="AA99" s="1">
        <v>60</v>
      </c>
      <c r="AB99" s="1">
        <v>0</v>
      </c>
      <c r="AC99" s="1">
        <v>0</v>
      </c>
      <c r="AD99" s="1">
        <v>0</v>
      </c>
      <c r="AE99" s="1">
        <v>0</v>
      </c>
      <c r="AF99" s="1">
        <v>0.19</v>
      </c>
      <c r="AG99" s="1">
        <v>0.001011</v>
      </c>
      <c r="AH99" s="1" t="s">
        <v>2593</v>
      </c>
      <c r="AI99" s="1" t="s">
        <v>341</v>
      </c>
      <c r="AJ99" s="1">
        <v>0</v>
      </c>
      <c r="AK99" s="1" t="s">
        <v>2594</v>
      </c>
      <c r="AL99" s="1" t="s">
        <v>465</v>
      </c>
      <c r="AM99" s="1">
        <v>284482</v>
      </c>
      <c r="AN99" s="1">
        <v>209</v>
      </c>
      <c r="AO99" s="1">
        <v>0</v>
      </c>
      <c r="AQ99" s="1">
        <v>0</v>
      </c>
      <c r="AR99" s="1">
        <v>14.24</v>
      </c>
      <c r="AS99" s="1">
        <v>0</v>
      </c>
      <c r="AT99" s="1">
        <v>0</v>
      </c>
      <c r="AU99" s="1">
        <v>0</v>
      </c>
      <c r="AV99" s="1">
        <v>25.2</v>
      </c>
      <c r="AW99" s="1">
        <v>60</v>
      </c>
      <c r="AX99" s="1">
        <v>0</v>
      </c>
      <c r="AY99" s="1">
        <v>0</v>
      </c>
      <c r="AZ99" s="1">
        <v>0</v>
      </c>
      <c r="BA99" s="1">
        <v>0</v>
      </c>
      <c r="BB99" s="1">
        <v>3.64</v>
      </c>
      <c r="BC99" s="1">
        <v>0</v>
      </c>
      <c r="BD99" s="1">
        <v>0</v>
      </c>
      <c r="BE99" s="1">
        <v>0</v>
      </c>
      <c r="BF99" s="1">
        <v>0</v>
      </c>
      <c r="BG99" s="1">
        <v>1</v>
      </c>
      <c r="BH99" s="1">
        <v>0</v>
      </c>
      <c r="BV99" s="1">
        <v>8</v>
      </c>
      <c r="BX99" s="1">
        <v>0</v>
      </c>
      <c r="CD99" s="1">
        <v>3.7</v>
      </c>
      <c r="CE99" s="2">
        <v>46189</v>
      </c>
      <c r="CF99" s="1">
        <v>59</v>
      </c>
      <c r="CG99" s="1">
        <v>0</v>
      </c>
      <c r="CH99" s="1">
        <v>1</v>
      </c>
      <c r="CI99" s="1">
        <v>0</v>
      </c>
      <c r="CJ99" s="1">
        <v>212</v>
      </c>
      <c r="CK99" s="1" t="s">
        <v>348</v>
      </c>
    </row>
    <row r="100" s="1" customFormat="1" spans="1:89">
      <c r="A100" s="2">
        <v>46191</v>
      </c>
      <c r="B100" s="1" t="s">
        <v>2933</v>
      </c>
      <c r="C100" s="1" t="s">
        <v>219</v>
      </c>
      <c r="D100" s="1" t="s">
        <v>2934</v>
      </c>
      <c r="E100" s="1" t="s">
        <v>2935</v>
      </c>
      <c r="I100" s="1">
        <v>-1</v>
      </c>
      <c r="P100" s="1" t="s">
        <v>2592</v>
      </c>
      <c r="V100" s="1">
        <v>0</v>
      </c>
      <c r="W100" s="1">
        <v>0</v>
      </c>
      <c r="X100" s="1">
        <v>0</v>
      </c>
      <c r="Y100" s="1">
        <v>0</v>
      </c>
      <c r="Z100" s="1" t="s">
        <v>359</v>
      </c>
      <c r="AC100" s="1">
        <v>0</v>
      </c>
      <c r="AD100" s="1">
        <v>0</v>
      </c>
      <c r="AF100" s="1">
        <v>-1</v>
      </c>
      <c r="AK100" s="1" t="s">
        <v>2594</v>
      </c>
      <c r="AL100" s="1" t="s">
        <v>343</v>
      </c>
      <c r="AO100" s="1">
        <v>0</v>
      </c>
      <c r="AR100" s="1">
        <v>17.25</v>
      </c>
      <c r="AZ100" s="1">
        <v>0</v>
      </c>
      <c r="BC100" s="1">
        <v>0</v>
      </c>
      <c r="BG100" s="1">
        <v>0</v>
      </c>
      <c r="CF100" s="1">
        <v>0</v>
      </c>
      <c r="CG100" s="1">
        <v>0</v>
      </c>
      <c r="CI100" s="1">
        <v>0</v>
      </c>
      <c r="CK100" s="1" t="s">
        <v>348</v>
      </c>
    </row>
    <row r="101" s="1" customFormat="1" spans="1:89">
      <c r="A101" s="2">
        <v>46191</v>
      </c>
      <c r="B101" s="1" t="s">
        <v>2936</v>
      </c>
      <c r="C101" s="1" t="s">
        <v>116</v>
      </c>
      <c r="D101" s="1" t="s">
        <v>2937</v>
      </c>
      <c r="E101" s="1" t="s">
        <v>2634</v>
      </c>
      <c r="I101" s="1">
        <v>-1</v>
      </c>
      <c r="P101" s="1" t="s">
        <v>2592</v>
      </c>
      <c r="V101" s="1">
        <v>0</v>
      </c>
      <c r="W101" s="1">
        <v>0</v>
      </c>
      <c r="X101" s="1">
        <v>0</v>
      </c>
      <c r="Y101" s="1">
        <v>0</v>
      </c>
      <c r="Z101" s="1" t="s">
        <v>359</v>
      </c>
      <c r="AC101" s="1">
        <v>0</v>
      </c>
      <c r="AD101" s="1">
        <v>0</v>
      </c>
      <c r="AF101" s="1">
        <v>-1</v>
      </c>
      <c r="AK101" s="1" t="s">
        <v>2594</v>
      </c>
      <c r="AL101" s="1" t="s">
        <v>465</v>
      </c>
      <c r="AM101" s="1">
        <v>675064</v>
      </c>
      <c r="AO101" s="1">
        <v>0</v>
      </c>
      <c r="AR101" s="1">
        <v>55.35</v>
      </c>
      <c r="AZ101" s="1">
        <v>0</v>
      </c>
      <c r="BC101" s="1">
        <v>0</v>
      </c>
      <c r="BG101" s="1">
        <v>0</v>
      </c>
      <c r="CF101" s="1">
        <v>0</v>
      </c>
      <c r="CG101" s="1">
        <v>0</v>
      </c>
      <c r="CI101" s="1">
        <v>0</v>
      </c>
      <c r="CK101" s="1" t="s">
        <v>348</v>
      </c>
    </row>
    <row r="102" s="1" customFormat="1" spans="1:89">
      <c r="A102" s="2">
        <v>46191</v>
      </c>
      <c r="B102" s="1" t="s">
        <v>2938</v>
      </c>
      <c r="C102" s="1" t="s">
        <v>220</v>
      </c>
      <c r="D102" s="1" t="s">
        <v>2939</v>
      </c>
      <c r="E102" s="1" t="s">
        <v>2940</v>
      </c>
      <c r="G102" s="1">
        <v>0</v>
      </c>
      <c r="H102" s="1">
        <v>0</v>
      </c>
      <c r="I102" s="1">
        <v>-1</v>
      </c>
      <c r="P102" s="1" t="s">
        <v>2592</v>
      </c>
      <c r="V102" s="1">
        <v>0</v>
      </c>
      <c r="W102" s="1">
        <v>0</v>
      </c>
      <c r="X102" s="1">
        <v>0</v>
      </c>
      <c r="Y102" s="1">
        <v>0</v>
      </c>
      <c r="Z102" s="1" t="s">
        <v>359</v>
      </c>
      <c r="AC102" s="1">
        <v>0</v>
      </c>
      <c r="AD102" s="1">
        <v>0</v>
      </c>
      <c r="AF102" s="1">
        <v>-1</v>
      </c>
      <c r="AI102" s="1" t="s">
        <v>341</v>
      </c>
      <c r="AK102" s="1" t="s">
        <v>2594</v>
      </c>
      <c r="AL102" s="1" t="s">
        <v>465</v>
      </c>
      <c r="AO102" s="1">
        <v>0</v>
      </c>
      <c r="AR102" s="1">
        <v>20.79</v>
      </c>
      <c r="AZ102" s="1">
        <v>0</v>
      </c>
      <c r="BC102" s="1">
        <v>0</v>
      </c>
      <c r="BD102" s="1">
        <v>0</v>
      </c>
      <c r="BE102" s="1">
        <v>0</v>
      </c>
      <c r="BF102" s="1">
        <v>0</v>
      </c>
      <c r="BG102" s="1">
        <v>0</v>
      </c>
      <c r="BH102" s="1">
        <v>0</v>
      </c>
      <c r="CF102" s="1">
        <v>0</v>
      </c>
      <c r="CG102" s="1">
        <v>0</v>
      </c>
      <c r="CH102" s="1">
        <v>0</v>
      </c>
      <c r="CI102" s="1">
        <v>0</v>
      </c>
      <c r="CK102" s="1" t="s">
        <v>348</v>
      </c>
    </row>
    <row r="103" s="1" customFormat="1" spans="1:89">
      <c r="A103" s="2">
        <v>46191</v>
      </c>
      <c r="B103" s="1" t="s">
        <v>2941</v>
      </c>
      <c r="C103" s="1" t="s">
        <v>217</v>
      </c>
      <c r="D103" s="1" t="s">
        <v>2942</v>
      </c>
      <c r="E103" s="1" t="s">
        <v>2927</v>
      </c>
      <c r="G103" s="1">
        <v>0</v>
      </c>
      <c r="H103" s="1">
        <v>0</v>
      </c>
      <c r="I103" s="1">
        <v>-1</v>
      </c>
      <c r="P103" s="1" t="s">
        <v>2592</v>
      </c>
      <c r="V103" s="1">
        <v>0</v>
      </c>
      <c r="W103" s="1">
        <v>0</v>
      </c>
      <c r="X103" s="1">
        <v>0</v>
      </c>
      <c r="Y103" s="1">
        <v>0</v>
      </c>
      <c r="Z103" s="1" t="s">
        <v>359</v>
      </c>
      <c r="AC103" s="1">
        <v>0</v>
      </c>
      <c r="AD103" s="1">
        <v>0</v>
      </c>
      <c r="AF103" s="1">
        <v>-1</v>
      </c>
      <c r="AI103" s="1" t="s">
        <v>341</v>
      </c>
      <c r="AK103" s="1" t="s">
        <v>2594</v>
      </c>
      <c r="AL103" s="1" t="s">
        <v>353</v>
      </c>
      <c r="AO103" s="1">
        <v>0</v>
      </c>
      <c r="AR103" s="1">
        <v>75.99</v>
      </c>
      <c r="AZ103" s="1">
        <v>0</v>
      </c>
      <c r="BC103" s="1">
        <v>0</v>
      </c>
      <c r="BD103" s="1">
        <v>0</v>
      </c>
      <c r="BE103" s="1">
        <v>0</v>
      </c>
      <c r="BF103" s="1">
        <v>0</v>
      </c>
      <c r="BG103" s="1">
        <v>0</v>
      </c>
      <c r="BH103" s="1">
        <v>0</v>
      </c>
      <c r="CF103" s="1">
        <v>0</v>
      </c>
      <c r="CG103" s="1">
        <v>0</v>
      </c>
      <c r="CH103" s="1">
        <v>0</v>
      </c>
      <c r="CI103" s="1">
        <v>0</v>
      </c>
      <c r="CK103" s="1" t="s">
        <v>348</v>
      </c>
    </row>
    <row r="104" s="1" customFormat="1" spans="1:89">
      <c r="A104" s="2">
        <v>46191</v>
      </c>
      <c r="B104" s="1" t="s">
        <v>2943</v>
      </c>
      <c r="C104" s="1" t="s">
        <v>221</v>
      </c>
      <c r="D104" s="1" t="s">
        <v>2944</v>
      </c>
      <c r="E104" s="1" t="s">
        <v>2945</v>
      </c>
      <c r="I104" s="1">
        <v>-1</v>
      </c>
      <c r="P104" s="1" t="s">
        <v>2592</v>
      </c>
      <c r="V104" s="1">
        <v>0</v>
      </c>
      <c r="W104" s="1">
        <v>0</v>
      </c>
      <c r="X104" s="1">
        <v>0</v>
      </c>
      <c r="Y104" s="1">
        <v>0</v>
      </c>
      <c r="Z104" s="1" t="s">
        <v>359</v>
      </c>
      <c r="AC104" s="1">
        <v>0</v>
      </c>
      <c r="AD104" s="1">
        <v>0</v>
      </c>
      <c r="AF104" s="1">
        <v>-1</v>
      </c>
      <c r="AK104" s="1" t="s">
        <v>2594</v>
      </c>
      <c r="AL104" s="1" t="s">
        <v>652</v>
      </c>
      <c r="AO104" s="1">
        <v>0</v>
      </c>
      <c r="AR104" s="1">
        <v>19.99</v>
      </c>
      <c r="AZ104" s="1">
        <v>0</v>
      </c>
      <c r="BC104" s="1">
        <v>0</v>
      </c>
      <c r="BG104" s="1">
        <v>0</v>
      </c>
      <c r="CF104" s="1">
        <v>0</v>
      </c>
      <c r="CG104" s="1">
        <v>0</v>
      </c>
      <c r="CI104" s="1">
        <v>0</v>
      </c>
      <c r="CK104" s="1" t="s">
        <v>348</v>
      </c>
    </row>
    <row r="105" s="1" customFormat="1" spans="1:89">
      <c r="A105" s="2">
        <v>46191</v>
      </c>
      <c r="B105" s="1" t="s">
        <v>2946</v>
      </c>
      <c r="C105" s="1" t="s">
        <v>107</v>
      </c>
      <c r="D105" s="1" t="s">
        <v>2947</v>
      </c>
      <c r="E105" s="1" t="s">
        <v>2609</v>
      </c>
      <c r="G105" s="1">
        <v>0</v>
      </c>
      <c r="H105" s="1">
        <v>0</v>
      </c>
      <c r="I105" s="1">
        <v>-1</v>
      </c>
      <c r="P105" s="1" t="s">
        <v>2592</v>
      </c>
      <c r="V105" s="1">
        <v>0</v>
      </c>
      <c r="W105" s="1">
        <v>0</v>
      </c>
      <c r="X105" s="1">
        <v>0</v>
      </c>
      <c r="Y105" s="1">
        <v>0</v>
      </c>
      <c r="Z105" s="1" t="s">
        <v>359</v>
      </c>
      <c r="AC105" s="1">
        <v>0</v>
      </c>
      <c r="AD105" s="1">
        <v>0</v>
      </c>
      <c r="AF105" s="1">
        <v>-1</v>
      </c>
      <c r="AI105" s="1" t="s">
        <v>341</v>
      </c>
      <c r="AK105" s="1" t="s">
        <v>2594</v>
      </c>
      <c r="AL105" s="1" t="s">
        <v>465</v>
      </c>
      <c r="AO105" s="1">
        <v>0</v>
      </c>
      <c r="AR105" s="1">
        <v>28.99</v>
      </c>
      <c r="AZ105" s="1">
        <v>0</v>
      </c>
      <c r="BC105" s="1">
        <v>0</v>
      </c>
      <c r="BD105" s="1">
        <v>0</v>
      </c>
      <c r="BE105" s="1">
        <v>0</v>
      </c>
      <c r="BF105" s="1">
        <v>0</v>
      </c>
      <c r="BG105" s="1">
        <v>0</v>
      </c>
      <c r="BH105" s="1">
        <v>0</v>
      </c>
      <c r="CF105" s="1">
        <v>0</v>
      </c>
      <c r="CG105" s="1">
        <v>0</v>
      </c>
      <c r="CH105" s="1">
        <v>0</v>
      </c>
      <c r="CI105" s="1">
        <v>0</v>
      </c>
      <c r="CK105" s="1" t="s">
        <v>348</v>
      </c>
    </row>
    <row r="106" s="1" customFormat="1" spans="1:89">
      <c r="A106" s="2">
        <v>46191</v>
      </c>
      <c r="B106" s="1" t="s">
        <v>2948</v>
      </c>
      <c r="C106" s="1" t="s">
        <v>222</v>
      </c>
      <c r="D106" s="1" t="s">
        <v>2949</v>
      </c>
      <c r="E106" s="1" t="s">
        <v>2950</v>
      </c>
      <c r="I106" s="1">
        <v>-1</v>
      </c>
      <c r="P106" s="1" t="s">
        <v>2592</v>
      </c>
      <c r="V106" s="1">
        <v>0</v>
      </c>
      <c r="W106" s="1">
        <v>0</v>
      </c>
      <c r="X106" s="1">
        <v>0</v>
      </c>
      <c r="Y106" s="1">
        <v>0</v>
      </c>
      <c r="Z106" s="1" t="s">
        <v>359</v>
      </c>
      <c r="AC106" s="1">
        <v>0</v>
      </c>
      <c r="AD106" s="1">
        <v>0</v>
      </c>
      <c r="AF106" s="1">
        <v>-1</v>
      </c>
      <c r="AK106" s="1" t="s">
        <v>2594</v>
      </c>
      <c r="AL106" s="1" t="s">
        <v>353</v>
      </c>
      <c r="AO106" s="1">
        <v>0</v>
      </c>
      <c r="AZ106" s="1">
        <v>0</v>
      </c>
      <c r="BC106" s="1">
        <v>0</v>
      </c>
      <c r="BG106" s="1">
        <v>0</v>
      </c>
      <c r="CF106" s="1">
        <v>0</v>
      </c>
      <c r="CG106" s="1">
        <v>0</v>
      </c>
      <c r="CI106" s="1">
        <v>0</v>
      </c>
      <c r="CK106" s="1" t="s">
        <v>348</v>
      </c>
    </row>
    <row r="107" s="1" customFormat="1" spans="1:89">
      <c r="A107" s="2">
        <v>46191</v>
      </c>
      <c r="B107" s="1" t="s">
        <v>2951</v>
      </c>
      <c r="C107" s="1" t="s">
        <v>223</v>
      </c>
      <c r="D107" s="1" t="s">
        <v>2952</v>
      </c>
      <c r="E107" s="1" t="s">
        <v>2953</v>
      </c>
      <c r="I107" s="1">
        <v>-1</v>
      </c>
      <c r="P107" s="1" t="s">
        <v>2592</v>
      </c>
      <c r="V107" s="1">
        <v>0</v>
      </c>
      <c r="W107" s="1">
        <v>0</v>
      </c>
      <c r="X107" s="1">
        <v>0</v>
      </c>
      <c r="Y107" s="1">
        <v>0</v>
      </c>
      <c r="Z107" s="1" t="s">
        <v>359</v>
      </c>
      <c r="AC107" s="1">
        <v>0</v>
      </c>
      <c r="AD107" s="1">
        <v>0</v>
      </c>
      <c r="AF107" s="1">
        <v>-1</v>
      </c>
      <c r="AK107" s="1" t="s">
        <v>2594</v>
      </c>
      <c r="AL107" s="1" t="s">
        <v>353</v>
      </c>
      <c r="AO107" s="1">
        <v>0</v>
      </c>
      <c r="AR107" s="1">
        <v>14.99</v>
      </c>
      <c r="AZ107" s="1">
        <v>0</v>
      </c>
      <c r="BC107" s="1">
        <v>0</v>
      </c>
      <c r="BG107" s="1">
        <v>0</v>
      </c>
      <c r="CF107" s="1">
        <v>0</v>
      </c>
      <c r="CG107" s="1">
        <v>0</v>
      </c>
      <c r="CI107" s="1">
        <v>0</v>
      </c>
      <c r="CK107" s="1" t="s">
        <v>348</v>
      </c>
    </row>
    <row r="108" s="1" customFormat="1" spans="1:89">
      <c r="A108" s="2">
        <v>46191</v>
      </c>
      <c r="B108" s="1" t="s">
        <v>2954</v>
      </c>
      <c r="C108" s="1" t="s">
        <v>224</v>
      </c>
      <c r="D108" s="1" t="s">
        <v>2955</v>
      </c>
      <c r="E108" s="1" t="s">
        <v>2956</v>
      </c>
      <c r="I108" s="1">
        <v>-1</v>
      </c>
      <c r="P108" s="1" t="s">
        <v>2592</v>
      </c>
      <c r="V108" s="1">
        <v>0</v>
      </c>
      <c r="W108" s="1">
        <v>0</v>
      </c>
      <c r="X108" s="1">
        <v>0</v>
      </c>
      <c r="Y108" s="1">
        <v>0</v>
      </c>
      <c r="Z108" s="1" t="s">
        <v>359</v>
      </c>
      <c r="AC108" s="1">
        <v>0</v>
      </c>
      <c r="AD108" s="1">
        <v>0</v>
      </c>
      <c r="AF108" s="1">
        <v>-1</v>
      </c>
      <c r="AK108" s="1" t="s">
        <v>2594</v>
      </c>
      <c r="AL108" s="1" t="s">
        <v>353</v>
      </c>
      <c r="AO108" s="1">
        <v>0</v>
      </c>
      <c r="AR108" s="1">
        <v>9.99</v>
      </c>
      <c r="AZ108" s="1">
        <v>0</v>
      </c>
      <c r="BC108" s="1">
        <v>0</v>
      </c>
      <c r="BG108" s="1">
        <v>0</v>
      </c>
      <c r="CF108" s="1">
        <v>0</v>
      </c>
      <c r="CG108" s="1">
        <v>0</v>
      </c>
      <c r="CI108" s="1">
        <v>0</v>
      </c>
      <c r="CK108" s="1" t="s">
        <v>348</v>
      </c>
    </row>
    <row r="109" s="1" customFormat="1" spans="1:89">
      <c r="A109" s="2">
        <v>46191</v>
      </c>
      <c r="B109" s="1" t="s">
        <v>2957</v>
      </c>
      <c r="C109" s="1" t="s">
        <v>225</v>
      </c>
      <c r="D109" s="1" t="s">
        <v>2958</v>
      </c>
      <c r="E109" s="1" t="s">
        <v>2959</v>
      </c>
      <c r="I109" s="1">
        <v>-1</v>
      </c>
      <c r="P109" s="1" t="s">
        <v>2592</v>
      </c>
      <c r="V109" s="1">
        <v>0</v>
      </c>
      <c r="W109" s="1">
        <v>0</v>
      </c>
      <c r="X109" s="1">
        <v>0</v>
      </c>
      <c r="Y109" s="1">
        <v>0</v>
      </c>
      <c r="Z109" s="1" t="s">
        <v>359</v>
      </c>
      <c r="AC109" s="1">
        <v>0</v>
      </c>
      <c r="AD109" s="1">
        <v>0</v>
      </c>
      <c r="AF109" s="1">
        <v>-1</v>
      </c>
      <c r="AK109" s="1" t="s">
        <v>2594</v>
      </c>
      <c r="AL109" s="1" t="s">
        <v>465</v>
      </c>
      <c r="AO109" s="1">
        <v>0</v>
      </c>
      <c r="AR109" s="1">
        <v>9.99</v>
      </c>
      <c r="AZ109" s="1">
        <v>0</v>
      </c>
      <c r="BC109" s="1">
        <v>0</v>
      </c>
      <c r="BG109" s="1">
        <v>0</v>
      </c>
      <c r="CF109" s="1">
        <v>0</v>
      </c>
      <c r="CG109" s="1">
        <v>0</v>
      </c>
      <c r="CI109" s="1">
        <v>0</v>
      </c>
      <c r="CK109" s="1" t="s">
        <v>348</v>
      </c>
    </row>
    <row r="110" s="1" customFormat="1" spans="1:89">
      <c r="A110" s="2">
        <v>46191</v>
      </c>
      <c r="B110" s="1" t="s">
        <v>2960</v>
      </c>
      <c r="C110" s="1" t="s">
        <v>226</v>
      </c>
      <c r="D110" s="1" t="s">
        <v>2961</v>
      </c>
      <c r="E110" s="1" t="s">
        <v>2962</v>
      </c>
      <c r="I110" s="1">
        <v>-1</v>
      </c>
      <c r="P110" s="1" t="s">
        <v>2592</v>
      </c>
      <c r="V110" s="1">
        <v>0</v>
      </c>
      <c r="W110" s="1">
        <v>0</v>
      </c>
      <c r="X110" s="1">
        <v>0</v>
      </c>
      <c r="Y110" s="1">
        <v>0</v>
      </c>
      <c r="Z110" s="1" t="s">
        <v>359</v>
      </c>
      <c r="AC110" s="1">
        <v>0</v>
      </c>
      <c r="AD110" s="1">
        <v>0</v>
      </c>
      <c r="AF110" s="1">
        <v>-1</v>
      </c>
      <c r="AK110" s="1" t="s">
        <v>2594</v>
      </c>
      <c r="AL110" s="1" t="s">
        <v>353</v>
      </c>
      <c r="AO110" s="1">
        <v>0</v>
      </c>
      <c r="AR110" s="1">
        <v>14.99</v>
      </c>
      <c r="AZ110" s="1">
        <v>0</v>
      </c>
      <c r="BC110" s="1">
        <v>0</v>
      </c>
      <c r="BG110" s="1">
        <v>0</v>
      </c>
      <c r="CF110" s="1">
        <v>0</v>
      </c>
      <c r="CG110" s="1">
        <v>0</v>
      </c>
      <c r="CI110" s="1">
        <v>0</v>
      </c>
      <c r="CK110" s="1" t="s">
        <v>348</v>
      </c>
    </row>
    <row r="111" s="1" customFormat="1" spans="1:89">
      <c r="A111" s="2">
        <v>46191</v>
      </c>
      <c r="B111" s="1" t="s">
        <v>2963</v>
      </c>
      <c r="C111" s="1" t="s">
        <v>227</v>
      </c>
      <c r="D111" s="1" t="s">
        <v>2964</v>
      </c>
      <c r="E111" s="1" t="s">
        <v>2696</v>
      </c>
      <c r="G111" s="1">
        <v>0</v>
      </c>
      <c r="H111" s="1">
        <v>0</v>
      </c>
      <c r="I111" s="1">
        <v>-1</v>
      </c>
      <c r="P111" s="1" t="s">
        <v>2592</v>
      </c>
      <c r="V111" s="1">
        <v>0</v>
      </c>
      <c r="W111" s="1">
        <v>0</v>
      </c>
      <c r="X111" s="1">
        <v>0</v>
      </c>
      <c r="Y111" s="1">
        <v>0</v>
      </c>
      <c r="Z111" s="1" t="s">
        <v>359</v>
      </c>
      <c r="AC111" s="1">
        <v>0</v>
      </c>
      <c r="AD111" s="1">
        <v>0</v>
      </c>
      <c r="AF111" s="1">
        <v>-1</v>
      </c>
      <c r="AI111" s="1" t="s">
        <v>341</v>
      </c>
      <c r="AK111" s="1" t="s">
        <v>2594</v>
      </c>
      <c r="AL111" s="1" t="s">
        <v>652</v>
      </c>
      <c r="AO111" s="1">
        <v>0</v>
      </c>
      <c r="AR111" s="1">
        <v>9.99</v>
      </c>
      <c r="AZ111" s="1">
        <v>0</v>
      </c>
      <c r="BC111" s="1">
        <v>0</v>
      </c>
      <c r="BD111" s="1">
        <v>0</v>
      </c>
      <c r="BE111" s="1">
        <v>0</v>
      </c>
      <c r="BF111" s="1">
        <v>0</v>
      </c>
      <c r="BG111" s="1">
        <v>0</v>
      </c>
      <c r="BH111" s="1">
        <v>0</v>
      </c>
      <c r="CF111" s="1">
        <v>0</v>
      </c>
      <c r="CG111" s="1">
        <v>0</v>
      </c>
      <c r="CH111" s="1">
        <v>0</v>
      </c>
      <c r="CI111" s="1">
        <v>0</v>
      </c>
      <c r="CK111" s="1" t="s">
        <v>348</v>
      </c>
    </row>
    <row r="112" s="1" customFormat="1" spans="1:89">
      <c r="A112" s="2">
        <v>46191</v>
      </c>
      <c r="B112" s="1" t="s">
        <v>2965</v>
      </c>
      <c r="C112" s="1" t="s">
        <v>228</v>
      </c>
      <c r="D112" s="1" t="s">
        <v>2966</v>
      </c>
      <c r="E112" s="1" t="s">
        <v>2967</v>
      </c>
      <c r="I112" s="1">
        <v>-1</v>
      </c>
      <c r="P112" s="1" t="s">
        <v>2592</v>
      </c>
      <c r="V112" s="1">
        <v>0</v>
      </c>
      <c r="W112" s="1">
        <v>0</v>
      </c>
      <c r="X112" s="1">
        <v>0</v>
      </c>
      <c r="Y112" s="1">
        <v>0</v>
      </c>
      <c r="Z112" s="1" t="s">
        <v>359</v>
      </c>
      <c r="AC112" s="1">
        <v>0</v>
      </c>
      <c r="AD112" s="1">
        <v>0</v>
      </c>
      <c r="AF112" s="1">
        <v>-1</v>
      </c>
      <c r="AK112" s="1" t="s">
        <v>2594</v>
      </c>
      <c r="AL112" s="1" t="s">
        <v>353</v>
      </c>
      <c r="AO112" s="1">
        <v>0</v>
      </c>
      <c r="AR112" s="1">
        <v>15.07</v>
      </c>
      <c r="AZ112" s="1">
        <v>0</v>
      </c>
      <c r="BC112" s="1">
        <v>0</v>
      </c>
      <c r="BG112" s="1">
        <v>0</v>
      </c>
      <c r="CF112" s="1">
        <v>0</v>
      </c>
      <c r="CG112" s="1">
        <v>0</v>
      </c>
      <c r="CI112" s="1">
        <v>0</v>
      </c>
      <c r="CK112" s="1" t="s">
        <v>348</v>
      </c>
    </row>
    <row r="113" s="1" customFormat="1" spans="1:89">
      <c r="A113" s="2">
        <v>46191</v>
      </c>
      <c r="B113" s="1" t="s">
        <v>2968</v>
      </c>
      <c r="C113" s="1" t="s">
        <v>229</v>
      </c>
      <c r="D113" s="1" t="s">
        <v>2969</v>
      </c>
      <c r="E113" s="1" t="s">
        <v>2970</v>
      </c>
      <c r="G113" s="1">
        <v>0</v>
      </c>
      <c r="H113" s="1">
        <v>0</v>
      </c>
      <c r="I113" s="1">
        <v>-1</v>
      </c>
      <c r="P113" s="1" t="s">
        <v>2592</v>
      </c>
      <c r="V113" s="1">
        <v>0</v>
      </c>
      <c r="W113" s="1">
        <v>0</v>
      </c>
      <c r="X113" s="1">
        <v>0</v>
      </c>
      <c r="Y113" s="1">
        <v>0</v>
      </c>
      <c r="Z113" s="1" t="s">
        <v>359</v>
      </c>
      <c r="AC113" s="1">
        <v>0</v>
      </c>
      <c r="AD113" s="1">
        <v>0</v>
      </c>
      <c r="AF113" s="1">
        <v>-1</v>
      </c>
      <c r="AI113" s="1" t="s">
        <v>341</v>
      </c>
      <c r="AK113" s="1" t="s">
        <v>2594</v>
      </c>
      <c r="AL113" s="1" t="s">
        <v>465</v>
      </c>
      <c r="AN113" s="1">
        <v>0</v>
      </c>
      <c r="AO113" s="1">
        <v>0</v>
      </c>
      <c r="AR113" s="1">
        <v>38.08</v>
      </c>
      <c r="AZ113" s="1">
        <v>0</v>
      </c>
      <c r="BC113" s="1">
        <v>0</v>
      </c>
      <c r="BD113" s="1">
        <v>0</v>
      </c>
      <c r="BE113" s="1">
        <v>0</v>
      </c>
      <c r="BF113" s="1">
        <v>0</v>
      </c>
      <c r="BG113" s="1">
        <v>0</v>
      </c>
      <c r="BH113" s="1">
        <v>20</v>
      </c>
      <c r="CF113" s="1">
        <v>0</v>
      </c>
      <c r="CG113" s="1">
        <v>0</v>
      </c>
      <c r="CH113" s="1">
        <v>0</v>
      </c>
      <c r="CI113" s="1">
        <v>0</v>
      </c>
      <c r="CJ113" s="1">
        <v>0</v>
      </c>
      <c r="CK113" s="1" t="s">
        <v>348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Sheet1</vt:lpstr>
      <vt:lpstr>50库存</vt:lpstr>
      <vt:lpstr>Sheet3</vt:lpstr>
      <vt:lpstr>Sheet4</vt:lpstr>
      <vt:lpstr>149库存</vt:lpstr>
      <vt:lpstr>48库存</vt:lpstr>
      <vt:lpstr>82欧洲库存</vt:lpstr>
      <vt:lpstr>50欧洲库存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gwanHing</cp:lastModifiedBy>
  <dcterms:created xsi:type="dcterms:W3CDTF">2026-06-16T06:44:00Z</dcterms:created>
  <dcterms:modified xsi:type="dcterms:W3CDTF">2026-06-18T06:16:34Z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089BA07AC90A4BAFAC6C9B82302E39B7_11</vt:lpwstr>
  </property>
  <property fmtid="{D5CDD505-2E9C-101B-9397-08002B2CF9AE}" pid="3" name="KSOProductBuildVer">
    <vt:lpwstr>2052-12.1.0.26895</vt:lpwstr>
  </property>
  <property fmtid="{D5CDD505-2E9C-101B-9397-08002B2CF9AE}" pid="4" name="CalculationRule">
    <vt:i4>1</vt:i4>
  </property>
</Properties>
</file>