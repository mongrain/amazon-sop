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Desktop\workspace\发票\0708\"/>
    </mc:Choice>
  </mc:AlternateContent>
  <xr:revisionPtr revIDLastSave="0" documentId="8_{697E5472-DCA1-4796-8D82-B1EDC59A2E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报关单" sheetId="1" r:id="rId1"/>
    <sheet name="发票" sheetId="3" r:id="rId2"/>
    <sheet name="箱单" sheetId="4" r:id="rId3"/>
    <sheet name="合同" sheetId="2" r:id="rId4"/>
    <sheet name="代理报关委托书" sheetId="5" r:id="rId5"/>
    <sheet name="存仓委托书" sheetId="9" r:id="rId6"/>
    <sheet name="申报要素清单" sheetId="10" r:id="rId7"/>
  </sheets>
  <definedNames>
    <definedName name="_xlnm.Print_Area" localSheetId="0">报关单!$A$1:$S$73</definedName>
    <definedName name="_xlnm.Print_Area" localSheetId="5">存仓委托书!#REF!</definedName>
    <definedName name="_xlnm.Print_Area" localSheetId="4">代理报关委托书!$A$1:$J$49</definedName>
    <definedName name="_xlnm.Print_Area" localSheetId="1">发票!$A$1:$H$30</definedName>
    <definedName name="_xlnm.Print_Area" localSheetId="3">合同!$A$1:$I$65</definedName>
    <definedName name="_xlnm.Print_Area" localSheetId="6">申报要素清单!$A$1:$B$62</definedName>
    <definedName name="_xlnm.Print_Area" localSheetId="2">箱单!$A$1:$G$30</definedName>
  </definedNames>
  <calcPr calcId="181029"/>
</workbook>
</file>

<file path=xl/calcChain.xml><?xml version="1.0" encoding="utf-8"?>
<calcChain xmlns="http://schemas.openxmlformats.org/spreadsheetml/2006/main">
  <c r="B59" i="10" l="1"/>
  <c r="B56" i="10"/>
  <c r="B54" i="10"/>
  <c r="B53" i="10"/>
  <c r="B51" i="10"/>
  <c r="B50" i="10"/>
  <c r="B48" i="10"/>
  <c r="B47" i="10"/>
  <c r="B45" i="10"/>
  <c r="B44" i="10"/>
  <c r="B42" i="10"/>
  <c r="B41" i="10"/>
  <c r="B39" i="10"/>
  <c r="B38" i="10"/>
  <c r="B36" i="10"/>
  <c r="B35" i="10"/>
  <c r="B33" i="10"/>
  <c r="B32" i="10"/>
  <c r="B30" i="10"/>
  <c r="B29" i="10"/>
  <c r="B27" i="10"/>
  <c r="B26" i="10"/>
  <c r="B24" i="10"/>
  <c r="B23" i="10"/>
  <c r="B21" i="10"/>
  <c r="B20" i="10"/>
  <c r="B18" i="10"/>
  <c r="B17" i="10"/>
  <c r="B15" i="10"/>
  <c r="B14" i="10"/>
  <c r="B12" i="10"/>
  <c r="A12" i="10"/>
  <c r="B11" i="10"/>
  <c r="B9" i="10"/>
  <c r="A9" i="10"/>
  <c r="B8" i="10"/>
  <c r="B6" i="10"/>
  <c r="A6" i="10"/>
  <c r="B5" i="10"/>
  <c r="B3" i="10"/>
  <c r="A3" i="10"/>
  <c r="G21" i="9"/>
  <c r="B20" i="9"/>
  <c r="B18" i="9"/>
  <c r="B12" i="9"/>
  <c r="B11" i="9"/>
  <c r="B10" i="9"/>
  <c r="B9" i="9"/>
  <c r="B8" i="9"/>
  <c r="B7" i="9"/>
  <c r="B6" i="9"/>
  <c r="B5" i="9"/>
  <c r="I45" i="5"/>
  <c r="E45" i="5"/>
  <c r="C28" i="5"/>
  <c r="C27" i="5"/>
  <c r="C25" i="5"/>
  <c r="H23" i="5"/>
  <c r="C23" i="5"/>
  <c r="H21" i="5"/>
  <c r="C21" i="5"/>
  <c r="H16" i="5"/>
  <c r="C6" i="5"/>
  <c r="C53" i="2"/>
  <c r="D49" i="2"/>
  <c r="C48" i="2"/>
  <c r="D45" i="2"/>
  <c r="B40" i="2"/>
  <c r="B38" i="2"/>
  <c r="F35" i="2"/>
  <c r="E35" i="2"/>
  <c r="D35" i="2"/>
  <c r="F34" i="2"/>
  <c r="E34" i="2"/>
  <c r="D34" i="2"/>
  <c r="F33" i="2"/>
  <c r="E33" i="2"/>
  <c r="D33" i="2"/>
  <c r="F32" i="2"/>
  <c r="E32" i="2"/>
  <c r="D32" i="2"/>
  <c r="F31" i="2"/>
  <c r="E31" i="2"/>
  <c r="D31" i="2"/>
  <c r="F30" i="2"/>
  <c r="E30" i="2"/>
  <c r="D30" i="2"/>
  <c r="F29" i="2"/>
  <c r="E29" i="2"/>
  <c r="D29" i="2"/>
  <c r="F28" i="2"/>
  <c r="E28" i="2"/>
  <c r="D28" i="2"/>
  <c r="F27" i="2"/>
  <c r="E27" i="2"/>
  <c r="D27" i="2"/>
  <c r="E24" i="2"/>
  <c r="D23" i="2"/>
  <c r="E20" i="2"/>
  <c r="D19" i="2"/>
  <c r="E12" i="2"/>
  <c r="G11" i="2"/>
  <c r="G8" i="2"/>
  <c r="C8" i="2"/>
  <c r="G6" i="2"/>
  <c r="C2" i="2"/>
  <c r="G27" i="4"/>
  <c r="F27" i="4"/>
  <c r="E27" i="4"/>
  <c r="D27" i="4"/>
  <c r="C27" i="4"/>
  <c r="G26" i="4"/>
  <c r="F26" i="4"/>
  <c r="E26" i="4"/>
  <c r="D26" i="4"/>
  <c r="C26" i="4"/>
  <c r="G25" i="4"/>
  <c r="F25" i="4"/>
  <c r="E25" i="4"/>
  <c r="D25" i="4"/>
  <c r="C25" i="4"/>
  <c r="G24" i="4"/>
  <c r="F24" i="4"/>
  <c r="E24" i="4"/>
  <c r="D24" i="4"/>
  <c r="C24" i="4"/>
  <c r="G23" i="4"/>
  <c r="F23" i="4"/>
  <c r="E23" i="4"/>
  <c r="D23" i="4"/>
  <c r="C23" i="4"/>
  <c r="G22" i="4"/>
  <c r="F22" i="4"/>
  <c r="E22" i="4"/>
  <c r="D22" i="4"/>
  <c r="C22" i="4"/>
  <c r="G21" i="4"/>
  <c r="F21" i="4"/>
  <c r="E21" i="4"/>
  <c r="D21" i="4"/>
  <c r="C21" i="4"/>
  <c r="G20" i="4"/>
  <c r="F20" i="4"/>
  <c r="E20" i="4"/>
  <c r="D20" i="4"/>
  <c r="C20" i="4"/>
  <c r="G19" i="4"/>
  <c r="F19" i="4"/>
  <c r="E19" i="4"/>
  <c r="D19" i="4"/>
  <c r="C19" i="4"/>
  <c r="G18" i="4"/>
  <c r="F18" i="4"/>
  <c r="E18" i="4"/>
  <c r="D18" i="4"/>
  <c r="C18" i="4"/>
  <c r="G17" i="4"/>
  <c r="F17" i="4"/>
  <c r="E17" i="4"/>
  <c r="D17" i="4"/>
  <c r="C17" i="4"/>
  <c r="G16" i="4"/>
  <c r="F16" i="4"/>
  <c r="E16" i="4"/>
  <c r="D16" i="4"/>
  <c r="C16" i="4"/>
  <c r="G15" i="4"/>
  <c r="F15" i="4"/>
  <c r="E15" i="4"/>
  <c r="D15" i="4"/>
  <c r="C15" i="4"/>
  <c r="G14" i="4"/>
  <c r="F14" i="4"/>
  <c r="E14" i="4"/>
  <c r="D14" i="4"/>
  <c r="C14" i="4"/>
  <c r="G13" i="4"/>
  <c r="F13" i="4"/>
  <c r="E13" i="4"/>
  <c r="D13" i="4"/>
  <c r="C13" i="4"/>
  <c r="G12" i="4"/>
  <c r="F12" i="4"/>
  <c r="E12" i="4"/>
  <c r="D12" i="4"/>
  <c r="D28" i="4" s="1"/>
  <c r="C12" i="4"/>
  <c r="G11" i="4"/>
  <c r="F11" i="4"/>
  <c r="E11" i="4"/>
  <c r="D11" i="4"/>
  <c r="C11" i="4"/>
  <c r="G10" i="4"/>
  <c r="G28" i="4" s="1"/>
  <c r="F10" i="4"/>
  <c r="F28" i="4" s="1"/>
  <c r="E10" i="4"/>
  <c r="D10" i="4"/>
  <c r="C10" i="4"/>
  <c r="C28" i="4" s="1"/>
  <c r="G7" i="4"/>
  <c r="D7" i="4"/>
  <c r="G5" i="4"/>
  <c r="B5" i="4"/>
  <c r="G3" i="4"/>
  <c r="C26" i="3"/>
  <c r="B36" i="2" s="1"/>
  <c r="H25" i="3"/>
  <c r="H35" i="2" s="1"/>
  <c r="G25" i="3"/>
  <c r="G35" i="2" s="1"/>
  <c r="F25" i="3"/>
  <c r="E25" i="3"/>
  <c r="D25" i="3"/>
  <c r="C25" i="3"/>
  <c r="B35" i="2" s="1"/>
  <c r="H24" i="3"/>
  <c r="H34" i="2" s="1"/>
  <c r="G24" i="3"/>
  <c r="G34" i="2" s="1"/>
  <c r="F24" i="3"/>
  <c r="E24" i="3"/>
  <c r="D24" i="3"/>
  <c r="C24" i="3"/>
  <c r="B34" i="2" s="1"/>
  <c r="H23" i="3"/>
  <c r="H33" i="2" s="1"/>
  <c r="G23" i="3"/>
  <c r="G33" i="2" s="1"/>
  <c r="F23" i="3"/>
  <c r="E23" i="3"/>
  <c r="D23" i="3"/>
  <c r="C23" i="3"/>
  <c r="B33" i="2" s="1"/>
  <c r="H22" i="3"/>
  <c r="H32" i="2" s="1"/>
  <c r="G22" i="3"/>
  <c r="G32" i="2" s="1"/>
  <c r="F22" i="3"/>
  <c r="E22" i="3"/>
  <c r="D22" i="3"/>
  <c r="C22" i="3"/>
  <c r="B24" i="4" s="1"/>
  <c r="H21" i="3"/>
  <c r="H31" i="2" s="1"/>
  <c r="G21" i="3"/>
  <c r="G31" i="2" s="1"/>
  <c r="F21" i="3"/>
  <c r="E21" i="3"/>
  <c r="D21" i="3"/>
  <c r="C21" i="3"/>
  <c r="B31" i="2" s="1"/>
  <c r="H20" i="3"/>
  <c r="H30" i="2" s="1"/>
  <c r="G20" i="3"/>
  <c r="G30" i="2" s="1"/>
  <c r="F20" i="3"/>
  <c r="E20" i="3"/>
  <c r="D20" i="3"/>
  <c r="C20" i="3"/>
  <c r="B22" i="4" s="1"/>
  <c r="H19" i="3"/>
  <c r="H29" i="2" s="1"/>
  <c r="G19" i="3"/>
  <c r="G29" i="2" s="1"/>
  <c r="F19" i="3"/>
  <c r="E19" i="3"/>
  <c r="D19" i="3"/>
  <c r="C19" i="3"/>
  <c r="B29" i="2" s="1"/>
  <c r="H18" i="3"/>
  <c r="H28" i="2" s="1"/>
  <c r="G18" i="3"/>
  <c r="G28" i="2" s="1"/>
  <c r="F18" i="3"/>
  <c r="E18" i="3"/>
  <c r="D18" i="3"/>
  <c r="C18" i="3"/>
  <c r="B28" i="2" s="1"/>
  <c r="H17" i="3"/>
  <c r="H27" i="2" s="1"/>
  <c r="G17" i="3"/>
  <c r="G27" i="2" s="1"/>
  <c r="F17" i="3"/>
  <c r="E17" i="3"/>
  <c r="D17" i="3"/>
  <c r="C17" i="3"/>
  <c r="B27" i="2" s="1"/>
  <c r="H16" i="3"/>
  <c r="H26" i="2" s="1"/>
  <c r="G16" i="3"/>
  <c r="G26" i="2" s="1"/>
  <c r="F16" i="3"/>
  <c r="F26" i="2" s="1"/>
  <c r="E16" i="3"/>
  <c r="E26" i="2" s="1"/>
  <c r="D16" i="3"/>
  <c r="D26" i="2" s="1"/>
  <c r="C16" i="3"/>
  <c r="B18" i="4" s="1"/>
  <c r="H15" i="3"/>
  <c r="H25" i="2" s="1"/>
  <c r="G15" i="3"/>
  <c r="G25" i="2" s="1"/>
  <c r="F15" i="3"/>
  <c r="F25" i="2" s="1"/>
  <c r="E15" i="3"/>
  <c r="E25" i="2" s="1"/>
  <c r="D15" i="3"/>
  <c r="D25" i="2" s="1"/>
  <c r="C15" i="3"/>
  <c r="B25" i="2" s="1"/>
  <c r="H14" i="3"/>
  <c r="H24" i="2" s="1"/>
  <c r="G14" i="3"/>
  <c r="G24" i="2" s="1"/>
  <c r="F14" i="3"/>
  <c r="F24" i="2" s="1"/>
  <c r="E14" i="3"/>
  <c r="D14" i="3"/>
  <c r="D24" i="2" s="1"/>
  <c r="C14" i="3"/>
  <c r="B16" i="4" s="1"/>
  <c r="H13" i="3"/>
  <c r="H23" i="2" s="1"/>
  <c r="G13" i="3"/>
  <c r="G23" i="2" s="1"/>
  <c r="F13" i="3"/>
  <c r="F23" i="2" s="1"/>
  <c r="E13" i="3"/>
  <c r="E23" i="2" s="1"/>
  <c r="D13" i="3"/>
  <c r="C13" i="3"/>
  <c r="B23" i="2" s="1"/>
  <c r="H12" i="3"/>
  <c r="H22" i="2" s="1"/>
  <c r="G12" i="3"/>
  <c r="G22" i="2" s="1"/>
  <c r="F12" i="3"/>
  <c r="F22" i="2" s="1"/>
  <c r="E12" i="3"/>
  <c r="E22" i="2" s="1"/>
  <c r="D12" i="3"/>
  <c r="D22" i="2" s="1"/>
  <c r="C12" i="3"/>
  <c r="B22" i="2" s="1"/>
  <c r="H11" i="3"/>
  <c r="H21" i="2" s="1"/>
  <c r="G11" i="3"/>
  <c r="G21" i="2" s="1"/>
  <c r="F11" i="3"/>
  <c r="F21" i="2" s="1"/>
  <c r="E11" i="3"/>
  <c r="E21" i="2" s="1"/>
  <c r="D11" i="3"/>
  <c r="D21" i="2" s="1"/>
  <c r="C11" i="3"/>
  <c r="B21" i="2" s="1"/>
  <c r="H10" i="3"/>
  <c r="H20" i="2" s="1"/>
  <c r="G10" i="3"/>
  <c r="G20" i="2" s="1"/>
  <c r="F10" i="3"/>
  <c r="F20" i="2" s="1"/>
  <c r="E10" i="3"/>
  <c r="D10" i="3"/>
  <c r="D20" i="2" s="1"/>
  <c r="C10" i="3"/>
  <c r="B12" i="4" s="1"/>
  <c r="H9" i="3"/>
  <c r="H19" i="2" s="1"/>
  <c r="G9" i="3"/>
  <c r="G19" i="2" s="1"/>
  <c r="F9" i="3"/>
  <c r="F19" i="2" s="1"/>
  <c r="E9" i="3"/>
  <c r="E19" i="2" s="1"/>
  <c r="D9" i="3"/>
  <c r="C9" i="3"/>
  <c r="B19" i="2" s="1"/>
  <c r="H8" i="3"/>
  <c r="H18" i="2" s="1"/>
  <c r="G8" i="3"/>
  <c r="G18" i="2" s="1"/>
  <c r="G41" i="2" s="1"/>
  <c r="D43" i="2" s="1"/>
  <c r="F8" i="3"/>
  <c r="F18" i="2" s="1"/>
  <c r="E8" i="3"/>
  <c r="E18" i="2" s="1"/>
  <c r="D8" i="3"/>
  <c r="D18" i="2" s="1"/>
  <c r="C8" i="3"/>
  <c r="C22" i="5" s="1"/>
  <c r="G6" i="3"/>
  <c r="C3" i="3"/>
  <c r="G2" i="3"/>
  <c r="G4" i="4" s="1"/>
  <c r="V18" i="1"/>
  <c r="U18" i="1"/>
  <c r="T18" i="1"/>
  <c r="K10" i="1"/>
  <c r="G10" i="1"/>
  <c r="B21" i="4" l="1"/>
  <c r="B13" i="4"/>
  <c r="B11" i="4"/>
  <c r="B19" i="4"/>
  <c r="B27" i="4"/>
  <c r="B17" i="4"/>
  <c r="B25" i="4"/>
  <c r="B15" i="4"/>
  <c r="B23" i="4"/>
  <c r="H41" i="2"/>
  <c r="E43" i="2" s="1"/>
  <c r="B18" i="2"/>
  <c r="B20" i="2"/>
  <c r="B24" i="2"/>
  <c r="B26" i="2"/>
  <c r="B30" i="2"/>
  <c r="B32" i="2"/>
  <c r="G27" i="3"/>
  <c r="B10" i="4"/>
  <c r="B14" i="4"/>
  <c r="B20" i="4"/>
  <c r="B26" i="4"/>
  <c r="H27" i="3"/>
  <c r="C27" i="3" l="1"/>
  <c r="C10" i="9"/>
  <c r="D24" i="5"/>
  <c r="C24" i="5"/>
  <c r="A27" i="3"/>
</calcChain>
</file>

<file path=xl/sharedStrings.xml><?xml version="1.0" encoding="utf-8"?>
<sst xmlns="http://schemas.openxmlformats.org/spreadsheetml/2006/main" count="377" uniqueCount="247">
  <si>
    <t>中华人民共和国海关出口货物报关单</t>
  </si>
  <si>
    <t>预录入编号：</t>
  </si>
  <si>
    <t>申报口岸:</t>
  </si>
  <si>
    <t>海关编号:</t>
  </si>
  <si>
    <t>境内发货人</t>
  </si>
  <si>
    <t>出境关别</t>
  </si>
  <si>
    <t>(    )</t>
  </si>
  <si>
    <t>出口日期</t>
  </si>
  <si>
    <t>申报日期</t>
  </si>
  <si>
    <t>备案号</t>
  </si>
  <si>
    <t>深圳市宴君跨境电商有限公司</t>
  </si>
  <si>
    <t>境外收货人</t>
  </si>
  <si>
    <t>运输方式</t>
  </si>
  <si>
    <t>运输工具名称及航次号</t>
  </si>
  <si>
    <t>提运单号</t>
  </si>
  <si>
    <t>Amazon.com Services, Inc.</t>
  </si>
  <si>
    <t>生产销售单位</t>
  </si>
  <si>
    <t>监管方式</t>
  </si>
  <si>
    <t>征免性质</t>
  </si>
  <si>
    <t>许可证号</t>
  </si>
  <si>
    <t>一般征税</t>
  </si>
  <si>
    <t>合同协议号</t>
  </si>
  <si>
    <t>贸易国(地区)</t>
  </si>
  <si>
    <t>运抵国(地区)</t>
  </si>
  <si>
    <t>指运港</t>
  </si>
  <si>
    <t>离境口岸</t>
  </si>
  <si>
    <t>美国</t>
  </si>
  <si>
    <t>包装种类</t>
  </si>
  <si>
    <t>件数</t>
  </si>
  <si>
    <t>毛重（千克）</t>
  </si>
  <si>
    <t>净重（千克）</t>
  </si>
  <si>
    <t>成交方式</t>
  </si>
  <si>
    <t>(  )</t>
  </si>
  <si>
    <t>运费</t>
  </si>
  <si>
    <t>保费</t>
  </si>
  <si>
    <t>杂费</t>
  </si>
  <si>
    <t>纸箱包装</t>
  </si>
  <si>
    <t>CNF</t>
  </si>
  <si>
    <t>随附单证及编号</t>
  </si>
  <si>
    <t>标记唛码及备注：</t>
  </si>
  <si>
    <t>备注：</t>
  </si>
  <si>
    <t>报关联系电话：</t>
  </si>
  <si>
    <t>合计：</t>
  </si>
  <si>
    <t>特殊关系确认:</t>
  </si>
  <si>
    <t>价格影响确认：</t>
  </si>
  <si>
    <t>支付特许权使用费:</t>
  </si>
  <si>
    <t>自报自缴:</t>
  </si>
  <si>
    <t>出口不填</t>
  </si>
  <si>
    <t>原产国/目的国/货源地未注明的项默认与提供的项相同</t>
  </si>
  <si>
    <t>项号</t>
  </si>
  <si>
    <t>商品编号</t>
  </si>
  <si>
    <t>商品名称及规格型号</t>
  </si>
  <si>
    <t>数量及单位</t>
  </si>
  <si>
    <t>单价/总价/币制</t>
  </si>
  <si>
    <t>原产国（地区）</t>
  </si>
  <si>
    <t>最终目的国（地区）</t>
  </si>
  <si>
    <t>境内货源地</t>
  </si>
  <si>
    <t>征免</t>
  </si>
  <si>
    <t>净重</t>
  </si>
  <si>
    <t>毛重</t>
  </si>
  <si>
    <t>表格制作单位：深圳市长来运报关有限公司QQ1152276688</t>
  </si>
  <si>
    <t>發票
INVOICE</t>
  </si>
  <si>
    <t>發票編號
Invoice NO:</t>
  </si>
  <si>
    <t>商  號
Sold to Massrs:</t>
  </si>
  <si>
    <t>日  期
DATE:</t>
  </si>
  <si>
    <t>成交方式：</t>
  </si>
  <si>
    <t>標記號碼
Mark &amp; No</t>
  </si>
  <si>
    <t>貨物名稱
Description</t>
  </si>
  <si>
    <t>數量
Quantity</t>
  </si>
  <si>
    <t>單價
Unit price</t>
  </si>
  <si>
    <t>總金額
Amount</t>
  </si>
  <si>
    <t>TOTAL:</t>
  </si>
  <si>
    <t>唛头
Marks</t>
  </si>
  <si>
    <t>.</t>
  </si>
  <si>
    <t xml:space="preserve">  装  箱  单
  PACKING LIST</t>
  </si>
  <si>
    <r>
      <rPr>
        <sz val="12"/>
        <rFont val="宋体"/>
        <charset val="134"/>
      </rPr>
      <t>日期</t>
    </r>
    <r>
      <rPr>
        <sz val="12"/>
        <rFont val="Times New Roman"/>
        <family val="1"/>
      </rPr>
      <t xml:space="preserve">
Date</t>
    </r>
    <r>
      <rPr>
        <sz val="12"/>
        <rFont val="宋体"/>
        <charset val="134"/>
      </rPr>
      <t>：</t>
    </r>
  </si>
  <si>
    <r>
      <rPr>
        <sz val="12"/>
        <rFont val="宋体"/>
        <charset val="134"/>
      </rPr>
      <t>发票编号</t>
    </r>
    <r>
      <rPr>
        <sz val="12"/>
        <rFont val="Times New Roman"/>
        <family val="1"/>
      </rPr>
      <t xml:space="preserve">
Invoice No:</t>
    </r>
  </si>
  <si>
    <r>
      <rPr>
        <sz val="12"/>
        <rFont val="宋体"/>
        <charset val="134"/>
      </rPr>
      <t>客户</t>
    </r>
    <r>
      <rPr>
        <sz val="11"/>
        <rFont val="宋体"/>
        <charset val="134"/>
      </rPr>
      <t xml:space="preserve">
To Messrs:</t>
    </r>
  </si>
  <si>
    <r>
      <rPr>
        <sz val="12"/>
        <rFont val="宋体"/>
        <charset val="134"/>
      </rPr>
      <t>合同号</t>
    </r>
    <r>
      <rPr>
        <sz val="12"/>
        <rFont val="Times New Roman"/>
        <family val="1"/>
      </rPr>
      <t xml:space="preserve">
Contract No:</t>
    </r>
  </si>
  <si>
    <t xml:space="preserve">
</t>
  </si>
  <si>
    <t>Shipped by</t>
  </si>
  <si>
    <t>深圳</t>
  </si>
  <si>
    <r>
      <rPr>
        <sz val="12"/>
        <rFont val="宋体"/>
        <charset val="134"/>
      </rPr>
      <t>付款条件</t>
    </r>
    <r>
      <rPr>
        <sz val="9"/>
        <rFont val="宋体"/>
        <charset val="134"/>
      </rPr>
      <t xml:space="preserve">
Terms of Payment:</t>
    </r>
  </si>
  <si>
    <t>项号
Item.No.</t>
  </si>
  <si>
    <t>货物名称及规格
Description</t>
  </si>
  <si>
    <t>箱数：
Pkg：</t>
  </si>
  <si>
    <t>数量：
Ge.Quantity</t>
  </si>
  <si>
    <t>毛重(KG)：
G.W.(KG):</t>
  </si>
  <si>
    <t>净重(KG)：
N.W.(KG):</t>
  </si>
  <si>
    <t>合计
Total</t>
  </si>
  <si>
    <r>
      <rPr>
        <b/>
        <sz val="24"/>
        <rFont val="宋体"/>
        <charset val="134"/>
      </rPr>
      <t>合</t>
    </r>
    <r>
      <rPr>
        <b/>
        <sz val="24"/>
        <rFont val="Times New Roman"/>
        <family val="1"/>
      </rPr>
      <t xml:space="preserve">       </t>
    </r>
    <r>
      <rPr>
        <b/>
        <sz val="24"/>
        <rFont val="宋体"/>
        <charset val="134"/>
      </rPr>
      <t>同</t>
    </r>
    <r>
      <rPr>
        <b/>
        <sz val="22"/>
        <rFont val="宋体"/>
        <charset val="134"/>
      </rPr>
      <t xml:space="preserve">
</t>
    </r>
    <r>
      <rPr>
        <b/>
        <u/>
        <sz val="22"/>
        <rFont val="宋体"/>
        <charset val="134"/>
      </rPr>
      <t xml:space="preserve">SALES </t>
    </r>
    <r>
      <rPr>
        <u/>
        <sz val="20"/>
        <rFont val="Times New Roman"/>
        <family val="1"/>
      </rPr>
      <t>CONTRACT</t>
    </r>
  </si>
  <si>
    <r>
      <rPr>
        <sz val="11"/>
        <rFont val="Times New Roman"/>
        <family val="1"/>
      </rPr>
      <t xml:space="preserve">       </t>
    </r>
    <r>
      <rPr>
        <sz val="11"/>
        <rFont val="宋体"/>
        <charset val="134"/>
      </rPr>
      <t>卖</t>
    </r>
    <r>
      <rPr>
        <sz val="11"/>
        <rFont val="Times New Roman"/>
        <family val="1"/>
      </rPr>
      <t xml:space="preserve">    </t>
    </r>
    <r>
      <rPr>
        <sz val="11"/>
        <rFont val="宋体"/>
        <charset val="134"/>
      </rPr>
      <t>方：</t>
    </r>
  </si>
  <si>
    <t xml:space="preserve">    Sellers:</t>
  </si>
  <si>
    <r>
      <rPr>
        <sz val="11"/>
        <rFont val="Times New Roman"/>
        <family val="1"/>
      </rPr>
      <t xml:space="preserve">    </t>
    </r>
    <r>
      <rPr>
        <sz val="11"/>
        <rFont val="宋体"/>
        <charset val="134"/>
      </rPr>
      <t>地</t>
    </r>
    <r>
      <rPr>
        <sz val="11"/>
        <rFont val="Times New Roman"/>
        <family val="1"/>
      </rPr>
      <t xml:space="preserve">    </t>
    </r>
    <r>
      <rPr>
        <sz val="11"/>
        <rFont val="宋体"/>
        <charset val="134"/>
      </rPr>
      <t>址：</t>
    </r>
  </si>
  <si>
    <t>深圳市南山区粤海街道麻岭社区高新中二道2号 深圳软件园1栋601-K</t>
  </si>
  <si>
    <t xml:space="preserve"> Address:  </t>
  </si>
  <si>
    <r>
      <rPr>
        <sz val="11"/>
        <rFont val="Times New Roman"/>
        <family val="1"/>
      </rPr>
      <t xml:space="preserve">    </t>
    </r>
    <r>
      <rPr>
        <sz val="11"/>
        <rFont val="宋体"/>
        <charset val="134"/>
      </rPr>
      <t>合同号码</t>
    </r>
  </si>
  <si>
    <r>
      <rPr>
        <sz val="11"/>
        <rFont val="Times New Roman"/>
        <family val="1"/>
      </rPr>
      <t xml:space="preserve">    </t>
    </r>
    <r>
      <rPr>
        <sz val="11"/>
        <rFont val="宋体"/>
        <charset val="134"/>
      </rPr>
      <t>电</t>
    </r>
    <r>
      <rPr>
        <sz val="11"/>
        <rFont val="Times New Roman"/>
        <family val="1"/>
      </rPr>
      <t xml:space="preserve">    </t>
    </r>
    <r>
      <rPr>
        <sz val="11"/>
        <rFont val="宋体"/>
        <charset val="134"/>
      </rPr>
      <t>话：</t>
    </r>
    <r>
      <rPr>
        <sz val="11"/>
        <rFont val="Times New Roman"/>
        <family val="1"/>
      </rPr>
      <t xml:space="preserve">     </t>
    </r>
  </si>
  <si>
    <t>0755-82323816</t>
  </si>
  <si>
    <t>传  真</t>
  </si>
  <si>
    <t>0755-22966213</t>
  </si>
  <si>
    <t xml:space="preserve">  Contract No:</t>
  </si>
  <si>
    <t xml:space="preserve">    TEL:</t>
  </si>
  <si>
    <t>FAX:</t>
  </si>
  <si>
    <r>
      <rPr>
        <sz val="11"/>
        <rFont val="Times New Roman"/>
        <family val="1"/>
      </rPr>
      <t xml:space="preserve">    </t>
    </r>
    <r>
      <rPr>
        <sz val="11"/>
        <rFont val="宋体"/>
        <charset val="134"/>
      </rPr>
      <t>日</t>
    </r>
    <r>
      <rPr>
        <sz val="11"/>
        <rFont val="Times New Roman"/>
        <family val="1"/>
      </rPr>
      <t xml:space="preserve">     </t>
    </r>
    <r>
      <rPr>
        <sz val="11"/>
        <rFont val="宋体"/>
        <charset val="134"/>
      </rPr>
      <t>期</t>
    </r>
  </si>
  <si>
    <r>
      <rPr>
        <sz val="11"/>
        <rFont val="宋体"/>
        <charset val="134"/>
      </rPr>
      <t xml:space="preserve">  买</t>
    </r>
    <r>
      <rPr>
        <sz val="11"/>
        <rFont val="Times New Roman"/>
        <family val="1"/>
      </rPr>
      <t xml:space="preserve">  </t>
    </r>
    <r>
      <rPr>
        <sz val="11"/>
        <rFont val="宋体"/>
        <charset val="134"/>
      </rPr>
      <t>方：</t>
    </r>
  </si>
  <si>
    <t xml:space="preserve">    Date:</t>
  </si>
  <si>
    <r>
      <rPr>
        <sz val="11"/>
        <rFont val="Times New Roman"/>
        <family val="1"/>
      </rPr>
      <t xml:space="preserve">  Buyers</t>
    </r>
    <r>
      <rPr>
        <sz val="11"/>
        <rFont val="宋体"/>
        <charset val="134"/>
      </rPr>
      <t>：</t>
    </r>
  </si>
  <si>
    <t>签约地点</t>
  </si>
  <si>
    <r>
      <rPr>
        <sz val="11"/>
        <rFont val="Times New Roman"/>
        <family val="1"/>
      </rPr>
      <t xml:space="preserve">  </t>
    </r>
    <r>
      <rPr>
        <sz val="11"/>
        <rFont val="宋体"/>
        <charset val="134"/>
      </rPr>
      <t>地</t>
    </r>
    <r>
      <rPr>
        <sz val="11"/>
        <rFont val="Times New Roman"/>
        <family val="1"/>
      </rPr>
      <t xml:space="preserve">   </t>
    </r>
    <r>
      <rPr>
        <sz val="11"/>
        <rFont val="宋体"/>
        <charset val="134"/>
      </rPr>
      <t>址：</t>
    </r>
  </si>
  <si>
    <t>24300 Nandina Ave Moreno Valley, CA 92551-9534
US (ONT8)</t>
  </si>
  <si>
    <t xml:space="preserve">  Signed at:</t>
  </si>
  <si>
    <t>Address:</t>
  </si>
  <si>
    <t>成交方式：
Trade Term:</t>
  </si>
  <si>
    <r>
      <rPr>
        <sz val="11"/>
        <rFont val="Times New Roman"/>
        <family val="1"/>
      </rPr>
      <t xml:space="preserve"> </t>
    </r>
    <r>
      <rPr>
        <sz val="11"/>
        <rFont val="宋体"/>
        <charset val="134"/>
      </rPr>
      <t>电</t>
    </r>
    <r>
      <rPr>
        <sz val="11"/>
        <rFont val="Times New Roman"/>
        <family val="1"/>
      </rPr>
      <t xml:space="preserve">   </t>
    </r>
    <r>
      <rPr>
        <sz val="11"/>
        <rFont val="宋体"/>
        <charset val="134"/>
      </rPr>
      <t>话</t>
    </r>
    <r>
      <rPr>
        <sz val="11"/>
        <rFont val="Times New Roman"/>
        <family val="1"/>
      </rPr>
      <t xml:space="preserve"> </t>
    </r>
  </si>
  <si>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传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真</t>
    </r>
    <r>
      <rPr>
        <sz val="10"/>
        <rFont val="Times New Roman"/>
        <family val="1"/>
      </rPr>
      <t xml:space="preserve">  </t>
    </r>
  </si>
  <si>
    <t xml:space="preserve"> TEL:</t>
  </si>
  <si>
    <t>经买卖双方确认根据下列条款订立本合同</t>
  </si>
  <si>
    <t>This contract is made out by the Sellers and Buyers as per the following terms and conditions mutuilly confirmed:</t>
  </si>
  <si>
    <r>
      <rPr>
        <sz val="11"/>
        <rFont val="Times New Roman"/>
        <family val="1"/>
      </rPr>
      <t>(1)</t>
    </r>
    <r>
      <rPr>
        <sz val="11"/>
        <rFont val="宋体"/>
        <charset val="134"/>
      </rPr>
      <t>货物名称</t>
    </r>
  </si>
  <si>
    <r>
      <rPr>
        <sz val="11"/>
        <rFont val="Times New Roman"/>
        <family val="1"/>
      </rPr>
      <t xml:space="preserve">(2) </t>
    </r>
    <r>
      <rPr>
        <sz val="11"/>
        <rFont val="宋体"/>
        <charset val="134"/>
      </rPr>
      <t>数</t>
    </r>
    <r>
      <rPr>
        <sz val="11"/>
        <rFont val="Times New Roman"/>
        <family val="1"/>
      </rPr>
      <t xml:space="preserve"> </t>
    </r>
    <r>
      <rPr>
        <sz val="11"/>
        <rFont val="宋体"/>
        <charset val="134"/>
      </rPr>
      <t>量</t>
    </r>
  </si>
  <si>
    <r>
      <rPr>
        <sz val="11"/>
        <rFont val="Times New Roman"/>
        <family val="1"/>
      </rPr>
      <t>(3)</t>
    </r>
    <r>
      <rPr>
        <sz val="11"/>
        <rFont val="宋体"/>
        <charset val="134"/>
      </rPr>
      <t>单</t>
    </r>
    <r>
      <rPr>
        <sz val="11"/>
        <rFont val="Times New Roman"/>
        <family val="1"/>
      </rPr>
      <t xml:space="preserve"> </t>
    </r>
    <r>
      <rPr>
        <sz val="11"/>
        <rFont val="宋体"/>
        <charset val="134"/>
      </rPr>
      <t>位</t>
    </r>
  </si>
  <si>
    <r>
      <rPr>
        <sz val="11"/>
        <rFont val="Times New Roman"/>
        <family val="1"/>
      </rPr>
      <t>(4)</t>
    </r>
    <r>
      <rPr>
        <sz val="11"/>
        <rFont val="宋体"/>
        <charset val="134"/>
      </rPr>
      <t>单价</t>
    </r>
  </si>
  <si>
    <r>
      <rPr>
        <sz val="11"/>
        <rFont val="Times New Roman"/>
        <family val="1"/>
      </rPr>
      <t xml:space="preserve"> (5)   </t>
    </r>
    <r>
      <rPr>
        <sz val="11"/>
        <rFont val="宋体"/>
        <charset val="134"/>
      </rPr>
      <t>金</t>
    </r>
    <r>
      <rPr>
        <sz val="11"/>
        <rFont val="Times New Roman"/>
        <family val="1"/>
      </rPr>
      <t xml:space="preserve">  </t>
    </r>
    <r>
      <rPr>
        <sz val="11"/>
        <rFont val="宋体"/>
        <charset val="134"/>
      </rPr>
      <t>额</t>
    </r>
  </si>
  <si>
    <t xml:space="preserve">Name of commodity </t>
  </si>
  <si>
    <t>Quantity</t>
  </si>
  <si>
    <t>Unit</t>
  </si>
  <si>
    <t>Unit Price</t>
  </si>
  <si>
    <t>Amount</t>
  </si>
  <si>
    <r>
      <rPr>
        <sz val="10"/>
        <rFont val="宋体"/>
        <charset val="134"/>
      </rPr>
      <t>数量及总值允许有</t>
    </r>
    <r>
      <rPr>
        <sz val="10"/>
        <rFont val="Times New Roman"/>
        <family val="1"/>
      </rPr>
      <t xml:space="preserve"> 2 %</t>
    </r>
    <r>
      <rPr>
        <sz val="10"/>
        <rFont val="宋体"/>
        <charset val="134"/>
      </rPr>
      <t>的增减。</t>
    </r>
  </si>
  <si>
    <r>
      <rPr>
        <b/>
        <sz val="12"/>
        <rFont val="Times New Roman"/>
        <family val="1"/>
      </rPr>
      <t xml:space="preserve">   </t>
    </r>
    <r>
      <rPr>
        <b/>
        <sz val="12"/>
        <rFont val="宋体"/>
        <charset val="134"/>
      </rPr>
      <t>总</t>
    </r>
    <r>
      <rPr>
        <b/>
        <sz val="12"/>
        <rFont val="Times New Roman"/>
        <family val="1"/>
      </rPr>
      <t xml:space="preserve">      </t>
    </r>
    <r>
      <rPr>
        <b/>
        <sz val="12"/>
        <rFont val="宋体"/>
        <charset val="134"/>
      </rPr>
      <t>值</t>
    </r>
  </si>
  <si>
    <t xml:space="preserve">2  % more or less both in amount and quantity allowed.                    </t>
  </si>
  <si>
    <t>Total Amount:</t>
  </si>
  <si>
    <t>(6)合同总值（大写）</t>
  </si>
  <si>
    <t xml:space="preserve">Total Value in Word:  FORTY TWO THOUSAND FOUR HUNDRED AND SEVENTY THREE AND CENTS TWENTY EIGHT ONLY. </t>
  </si>
  <si>
    <r>
      <rPr>
        <sz val="12"/>
        <rFont val="Times New Roman"/>
        <family val="1"/>
      </rPr>
      <t>(7)</t>
    </r>
    <r>
      <rPr>
        <sz val="12"/>
        <rFont val="宋体"/>
        <charset val="134"/>
      </rPr>
      <t>包装及唛头</t>
    </r>
  </si>
  <si>
    <r>
      <rPr>
        <sz val="10"/>
        <rFont val="Times New Roman"/>
        <family val="1"/>
      </rPr>
      <t xml:space="preserve">Packing and shipping Marks:  </t>
    </r>
    <r>
      <rPr>
        <sz val="12"/>
        <rFont val="Times New Roman"/>
        <family val="1"/>
      </rPr>
      <t xml:space="preserve"> </t>
    </r>
  </si>
  <si>
    <r>
      <rPr>
        <sz val="12"/>
        <rFont val="Times New Roman"/>
        <family val="1"/>
      </rPr>
      <t>(8)</t>
    </r>
    <r>
      <rPr>
        <sz val="12"/>
        <rFont val="宋体"/>
        <charset val="134"/>
      </rPr>
      <t>装运期</t>
    </r>
  </si>
  <si>
    <t xml:space="preserve">Time of Shipment:    </t>
  </si>
  <si>
    <t>之前</t>
  </si>
  <si>
    <r>
      <rPr>
        <sz val="12"/>
        <rFont val="Times New Roman"/>
        <family val="1"/>
      </rPr>
      <t>(9)</t>
    </r>
    <r>
      <rPr>
        <sz val="12"/>
        <rFont val="宋体"/>
        <charset val="134"/>
      </rPr>
      <t>装运口岸和目的地</t>
    </r>
    <r>
      <rPr>
        <sz val="12"/>
        <rFont val="Times New Roman"/>
        <family val="1"/>
      </rPr>
      <t xml:space="preserve">           </t>
    </r>
    <r>
      <rPr>
        <sz val="12"/>
        <rFont val="宋体"/>
        <charset val="134"/>
      </rPr>
      <t>深圳</t>
    </r>
    <r>
      <rPr>
        <sz val="12"/>
        <rFont val="Times New Roman"/>
        <family val="1"/>
      </rPr>
      <t>---</t>
    </r>
  </si>
  <si>
    <t>准许分批与转船。</t>
  </si>
  <si>
    <t>Loading Port &amp; Destination:From  Shenzhen-- To USA with transhipment and partial ship ments allowed</t>
  </si>
  <si>
    <t>(10)保险：由买方按发票全部金额110%投保至   为止的    险。按中国海洋运输保险条款为理。</t>
  </si>
  <si>
    <t>Insurance:To be covered by the Buyer  for 110% of full invoice value covering   up  to only,subject to C.I.C.</t>
  </si>
  <si>
    <t xml:space="preserve">(11)付款条件     </t>
  </si>
  <si>
    <t>Terms of Payment</t>
  </si>
  <si>
    <r>
      <rPr>
        <sz val="12"/>
        <rFont val="Times New Roman"/>
        <family val="1"/>
      </rPr>
      <t>(12)</t>
    </r>
    <r>
      <rPr>
        <sz val="12"/>
        <rFont val="宋体"/>
        <charset val="134"/>
      </rPr>
      <t>装运标记</t>
    </r>
  </si>
  <si>
    <t>Shipping Marks:</t>
  </si>
  <si>
    <r>
      <rPr>
        <sz val="12"/>
        <rFont val="Times New Roman"/>
        <family val="1"/>
      </rPr>
      <t xml:space="preserve">    </t>
    </r>
    <r>
      <rPr>
        <sz val="12"/>
        <rFont val="宋体"/>
        <charset val="134"/>
      </rPr>
      <t>买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方</t>
    </r>
  </si>
  <si>
    <r>
      <rPr>
        <sz val="12"/>
        <rFont val="Times New Roman"/>
        <family val="1"/>
      </rPr>
      <t xml:space="preserve">    </t>
    </r>
    <r>
      <rPr>
        <sz val="12"/>
        <rFont val="宋体"/>
        <charset val="134"/>
      </rPr>
      <t>卖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方</t>
    </r>
  </si>
  <si>
    <t>THE BUYERS</t>
  </si>
  <si>
    <r>
      <rPr>
        <sz val="12"/>
        <rFont val="Times New Roman"/>
        <family val="1"/>
      </rPr>
      <t xml:space="preserve">  </t>
    </r>
    <r>
      <rPr>
        <u/>
        <sz val="12"/>
        <rFont val="Times New Roman"/>
        <family val="1"/>
      </rPr>
      <t>THE SELLERS</t>
    </r>
  </si>
  <si>
    <t>(Authorized Signature)</t>
  </si>
  <si>
    <t>代 理 报 关 委 托 书</t>
  </si>
  <si>
    <t>编号：□□□□□□□□□□□</t>
  </si>
  <si>
    <r>
      <rPr>
        <sz val="10"/>
        <rFont val="宋体"/>
        <charset val="134"/>
      </rPr>
      <t xml:space="preserve">     我单位现  </t>
    </r>
    <r>
      <rPr>
        <b/>
        <sz val="10"/>
        <rFont val="宋体"/>
        <charset val="134"/>
      </rPr>
      <t>A</t>
    </r>
    <r>
      <rPr>
        <sz val="10"/>
        <rFont val="宋体"/>
        <charset val="134"/>
      </rPr>
      <t xml:space="preserve">   (A逐票、B长期)委托贵公司代理   </t>
    </r>
    <r>
      <rPr>
        <b/>
        <sz val="10"/>
        <rFont val="宋体"/>
        <charset val="134"/>
      </rPr>
      <t>AB</t>
    </r>
    <r>
      <rPr>
        <sz val="10"/>
        <rFont val="宋体"/>
        <charset val="134"/>
      </rPr>
      <t xml:space="preserve">  等通关事宜。（A、填单申报 B、辅助查验 C、</t>
    </r>
  </si>
  <si>
    <t>垫缴税款 D、办理海关证明联 E、审批手册 F、核销手册 G、申办减免税手续 H、其他 ）详见《委托报关协</t>
  </si>
  <si>
    <t>议》。</t>
  </si>
  <si>
    <t xml:space="preserve">    我单位保证遵守《海关法》和国家有关法规，保证所提供的情况真实、完整、单货相符，无侵犯他</t>
  </si>
  <si>
    <t>人知识产权的行为。否则，愿承担相关法律责任。</t>
  </si>
  <si>
    <t xml:space="preserve">    本委托书有效期自签字之日起至     </t>
  </si>
  <si>
    <t xml:space="preserve">    2022 年 12 月 30 日止。</t>
  </si>
  <si>
    <t>委托方（盖章）：</t>
  </si>
  <si>
    <t>法定代表人或其授权签署《代理报关委托书》的人（签字）</t>
  </si>
  <si>
    <t xml:space="preserve">   委 托 报 关 协 议</t>
  </si>
  <si>
    <t>为明确委托报关具体事项和各自责任，双方经平等协商签定协议如下：</t>
  </si>
  <si>
    <t>委托方</t>
  </si>
  <si>
    <t>被委托方</t>
  </si>
  <si>
    <t>主要货物名称</t>
  </si>
  <si>
    <t>*报关单编码</t>
  </si>
  <si>
    <t>HS编码</t>
  </si>
  <si>
    <t>收到单证日期</t>
  </si>
  <si>
    <t>货物总价</t>
  </si>
  <si>
    <t>收到单证情况</t>
  </si>
  <si>
    <t>合同□√</t>
  </si>
  <si>
    <t>发票□√</t>
  </si>
  <si>
    <t>进出口日期</t>
  </si>
  <si>
    <t>装箱清单□√</t>
  </si>
  <si>
    <t>提（运）单□</t>
  </si>
  <si>
    <t>提单号</t>
  </si>
  <si>
    <t>加工贸易手册□</t>
  </si>
  <si>
    <t>许可证件□</t>
  </si>
  <si>
    <t>贸易方式</t>
  </si>
  <si>
    <t xml:space="preserve">  其他</t>
  </si>
  <si>
    <t>原产地/货源地</t>
  </si>
  <si>
    <t>报关收费</t>
  </si>
  <si>
    <t xml:space="preserve">  人民币：       元</t>
  </si>
  <si>
    <t>其他要求：</t>
  </si>
  <si>
    <t>承诺说明：</t>
  </si>
  <si>
    <t>背面所列通用条款是本协议不可分割的一部分，对本协议的签署构成了对背面通用条款的同意。</t>
  </si>
  <si>
    <t>委托方业务签章：</t>
  </si>
  <si>
    <t>被委托方业务签章：</t>
  </si>
  <si>
    <t>经办人签章：</t>
  </si>
  <si>
    <t>经办报关员签章：</t>
  </si>
  <si>
    <t>联系电话：</t>
  </si>
  <si>
    <t xml:space="preserve">  （白联：海关留存、黄联：被委托方留存、红联：委托方留存）</t>
  </si>
  <si>
    <t>中国报关协会监制</t>
  </si>
  <si>
    <t>存 仓 委 托 书</t>
  </si>
  <si>
    <t xml:space="preserve">                     </t>
  </si>
  <si>
    <t xml:space="preserve"> 公  司:</t>
  </si>
  <si>
    <t xml:space="preserve">   我 公 司 拟 将 下 列 货 物 存 入 贵 公 司 出 口 监 管 仓 库.这 批 货 物 属:</t>
  </si>
  <si>
    <r>
      <rPr>
        <sz val="12"/>
        <color theme="1"/>
        <rFont val="宋体"/>
        <charset val="134"/>
      </rPr>
      <t xml:space="preserve">      </t>
    </r>
    <r>
      <rPr>
        <sz val="18"/>
        <color indexed="8"/>
        <rFont val="宋体"/>
        <charset val="134"/>
      </rPr>
      <t xml:space="preserve"> 口 </t>
    </r>
    <r>
      <rPr>
        <sz val="12"/>
        <color theme="1"/>
        <rFont val="宋体"/>
        <charset val="134"/>
      </rPr>
      <t xml:space="preserve"> 一般贸易出口                 </t>
    </r>
    <r>
      <rPr>
        <sz val="18"/>
        <color indexed="8"/>
        <rFont val="宋体"/>
        <charset val="134"/>
      </rPr>
      <t>口</t>
    </r>
    <r>
      <rPr>
        <sz val="12"/>
        <color theme="1"/>
        <rFont val="宋体"/>
        <charset val="134"/>
      </rPr>
      <t xml:space="preserve">   加工贸易企业出口</t>
    </r>
  </si>
  <si>
    <r>
      <rPr>
        <sz val="12"/>
        <rFont val="宋体"/>
        <charset val="134"/>
      </rPr>
      <t xml:space="preserve">    货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 物</t>
    </r>
    <r>
      <rPr>
        <sz val="12"/>
        <rFont val="宋体"/>
        <charset val="134"/>
      </rPr>
      <t xml:space="preserve">  </t>
    </r>
    <r>
      <rPr>
        <sz val="12"/>
        <rFont val="宋体"/>
        <charset val="134"/>
      </rPr>
      <t>名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 称:</t>
    </r>
  </si>
  <si>
    <r>
      <rPr>
        <sz val="12"/>
        <rFont val="宋体"/>
        <charset val="134"/>
      </rPr>
      <t xml:space="preserve">    境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内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货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源 地:</t>
    </r>
  </si>
  <si>
    <r>
      <rPr>
        <sz val="12"/>
        <rFont val="宋体"/>
        <charset val="134"/>
      </rPr>
      <t xml:space="preserve">    规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格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及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包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装:</t>
    </r>
  </si>
  <si>
    <r>
      <rPr>
        <sz val="12"/>
        <rFont val="宋体"/>
        <charset val="134"/>
      </rPr>
      <t xml:space="preserve">    数     </t>
    </r>
    <r>
      <rPr>
        <sz val="12"/>
        <rFont val="宋体"/>
        <charset val="134"/>
      </rPr>
      <t xml:space="preserve">     量:</t>
    </r>
  </si>
  <si>
    <t>件</t>
  </si>
  <si>
    <r>
      <rPr>
        <sz val="12"/>
        <rFont val="宋体"/>
        <charset val="134"/>
      </rPr>
      <t xml:space="preserve">    重   </t>
    </r>
    <r>
      <rPr>
        <sz val="12"/>
        <rFont val="宋体"/>
        <charset val="134"/>
      </rPr>
      <t xml:space="preserve">    </t>
    </r>
    <r>
      <rPr>
        <sz val="12"/>
        <rFont val="宋体"/>
        <charset val="134"/>
      </rPr>
      <t xml:space="preserve">   量:</t>
    </r>
  </si>
  <si>
    <t>千克</t>
  </si>
  <si>
    <r>
      <rPr>
        <sz val="12"/>
        <rFont val="宋体"/>
        <charset val="134"/>
      </rPr>
      <t xml:space="preserve">    价     </t>
    </r>
    <r>
      <rPr>
        <sz val="12"/>
        <rFont val="宋体"/>
        <charset val="134"/>
      </rPr>
      <t xml:space="preserve">    </t>
    </r>
    <r>
      <rPr>
        <sz val="12"/>
        <rFont val="宋体"/>
        <charset val="134"/>
      </rPr>
      <t xml:space="preserve"> 值:</t>
    </r>
  </si>
  <si>
    <r>
      <rPr>
        <sz val="12"/>
        <rFont val="宋体"/>
        <charset val="134"/>
      </rPr>
      <t xml:space="preserve">    运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 输</t>
    </r>
    <r>
      <rPr>
        <sz val="12"/>
        <rFont val="宋体"/>
        <charset val="134"/>
      </rPr>
      <t xml:space="preserve">  工  具:</t>
    </r>
  </si>
  <si>
    <r>
      <rPr>
        <sz val="12"/>
        <rFont val="宋体"/>
        <charset val="134"/>
      </rPr>
      <t xml:space="preserve">    出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 境</t>
    </r>
    <r>
      <rPr>
        <sz val="12"/>
        <rFont val="宋体"/>
        <charset val="134"/>
      </rPr>
      <t xml:space="preserve">  </t>
    </r>
    <r>
      <rPr>
        <sz val="12"/>
        <rFont val="宋体"/>
        <charset val="134"/>
      </rPr>
      <t>口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 岸:</t>
    </r>
  </si>
  <si>
    <r>
      <rPr>
        <sz val="12"/>
        <rFont val="宋体"/>
        <charset val="134"/>
      </rPr>
      <t xml:space="preserve">    存  </t>
    </r>
    <r>
      <rPr>
        <sz val="12"/>
        <rFont val="宋体"/>
        <charset val="134"/>
      </rPr>
      <t xml:space="preserve">  </t>
    </r>
    <r>
      <rPr>
        <sz val="12"/>
        <rFont val="宋体"/>
        <charset val="134"/>
      </rPr>
      <t xml:space="preserve">放 </t>
    </r>
    <r>
      <rPr>
        <sz val="12"/>
        <rFont val="宋体"/>
        <charset val="134"/>
      </rPr>
      <t xml:space="preserve">   期:</t>
    </r>
  </si>
  <si>
    <t>三个月</t>
  </si>
  <si>
    <t xml:space="preserve">    请即与海关联系,准予办理货物入仓手续。</t>
  </si>
  <si>
    <t xml:space="preserve">    特此委托</t>
  </si>
  <si>
    <t xml:space="preserve">  申请人地址：   </t>
  </si>
  <si>
    <t>申请人签署:</t>
  </si>
  <si>
    <t xml:space="preserve">  电      话：</t>
  </si>
  <si>
    <t>(公章)</t>
  </si>
  <si>
    <t xml:space="preserve">  传      真：</t>
  </si>
  <si>
    <t>商品申报要素清单</t>
  </si>
  <si>
    <t>申报要素：无</t>
  </si>
  <si>
    <r>
      <rPr>
        <sz val="12"/>
        <rFont val="宋体"/>
        <charset val="134"/>
      </rPr>
      <t xml:space="preserve">    经营单位签章</t>
    </r>
    <r>
      <rPr>
        <sz val="12"/>
        <rFont val="Times New Roman"/>
        <family val="1"/>
      </rPr>
      <t>:</t>
    </r>
  </si>
  <si>
    <t>FBA19GTDMPSV</t>
  </si>
  <si>
    <t>手抓球</t>
  </si>
  <si>
    <t>个</t>
  </si>
  <si>
    <t>中国</t>
  </si>
  <si>
    <t>广东汕头</t>
  </si>
  <si>
    <t>照章征税</t>
  </si>
  <si>
    <t>给孩子玩具for baby development</t>
  </si>
  <si>
    <t>盒</t>
  </si>
  <si>
    <t>箱</t>
  </si>
  <si>
    <t>美元</t>
  </si>
  <si>
    <t>净重 (KG):</t>
  </si>
  <si>
    <t>毛重 (KG):</t>
  </si>
  <si>
    <t>软积木</t>
  </si>
  <si>
    <t>球铃组合</t>
  </si>
  <si>
    <t>落球塔</t>
  </si>
  <si>
    <t>缝纫机</t>
  </si>
  <si>
    <t>培养缝纫技能Cultivate sewing skills</t>
  </si>
  <si>
    <t>假泥鳅</t>
  </si>
  <si>
    <t>for fishing钓鱼</t>
  </si>
  <si>
    <t>立体拼图</t>
  </si>
  <si>
    <t>升空火箭</t>
  </si>
  <si>
    <t>谷雨小车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</si>
</sst>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8" formatCode="yyyy&quot;年&quot;m&quot;月&quot;d&quot;日&quot;;@"/>
    <numFmt numFmtId="179" formatCode="0.0000_);[Red]\(0.0000\)"/>
    <numFmt numFmtId="180" formatCode="[$HKD]\ #,##0.00"/>
    <numFmt numFmtId="181" formatCode="#,##0.00_);[Red]\(#,##0.00\)"/>
    <numFmt numFmtId="182" formatCode="[DBNum2][$-804]\ General&quot;元整&quot;"/>
    <numFmt numFmtId="183" formatCode="0.000_);[Red]\(0.000\)"/>
    <numFmt numFmtId="184" formatCode="0.0000_ "/>
  </numFmts>
  <fonts count="40" x14ac:knownFonts="1">
    <font>
      <sz val="12"/>
      <name val="宋体"/>
      <charset val="134"/>
    </font>
    <font>
      <b/>
      <sz val="16"/>
      <name val="宋体"/>
      <charset val="134"/>
    </font>
    <font>
      <sz val="10.5"/>
      <name val="宋体"/>
      <charset val="134"/>
    </font>
    <font>
      <sz val="9"/>
      <name val="宋体"/>
      <charset val="134"/>
    </font>
    <font>
      <b/>
      <sz val="24"/>
      <name val="黑体"/>
      <charset val="134"/>
    </font>
    <font>
      <sz val="16"/>
      <name val="宋体"/>
      <charset val="134"/>
    </font>
    <font>
      <sz val="14"/>
      <name val="宋体"/>
      <charset val="134"/>
    </font>
    <font>
      <sz val="18"/>
      <name val="宋体"/>
      <charset val="134"/>
    </font>
    <font>
      <sz val="12"/>
      <color theme="1"/>
      <name val="宋体"/>
      <charset val="134"/>
    </font>
    <font>
      <sz val="13"/>
      <name val="黑体"/>
      <charset val="134"/>
    </font>
    <font>
      <sz val="10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sz val="8"/>
      <name val="宋体"/>
      <charset val="134"/>
    </font>
    <font>
      <sz val="12"/>
      <name val="Times New Roman"/>
      <family val="1"/>
    </font>
    <font>
      <b/>
      <sz val="24"/>
      <name val="宋体"/>
      <charset val="134"/>
    </font>
    <font>
      <sz val="24"/>
      <name val="宋体"/>
      <charset val="134"/>
    </font>
    <font>
      <sz val="11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sz val="10"/>
      <name val="宋体"/>
      <charset val="134"/>
      <scheme val="minor"/>
    </font>
    <font>
      <b/>
      <sz val="12"/>
      <name val="Times New Roman"/>
      <family val="1"/>
    </font>
    <font>
      <b/>
      <sz val="10"/>
      <name val="Times New Roman"/>
      <family val="1"/>
    </font>
    <font>
      <u/>
      <sz val="12"/>
      <name val="Times New Roman"/>
      <family val="1"/>
    </font>
    <font>
      <b/>
      <sz val="22"/>
      <name val="宋体"/>
      <charset val="134"/>
    </font>
    <font>
      <sz val="22"/>
      <name val="宋体"/>
      <charset val="134"/>
    </font>
    <font>
      <sz val="20"/>
      <name val="Times New Roman"/>
      <family val="1"/>
    </font>
    <font>
      <sz val="16"/>
      <name val="Times New Roman"/>
      <family val="1"/>
    </font>
    <font>
      <sz val="12"/>
      <color indexed="10"/>
      <name val="宋体"/>
      <charset val="134"/>
    </font>
    <font>
      <b/>
      <sz val="20"/>
      <name val="宋体"/>
      <charset val="134"/>
    </font>
    <font>
      <u/>
      <sz val="1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134"/>
      <scheme val="minor"/>
    </font>
    <font>
      <b/>
      <sz val="24"/>
      <name val="Times New Roman"/>
      <family val="1"/>
    </font>
    <font>
      <b/>
      <u/>
      <sz val="22"/>
      <name val="宋体"/>
      <charset val="134"/>
    </font>
    <font>
      <u/>
      <sz val="20"/>
      <name val="Times New Roman"/>
      <family val="1"/>
    </font>
    <font>
      <sz val="18"/>
      <color indexed="8"/>
      <name val="宋体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72380748924222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indexed="8"/>
      </top>
      <bottom/>
      <diagonal/>
    </border>
  </borders>
  <cellStyleXfs count="3"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" fillId="0" borderId="0">
      <alignment vertical="center"/>
    </xf>
  </cellStyleXfs>
  <cellXfs count="372">
    <xf numFmtId="0" fontId="0" fillId="0" borderId="0" xfId="0">
      <alignment vertical="center"/>
    </xf>
    <xf numFmtId="0" fontId="1" fillId="0" borderId="0" xfId="2" applyFont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2" fillId="0" borderId="0" xfId="2" applyFont="1" applyAlignment="1">
      <alignment horizontal="center" vertical="center" wrapText="1"/>
    </xf>
    <xf numFmtId="0" fontId="2" fillId="0" borderId="0" xfId="2" applyFont="1" applyAlignment="1">
      <alignment horizontal="left" vertical="center" wrapText="1"/>
    </xf>
    <xf numFmtId="0" fontId="3" fillId="0" borderId="0" xfId="2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 shrinkToFit="1"/>
    </xf>
    <xf numFmtId="0" fontId="3" fillId="0" borderId="0" xfId="0" applyFont="1" applyAlignment="1">
      <alignment horizontal="left" vertical="center" wrapText="1"/>
    </xf>
    <xf numFmtId="0" fontId="0" fillId="0" borderId="0" xfId="2" applyFont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2" borderId="0" xfId="0" applyFont="1" applyFill="1">
      <alignment vertical="center"/>
    </xf>
    <xf numFmtId="0" fontId="9" fillId="0" borderId="0" xfId="0" applyFont="1" applyAlignment="1">
      <alignment vertical="center" shrinkToFit="1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6" fillId="2" borderId="0" xfId="0" applyFont="1" applyFill="1">
      <alignment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right" vertical="center" shrinkToFit="1"/>
    </xf>
    <xf numFmtId="0" fontId="10" fillId="0" borderId="9" xfId="0" applyFont="1" applyBorder="1" applyAlignment="1">
      <alignment horizontal="left" vertical="center" shrinkToFit="1"/>
    </xf>
    <xf numFmtId="0" fontId="10" fillId="0" borderId="10" xfId="0" applyFont="1" applyBorder="1" applyAlignment="1">
      <alignment vertical="center" shrinkToFit="1"/>
    </xf>
    <xf numFmtId="0" fontId="10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shrinkToFit="1"/>
    </xf>
    <xf numFmtId="0" fontId="10" fillId="0" borderId="1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5" xfId="0" applyFont="1" applyBorder="1">
      <alignment vertical="center"/>
    </xf>
    <xf numFmtId="0" fontId="10" fillId="0" borderId="16" xfId="0" applyFont="1" applyBorder="1">
      <alignment vertical="center"/>
    </xf>
    <xf numFmtId="0" fontId="10" fillId="0" borderId="17" xfId="0" applyFont="1" applyBorder="1">
      <alignment vertical="center"/>
    </xf>
    <xf numFmtId="0" fontId="10" fillId="0" borderId="18" xfId="0" applyFont="1" applyBorder="1">
      <alignment vertical="center"/>
    </xf>
    <xf numFmtId="0" fontId="10" fillId="0" borderId="19" xfId="0" applyFont="1" applyBorder="1">
      <alignment vertical="center"/>
    </xf>
    <xf numFmtId="0" fontId="3" fillId="0" borderId="15" xfId="0" applyFont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178" fontId="10" fillId="0" borderId="0" xfId="0" applyNumberFormat="1" applyFont="1">
      <alignment vertical="center"/>
    </xf>
    <xf numFmtId="178" fontId="10" fillId="0" borderId="19" xfId="0" applyNumberFormat="1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10" fillId="0" borderId="0" xfId="0" applyFont="1" applyAlignment="1">
      <alignment horizontal="left" vertical="top"/>
    </xf>
    <xf numFmtId="0" fontId="16" fillId="0" borderId="0" xfId="0" applyFont="1">
      <alignment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9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  <xf numFmtId="0" fontId="21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21" fillId="0" borderId="0" xfId="0" applyFont="1" applyAlignment="1">
      <alignment vertical="center" wrapText="1"/>
    </xf>
    <xf numFmtId="0" fontId="22" fillId="0" borderId="0" xfId="0" applyFont="1" applyAlignment="1"/>
    <xf numFmtId="0" fontId="21" fillId="0" borderId="16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19" fillId="0" borderId="26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shrinkToFit="1"/>
    </xf>
    <xf numFmtId="179" fontId="16" fillId="0" borderId="11" xfId="0" applyNumberFormat="1" applyFont="1" applyBorder="1" applyAlignment="1">
      <alignment horizontal="center" vertical="center" shrinkToFit="1"/>
    </xf>
    <xf numFmtId="0" fontId="16" fillId="0" borderId="15" xfId="0" applyFont="1" applyBorder="1" applyAlignment="1">
      <alignment horizontal="center" vertical="center" shrinkToFit="1"/>
    </xf>
    <xf numFmtId="4" fontId="16" fillId="0" borderId="16" xfId="0" applyNumberFormat="1" applyFont="1" applyBorder="1" applyAlignment="1">
      <alignment horizontal="left" vertical="center" shrinkToFit="1"/>
    </xf>
    <xf numFmtId="4" fontId="16" fillId="0" borderId="17" xfId="0" applyNumberFormat="1" applyFont="1" applyBorder="1" applyAlignment="1">
      <alignment horizontal="left" vertical="center" shrinkToFit="1"/>
    </xf>
    <xf numFmtId="0" fontId="16" fillId="0" borderId="11" xfId="0" applyFont="1" applyBorder="1" applyAlignment="1">
      <alignment horizontal="center" vertical="center"/>
    </xf>
    <xf numFmtId="4" fontId="16" fillId="0" borderId="11" xfId="0" applyNumberFormat="1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181" fontId="12" fillId="0" borderId="0" xfId="0" applyNumberFormat="1" applyFont="1" applyAlignment="1">
      <alignment horizontal="right" vertical="center"/>
    </xf>
    <xf numFmtId="182" fontId="12" fillId="0" borderId="0" xfId="0" applyNumberFormat="1" applyFont="1" applyAlignment="1">
      <alignment horizontal="left" vertical="center"/>
    </xf>
    <xf numFmtId="0" fontId="16" fillId="0" borderId="0" xfId="0" applyFont="1" applyAlignment="1">
      <alignment vertical="center" shrinkToFit="1"/>
    </xf>
    <xf numFmtId="0" fontId="16" fillId="0" borderId="0" xfId="0" applyFont="1" applyProtection="1">
      <alignment vertical="center"/>
      <protection locked="0"/>
    </xf>
    <xf numFmtId="0" fontId="20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14" fontId="16" fillId="0" borderId="21" xfId="0" applyNumberFormat="1" applyFont="1" applyBorder="1" applyAlignment="1">
      <alignment horizontal="left" vertical="center" wrapText="1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2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6" fillId="0" borderId="2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30" fillId="0" borderId="0" xfId="0" applyFo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21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14" fillId="0" borderId="19" xfId="0" applyFont="1" applyBorder="1" applyAlignment="1">
      <alignment horizontal="center" vertical="center" shrinkToFit="1"/>
    </xf>
    <xf numFmtId="0" fontId="16" fillId="0" borderId="19" xfId="0" applyFont="1" applyBorder="1" applyAlignment="1">
      <alignment horizontal="center" vertical="center" shrinkToFit="1"/>
    </xf>
    <xf numFmtId="0" fontId="16" fillId="0" borderId="0" xfId="0" applyFont="1" applyAlignment="1">
      <alignment horizontal="right" vertical="center" shrinkToFit="1"/>
    </xf>
    <xf numFmtId="0" fontId="0" fillId="0" borderId="0" xfId="0" applyAlignment="1">
      <alignment horizontal="left" vertical="center" shrinkToFit="1"/>
    </xf>
    <xf numFmtId="0" fontId="19" fillId="0" borderId="0" xfId="0" applyFont="1">
      <alignment vertical="center"/>
    </xf>
    <xf numFmtId="0" fontId="16" fillId="0" borderId="6" xfId="0" applyFont="1" applyBorder="1" applyAlignment="1">
      <alignment horizontal="center" vertical="center" shrinkToFit="1"/>
    </xf>
    <xf numFmtId="0" fontId="12" fillId="0" borderId="7" xfId="0" applyFont="1" applyBorder="1" applyAlignment="1">
      <alignment vertical="center" wrapText="1"/>
    </xf>
    <xf numFmtId="0" fontId="12" fillId="0" borderId="10" xfId="0" applyFont="1" applyBorder="1" applyAlignment="1">
      <alignment vertical="center" shrinkToFit="1"/>
    </xf>
    <xf numFmtId="0" fontId="16" fillId="0" borderId="10" xfId="0" applyFont="1" applyBorder="1" applyAlignment="1">
      <alignment horizontal="center" vertical="center" shrinkToFit="1"/>
    </xf>
    <xf numFmtId="0" fontId="16" fillId="0" borderId="9" xfId="0" applyFont="1" applyBorder="1" applyAlignment="1">
      <alignment vertical="center" shrinkToFit="1"/>
    </xf>
    <xf numFmtId="0" fontId="0" fillId="0" borderId="10" xfId="0" applyBorder="1" applyAlignment="1">
      <alignment vertical="center" shrinkToFit="1"/>
    </xf>
    <xf numFmtId="0" fontId="16" fillId="0" borderId="7" xfId="0" applyFont="1" applyBorder="1" applyAlignment="1">
      <alignment horizontal="center" vertical="center" shrinkToFit="1"/>
    </xf>
    <xf numFmtId="0" fontId="0" fillId="0" borderId="18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18" xfId="0" applyBorder="1" applyAlignment="1">
      <alignment horizontal="center" vertical="center" shrinkToFit="1"/>
    </xf>
    <xf numFmtId="0" fontId="10" fillId="0" borderId="19" xfId="0" applyFont="1" applyBorder="1" applyAlignment="1">
      <alignment horizontal="center" vertical="center" shrinkToFit="1"/>
    </xf>
    <xf numFmtId="179" fontId="14" fillId="0" borderId="19" xfId="0" applyNumberFormat="1" applyFont="1" applyBorder="1" applyAlignment="1">
      <alignment horizontal="center" vertical="center" shrinkToFit="1"/>
    </xf>
    <xf numFmtId="183" fontId="0" fillId="0" borderId="0" xfId="0" applyNumberFormat="1" applyAlignment="1">
      <alignment horizontal="center" vertical="center" shrinkToFit="1"/>
    </xf>
    <xf numFmtId="0" fontId="12" fillId="0" borderId="9" xfId="0" applyFont="1" applyBorder="1" applyAlignment="1">
      <alignment horizontal="right" vertical="center" shrinkToFit="1"/>
    </xf>
    <xf numFmtId="183" fontId="12" fillId="0" borderId="9" xfId="0" applyNumberFormat="1" applyFont="1" applyBorder="1" applyAlignment="1">
      <alignment horizontal="right" vertical="center" shrinkToFit="1"/>
    </xf>
    <xf numFmtId="181" fontId="12" fillId="0" borderId="9" xfId="0" applyNumberFormat="1" applyFont="1" applyBorder="1" applyAlignment="1">
      <alignment horizontal="left" vertical="center" shrinkToFit="1"/>
    </xf>
    <xf numFmtId="0" fontId="10" fillId="0" borderId="0" xfId="0" applyFont="1" applyAlignment="1">
      <alignment horizontal="right" vertical="center" shrinkToFit="1"/>
    </xf>
    <xf numFmtId="0" fontId="10" fillId="0" borderId="0" xfId="0" applyFont="1" applyAlignment="1">
      <alignment vertical="center" shrinkToFit="1"/>
    </xf>
    <xf numFmtId="0" fontId="10" fillId="0" borderId="33" xfId="0" applyFont="1" applyBorder="1" applyAlignment="1">
      <alignment vertical="center" shrinkToFit="1"/>
    </xf>
    <xf numFmtId="0" fontId="10" fillId="0" borderId="32" xfId="0" applyFont="1" applyBorder="1" applyAlignment="1">
      <alignment vertical="center" shrinkToFit="1"/>
    </xf>
    <xf numFmtId="0" fontId="22" fillId="3" borderId="30" xfId="0" applyFont="1" applyFill="1" applyBorder="1" applyAlignment="1"/>
    <xf numFmtId="0" fontId="22" fillId="3" borderId="31" xfId="0" applyFont="1" applyFill="1" applyBorder="1" applyAlignment="1" applyProtection="1">
      <protection locked="0"/>
    </xf>
    <xf numFmtId="0" fontId="22" fillId="3" borderId="31" xfId="0" applyFont="1" applyFill="1" applyBorder="1" applyAlignment="1"/>
    <xf numFmtId="0" fontId="22" fillId="3" borderId="34" xfId="0" applyFont="1" applyFill="1" applyBorder="1" applyAlignment="1"/>
    <xf numFmtId="0" fontId="0" fillId="0" borderId="22" xfId="0" applyBorder="1" applyAlignment="1">
      <alignment vertical="center" shrinkToFit="1"/>
    </xf>
    <xf numFmtId="0" fontId="22" fillId="3" borderId="37" xfId="0" applyFont="1" applyFill="1" applyBorder="1">
      <alignment vertical="center"/>
    </xf>
    <xf numFmtId="0" fontId="22" fillId="3" borderId="0" xfId="0" applyFont="1" applyFill="1" applyAlignment="1">
      <alignment horizontal="center" vertical="center"/>
    </xf>
    <xf numFmtId="0" fontId="22" fillId="3" borderId="0" xfId="0" applyFont="1" applyFill="1" applyProtection="1">
      <alignment vertical="center"/>
      <protection locked="0"/>
    </xf>
    <xf numFmtId="0" fontId="22" fillId="3" borderId="0" xfId="0" applyFont="1" applyFill="1">
      <alignment vertical="center"/>
    </xf>
    <xf numFmtId="0" fontId="22" fillId="3" borderId="38" xfId="0" applyFont="1" applyFill="1" applyBorder="1" applyAlignment="1"/>
    <xf numFmtId="0" fontId="10" fillId="0" borderId="16" xfId="0" applyFont="1" applyBorder="1" applyAlignment="1">
      <alignment vertical="center" shrinkToFit="1"/>
    </xf>
    <xf numFmtId="0" fontId="10" fillId="0" borderId="17" xfId="0" applyFont="1" applyBorder="1" applyAlignment="1" applyProtection="1">
      <alignment horizontal="left" vertical="center" shrinkToFit="1"/>
      <protection locked="0"/>
    </xf>
    <xf numFmtId="0" fontId="10" fillId="0" borderId="15" xfId="0" applyFont="1" applyBorder="1" applyAlignment="1">
      <alignment vertical="center" shrinkToFit="1"/>
    </xf>
    <xf numFmtId="0" fontId="10" fillId="0" borderId="17" xfId="0" applyFont="1" applyBorder="1" applyAlignment="1">
      <alignment vertical="center" shrinkToFit="1"/>
    </xf>
    <xf numFmtId="0" fontId="22" fillId="3" borderId="37" xfId="0" applyFont="1" applyFill="1" applyBorder="1" applyAlignment="1"/>
    <xf numFmtId="0" fontId="22" fillId="3" borderId="0" xfId="0" applyFont="1" applyFill="1" applyAlignment="1" applyProtection="1">
      <protection locked="0"/>
    </xf>
    <xf numFmtId="0" fontId="22" fillId="3" borderId="0" xfId="0" applyFont="1" applyFill="1" applyAlignment="1"/>
    <xf numFmtId="0" fontId="10" fillId="0" borderId="6" xfId="0" applyFont="1" applyBorder="1" applyAlignment="1">
      <alignment vertical="center" shrinkToFit="1"/>
    </xf>
    <xf numFmtId="0" fontId="10" fillId="0" borderId="11" xfId="0" applyFont="1" applyBorder="1" applyAlignment="1">
      <alignment vertical="center" shrinkToFit="1"/>
    </xf>
    <xf numFmtId="0" fontId="10" fillId="0" borderId="15" xfId="0" applyFont="1" applyBorder="1" applyAlignment="1">
      <alignment horizontal="right" vertical="center" shrinkToFit="1"/>
    </xf>
    <xf numFmtId="0" fontId="22" fillId="3" borderId="41" xfId="0" applyFont="1" applyFill="1" applyBorder="1" applyAlignment="1"/>
    <xf numFmtId="0" fontId="22" fillId="3" borderId="42" xfId="0" applyFont="1" applyFill="1" applyBorder="1" applyAlignment="1"/>
    <xf numFmtId="0" fontId="22" fillId="3" borderId="43" xfId="0" applyFont="1" applyFill="1" applyBorder="1" applyAlignment="1"/>
    <xf numFmtId="0" fontId="12" fillId="0" borderId="5" xfId="0" applyFont="1" applyBorder="1" applyAlignment="1">
      <alignment horizontal="left" vertical="center" shrinkToFit="1"/>
    </xf>
    <xf numFmtId="0" fontId="10" fillId="0" borderId="39" xfId="0" applyFont="1" applyBorder="1">
      <alignment vertical="center"/>
    </xf>
    <xf numFmtId="0" fontId="10" fillId="0" borderId="37" xfId="0" applyFont="1" applyBorder="1">
      <alignment vertical="center"/>
    </xf>
    <xf numFmtId="0" fontId="10" fillId="0" borderId="44" xfId="0" applyFont="1" applyBorder="1">
      <alignment vertical="center"/>
    </xf>
    <xf numFmtId="0" fontId="0" fillId="0" borderId="31" xfId="0" applyBorder="1">
      <alignment vertical="center"/>
    </xf>
    <xf numFmtId="0" fontId="0" fillId="0" borderId="34" xfId="0" applyBorder="1">
      <alignment vertical="center"/>
    </xf>
    <xf numFmtId="0" fontId="33" fillId="0" borderId="45" xfId="0" applyFont="1" applyBorder="1">
      <alignment vertical="center"/>
    </xf>
    <xf numFmtId="0" fontId="33" fillId="0" borderId="46" xfId="0" applyFont="1" applyBorder="1">
      <alignment vertical="center"/>
    </xf>
    <xf numFmtId="0" fontId="33" fillId="0" borderId="13" xfId="0" applyFont="1" applyBorder="1" applyAlignment="1">
      <alignment horizontal="left" vertical="center"/>
    </xf>
    <xf numFmtId="0" fontId="33" fillId="0" borderId="47" xfId="0" applyFont="1" applyBorder="1" applyAlignment="1">
      <alignment horizontal="right" vertical="center"/>
    </xf>
    <xf numFmtId="0" fontId="13" fillId="0" borderId="48" xfId="0" applyFont="1" applyBorder="1">
      <alignment vertical="center"/>
    </xf>
    <xf numFmtId="0" fontId="14" fillId="0" borderId="49" xfId="0" applyFont="1" applyBorder="1" applyAlignment="1">
      <alignment horizontal="center" vertical="center" shrinkToFit="1"/>
    </xf>
    <xf numFmtId="0" fontId="14" fillId="0" borderId="44" xfId="0" applyFont="1" applyBorder="1" applyAlignment="1">
      <alignment horizontal="center" vertical="center" shrinkToFit="1"/>
    </xf>
    <xf numFmtId="0" fontId="10" fillId="0" borderId="2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 shrinkToFit="1"/>
    </xf>
    <xf numFmtId="0" fontId="10" fillId="0" borderId="50" xfId="0" applyFont="1" applyBorder="1" applyAlignment="1">
      <alignment horizontal="center" vertical="center" shrinkToFit="1"/>
    </xf>
    <xf numFmtId="0" fontId="0" fillId="0" borderId="18" xfId="0" applyBorder="1" applyAlignment="1" applyProtection="1">
      <alignment horizontal="center" vertical="center" shrinkToFit="1"/>
      <protection locked="0"/>
    </xf>
    <xf numFmtId="0" fontId="0" fillId="0" borderId="0" xfId="0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0" fillId="0" borderId="0" xfId="0" applyAlignment="1">
      <alignment vertical="center" shrinkToFit="1"/>
    </xf>
    <xf numFmtId="0" fontId="0" fillId="0" borderId="19" xfId="0" applyBorder="1" applyAlignment="1">
      <alignment vertical="center" shrinkToFit="1"/>
    </xf>
    <xf numFmtId="0" fontId="10" fillId="0" borderId="20" xfId="0" applyFont="1" applyBorder="1" applyAlignment="1">
      <alignment horizontal="center" vertical="center" shrinkToFit="1"/>
    </xf>
    <xf numFmtId="0" fontId="0" fillId="0" borderId="21" xfId="0" applyBorder="1" applyAlignment="1" applyProtection="1">
      <alignment vertical="center" shrinkToFit="1"/>
      <protection locked="0"/>
    </xf>
    <xf numFmtId="0" fontId="0" fillId="0" borderId="21" xfId="0" applyBorder="1" applyAlignment="1">
      <alignment vertical="center" shrinkToFit="1"/>
    </xf>
    <xf numFmtId="0" fontId="0" fillId="0" borderId="51" xfId="0" applyBorder="1" applyAlignment="1" applyProtection="1">
      <alignment vertical="center" shrinkToFit="1"/>
      <protection locked="0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 shrinkToFit="1"/>
    </xf>
    <xf numFmtId="0" fontId="10" fillId="0" borderId="0" xfId="0" applyFont="1" applyAlignment="1">
      <alignment horizontal="left" vertical="center" shrinkToFit="1"/>
    </xf>
    <xf numFmtId="0" fontId="10" fillId="0" borderId="0" xfId="0" applyFont="1" applyAlignment="1" applyProtection="1">
      <alignment horizontal="left" vertical="center" shrinkToFit="1"/>
      <protection locked="0"/>
    </xf>
    <xf numFmtId="0" fontId="10" fillId="0" borderId="30" xfId="0" applyFont="1" applyBorder="1" applyAlignment="1">
      <alignment horizontal="left" vertical="center" shrinkToFit="1"/>
    </xf>
    <xf numFmtId="0" fontId="10" fillId="0" borderId="31" xfId="0" applyFont="1" applyBorder="1" applyAlignment="1">
      <alignment horizontal="left" vertical="center" shrinkToFit="1"/>
    </xf>
    <xf numFmtId="0" fontId="10" fillId="0" borderId="31" xfId="0" applyFont="1" applyBorder="1" applyAlignment="1" applyProtection="1">
      <alignment horizontal="left" vertical="center" shrinkToFit="1"/>
      <protection locked="0"/>
    </xf>
    <xf numFmtId="0" fontId="10" fillId="0" borderId="32" xfId="0" applyFont="1" applyBorder="1" applyAlignment="1" applyProtection="1">
      <alignment horizontal="left" vertical="center" shrinkToFit="1"/>
      <protection locked="0"/>
    </xf>
    <xf numFmtId="0" fontId="10" fillId="0" borderId="31" xfId="0" applyFont="1" applyBorder="1" applyAlignment="1">
      <alignment horizontal="right" vertical="center" shrinkToFit="1"/>
    </xf>
    <xf numFmtId="0" fontId="10" fillId="0" borderId="32" xfId="0" applyFont="1" applyBorder="1" applyAlignment="1">
      <alignment horizontal="left" vertical="center" shrinkToFit="1"/>
    </xf>
    <xf numFmtId="0" fontId="10" fillId="0" borderId="34" xfId="0" applyFont="1" applyBorder="1" applyAlignment="1">
      <alignment horizontal="left" vertical="center" shrinkToFit="1"/>
    </xf>
    <xf numFmtId="0" fontId="12" fillId="0" borderId="35" xfId="0" applyFont="1" applyBorder="1" applyAlignment="1" applyProtection="1">
      <alignment horizontal="left" vertical="center" shrinkToFit="1"/>
      <protection locked="0"/>
    </xf>
    <xf numFmtId="0" fontId="12" fillId="0" borderId="21" xfId="0" applyFont="1" applyBorder="1" applyAlignment="1" applyProtection="1">
      <alignment horizontal="left" vertical="center" shrinkToFit="1"/>
      <protection locked="0"/>
    </xf>
    <xf numFmtId="0" fontId="12" fillId="0" borderId="22" xfId="0" applyFont="1" applyBorder="1" applyAlignment="1" applyProtection="1">
      <alignment horizontal="left" vertical="center" shrinkToFit="1"/>
      <protection locked="0"/>
    </xf>
    <xf numFmtId="0" fontId="0" fillId="0" borderId="20" xfId="0" applyBorder="1" applyAlignment="1" applyProtection="1">
      <alignment horizontal="left" vertical="center" shrinkToFit="1"/>
      <protection locked="0"/>
    </xf>
    <xf numFmtId="0" fontId="0" fillId="0" borderId="22" xfId="0" applyBorder="1" applyAlignment="1" applyProtection="1">
      <alignment horizontal="left" vertical="center" shrinkToFit="1"/>
      <protection locked="0"/>
    </xf>
    <xf numFmtId="0" fontId="0" fillId="0" borderId="21" xfId="0" applyBorder="1" applyAlignment="1" applyProtection="1">
      <alignment horizontal="left" vertical="center" shrinkToFit="1"/>
      <protection locked="0"/>
    </xf>
    <xf numFmtId="0" fontId="0" fillId="0" borderId="21" xfId="0" applyBorder="1" applyAlignment="1" applyProtection="1">
      <alignment horizontal="right" vertical="center" shrinkToFit="1"/>
      <protection locked="0"/>
    </xf>
    <xf numFmtId="31" fontId="0" fillId="0" borderId="20" xfId="0" applyNumberFormat="1" applyBorder="1" applyAlignment="1" applyProtection="1">
      <alignment horizontal="left" vertical="center" shrinkToFit="1"/>
      <protection locked="0"/>
    </xf>
    <xf numFmtId="0" fontId="0" fillId="0" borderId="36" xfId="0" applyBorder="1" applyAlignment="1" applyProtection="1">
      <alignment horizontal="left" vertical="center" shrinkToFit="1"/>
      <protection locked="0"/>
    </xf>
    <xf numFmtId="0" fontId="10" fillId="0" borderId="39" xfId="0" applyFont="1" applyBorder="1" applyAlignment="1">
      <alignment horizontal="left" vertical="center" shrinkToFit="1"/>
    </xf>
    <xf numFmtId="0" fontId="10" fillId="0" borderId="16" xfId="0" applyFont="1" applyBorder="1" applyAlignment="1">
      <alignment horizontal="left" vertical="center" shrinkToFit="1"/>
    </xf>
    <xf numFmtId="0" fontId="10" fillId="0" borderId="15" xfId="0" applyFont="1" applyBorder="1" applyAlignment="1">
      <alignment horizontal="left" vertical="center" shrinkToFit="1"/>
    </xf>
    <xf numFmtId="0" fontId="10" fillId="0" borderId="16" xfId="0" applyFont="1" applyBorder="1" applyAlignment="1">
      <alignment horizontal="right" vertical="center" shrinkToFit="1"/>
    </xf>
    <xf numFmtId="0" fontId="10" fillId="0" borderId="17" xfId="0" applyFont="1" applyBorder="1" applyAlignment="1">
      <alignment horizontal="left" vertical="center" shrinkToFit="1"/>
    </xf>
    <xf numFmtId="0" fontId="10" fillId="0" borderId="40" xfId="0" applyFont="1" applyBorder="1" applyAlignment="1">
      <alignment horizontal="left" vertical="center" shrinkToFit="1"/>
    </xf>
    <xf numFmtId="0" fontId="12" fillId="0" borderId="35" xfId="0" applyFont="1" applyBorder="1" applyAlignment="1" applyProtection="1">
      <alignment horizontal="left" vertical="center" wrapText="1" shrinkToFit="1"/>
      <protection locked="0"/>
    </xf>
    <xf numFmtId="0" fontId="0" fillId="0" borderId="20" xfId="0" applyBorder="1" applyAlignment="1">
      <alignment horizontal="left" vertical="center" shrinkToFit="1"/>
    </xf>
    <xf numFmtId="0" fontId="0" fillId="0" borderId="21" xfId="0" applyBorder="1" applyAlignment="1">
      <alignment horizontal="left" vertical="center" shrinkToFit="1"/>
    </xf>
    <xf numFmtId="0" fontId="0" fillId="0" borderId="36" xfId="0" applyBorder="1" applyAlignment="1">
      <alignment horizontal="left" vertical="center" shrinkToFit="1"/>
    </xf>
    <xf numFmtId="0" fontId="12" fillId="0" borderId="20" xfId="0" applyFont="1" applyBorder="1" applyAlignment="1" applyProtection="1">
      <alignment horizontal="left" vertical="center" shrinkToFit="1"/>
      <protection locked="0"/>
    </xf>
    <xf numFmtId="0" fontId="12" fillId="0" borderId="21" xfId="0" applyFont="1" applyBorder="1" applyAlignment="1" applyProtection="1">
      <alignment horizontal="right" vertical="center" shrinkToFit="1"/>
      <protection locked="0"/>
    </xf>
    <xf numFmtId="0" fontId="12" fillId="0" borderId="20" xfId="0" applyFont="1" applyBorder="1" applyAlignment="1" applyProtection="1">
      <alignment horizontal="left" vertical="center" wrapText="1" shrinkToFit="1"/>
      <protection locked="0"/>
    </xf>
    <xf numFmtId="0" fontId="0" fillId="0" borderId="20" xfId="0" applyBorder="1" applyAlignment="1" applyProtection="1">
      <alignment horizontal="left" vertical="center" wrapText="1" shrinkToFit="1"/>
      <protection locked="0"/>
    </xf>
    <xf numFmtId="0" fontId="10" fillId="0" borderId="16" xfId="0" applyFont="1" applyBorder="1" applyAlignment="1" applyProtection="1">
      <alignment horizontal="left" vertical="center" shrinkToFit="1"/>
      <protection locked="0"/>
    </xf>
    <xf numFmtId="0" fontId="10" fillId="0" borderId="17" xfId="0" applyFont="1" applyBorder="1" applyAlignment="1" applyProtection="1">
      <alignment horizontal="left" vertical="center" shrinkToFit="1"/>
      <protection locked="0"/>
    </xf>
    <xf numFmtId="0" fontId="10" fillId="0" borderId="16" xfId="0" applyFont="1" applyBorder="1" applyAlignment="1">
      <alignment horizontal="center" vertical="center" shrinkToFit="1"/>
    </xf>
    <xf numFmtId="0" fontId="10" fillId="0" borderId="40" xfId="0" applyFont="1" applyBorder="1" applyAlignment="1">
      <alignment horizontal="center" vertical="center" shrinkToFit="1"/>
    </xf>
    <xf numFmtId="0" fontId="12" fillId="0" borderId="22" xfId="0" applyFont="1" applyBorder="1" applyAlignment="1">
      <alignment horizontal="left" vertical="center" shrinkToFit="1"/>
    </xf>
    <xf numFmtId="0" fontId="12" fillId="0" borderId="36" xfId="0" applyFont="1" applyBorder="1" applyAlignment="1" applyProtection="1">
      <alignment horizontal="left" vertical="center" shrinkToFit="1"/>
      <protection locked="0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16" xfId="0" applyFont="1" applyBorder="1" applyAlignment="1" applyProtection="1">
      <alignment horizontal="left" vertical="center"/>
      <protection locked="0"/>
    </xf>
    <xf numFmtId="0" fontId="10" fillId="0" borderId="40" xfId="0" applyFont="1" applyBorder="1" applyAlignment="1" applyProtection="1">
      <alignment horizontal="left" vertical="center"/>
      <protection locked="0"/>
    </xf>
    <xf numFmtId="0" fontId="10" fillId="0" borderId="41" xfId="0" applyFont="1" applyBorder="1" applyAlignment="1" applyProtection="1">
      <alignment horizontal="right" vertical="center"/>
      <protection locked="0"/>
    </xf>
    <xf numFmtId="0" fontId="10" fillId="0" borderId="42" xfId="0" applyFont="1" applyBorder="1" applyAlignment="1" applyProtection="1">
      <alignment horizontal="right" vertical="center"/>
      <protection locked="0"/>
    </xf>
    <xf numFmtId="0" fontId="10" fillId="0" borderId="42" xfId="0" applyFont="1" applyBorder="1" applyAlignment="1" applyProtection="1">
      <alignment horizontal="left" vertical="center"/>
      <protection locked="0"/>
    </xf>
    <xf numFmtId="0" fontId="10" fillId="0" borderId="43" xfId="0" applyFont="1" applyBorder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0" fillId="0" borderId="38" xfId="0" applyFont="1" applyBorder="1" applyAlignment="1" applyProtection="1">
      <alignment horizontal="left" vertical="center"/>
      <protection locked="0"/>
    </xf>
    <xf numFmtId="0" fontId="32" fillId="0" borderId="0" xfId="1" applyFont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38" xfId="0" applyBorder="1" applyAlignment="1" applyProtection="1">
      <alignment horizontal="left" vertical="center"/>
      <protection locked="0"/>
    </xf>
    <xf numFmtId="0" fontId="12" fillId="0" borderId="37" xfId="0" applyFont="1" applyBorder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0" fillId="0" borderId="0" xfId="0" applyAlignment="1">
      <alignment horizontal="right" vertical="center"/>
    </xf>
    <xf numFmtId="0" fontId="33" fillId="0" borderId="46" xfId="0" applyFont="1" applyBorder="1" applyAlignment="1">
      <alignment horizontal="right" vertical="center"/>
    </xf>
    <xf numFmtId="0" fontId="33" fillId="0" borderId="47" xfId="0" applyFont="1" applyBorder="1" applyAlignment="1">
      <alignment horizontal="right" vertical="center"/>
    </xf>
    <xf numFmtId="0" fontId="14" fillId="0" borderId="46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 shrinkToFit="1"/>
      <protection locked="0"/>
    </xf>
    <xf numFmtId="184" fontId="0" fillId="0" borderId="0" xfId="0" applyNumberFormat="1" applyAlignment="1" applyProtection="1">
      <alignment horizontal="center" vertical="center" shrinkToFit="1"/>
      <protection locked="0"/>
    </xf>
    <xf numFmtId="0" fontId="0" fillId="0" borderId="0" xfId="0" applyAlignment="1">
      <alignment horizontal="center" vertical="center" shrinkToFit="1"/>
    </xf>
    <xf numFmtId="0" fontId="0" fillId="0" borderId="0" xfId="0" applyAlignment="1" applyProtection="1">
      <alignment horizontal="left" vertical="center" shrinkToFit="1"/>
      <protection locked="0"/>
    </xf>
    <xf numFmtId="0" fontId="0" fillId="0" borderId="0" xfId="0" applyAlignment="1">
      <alignment horizontal="right" vertical="center" shrinkToFit="1"/>
    </xf>
    <xf numFmtId="0" fontId="0" fillId="0" borderId="21" xfId="0" applyBorder="1" applyAlignment="1" applyProtection="1">
      <alignment horizontal="center" vertical="center" shrinkToFit="1"/>
      <protection locked="0"/>
    </xf>
    <xf numFmtId="0" fontId="0" fillId="0" borderId="21" xfId="0" applyBorder="1" applyAlignment="1">
      <alignment horizontal="center" vertical="center" shrinkToFit="1"/>
    </xf>
    <xf numFmtId="0" fontId="0" fillId="0" borderId="0" xfId="0" applyAlignment="1" applyProtection="1">
      <alignment horizontal="right" vertical="center" shrinkToFit="1"/>
      <protection locked="0"/>
    </xf>
    <xf numFmtId="0" fontId="0" fillId="0" borderId="0" xfId="0" applyAlignment="1">
      <alignment horizontal="left" vertical="center" shrinkToFit="1"/>
    </xf>
    <xf numFmtId="0" fontId="0" fillId="0" borderId="21" xfId="0" applyBorder="1" applyAlignment="1">
      <alignment horizontal="right" vertical="center" shrinkToFit="1"/>
    </xf>
    <xf numFmtId="0" fontId="0" fillId="2" borderId="10" xfId="0" applyFill="1" applyBorder="1" applyAlignment="1" applyProtection="1">
      <alignment horizontal="center" vertical="center" shrinkToFit="1"/>
      <protection locked="0"/>
    </xf>
    <xf numFmtId="0" fontId="0" fillId="0" borderId="10" xfId="0" applyBorder="1" applyAlignment="1">
      <alignment horizontal="center" vertical="center" shrinkToFit="1"/>
    </xf>
    <xf numFmtId="0" fontId="0" fillId="2" borderId="7" xfId="0" applyFill="1" applyBorder="1" applyAlignment="1" applyProtection="1">
      <alignment horizontal="center" vertical="center" shrinkToFit="1"/>
      <protection locked="0"/>
    </xf>
    <xf numFmtId="0" fontId="0" fillId="0" borderId="7" xfId="0" applyBorder="1" applyAlignment="1">
      <alignment horizontal="center" vertical="center" shrinkToFit="1"/>
    </xf>
    <xf numFmtId="0" fontId="10" fillId="0" borderId="0" xfId="0" applyFont="1" applyAlignment="1" applyProtection="1">
      <alignment horizontal="center" vertical="center" wrapText="1" shrinkToFit="1"/>
      <protection locked="0"/>
    </xf>
    <xf numFmtId="0" fontId="10" fillId="0" borderId="21" xfId="0" applyFont="1" applyBorder="1" applyAlignment="1" applyProtection="1">
      <alignment horizontal="center" vertical="center" wrapText="1" shrinkToFit="1"/>
      <protection locked="0"/>
    </xf>
    <xf numFmtId="0" fontId="10" fillId="0" borderId="0" xfId="0" applyFont="1" applyAlignment="1">
      <alignment horizontal="left" vertical="center" wrapText="1" shrinkToFit="1"/>
    </xf>
    <xf numFmtId="0" fontId="10" fillId="0" borderId="21" xfId="0" applyFont="1" applyBorder="1" applyAlignment="1">
      <alignment horizontal="left" vertical="center" wrapText="1" shrinkToFit="1"/>
    </xf>
    <xf numFmtId="0" fontId="17" fillId="0" borderId="0" xfId="0" applyFont="1" applyAlignment="1">
      <alignment horizontal="center" vertical="center" wrapText="1"/>
    </xf>
    <xf numFmtId="0" fontId="0" fillId="0" borderId="2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21" xfId="0" applyNumberForma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182" fontId="12" fillId="0" borderId="9" xfId="0" applyNumberFormat="1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4" fontId="16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0" borderId="23" xfId="0" applyFont="1" applyBorder="1" applyAlignment="1">
      <alignment vertical="center" shrinkToFit="1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 shrinkToFit="1"/>
    </xf>
    <xf numFmtId="0" fontId="14" fillId="0" borderId="17" xfId="0" applyFont="1" applyBorder="1" applyAlignment="1">
      <alignment horizontal="center" vertical="center" shrinkToFit="1"/>
    </xf>
    <xf numFmtId="4" fontId="16" fillId="0" borderId="16" xfId="0" applyNumberFormat="1" applyFont="1" applyBorder="1" applyAlignment="1">
      <alignment horizontal="left" vertical="center" shrinkToFit="1"/>
    </xf>
    <xf numFmtId="4" fontId="16" fillId="0" borderId="17" xfId="0" applyNumberFormat="1" applyFont="1" applyBorder="1" applyAlignment="1">
      <alignment horizontal="left" vertical="center" shrinkToFit="1"/>
    </xf>
    <xf numFmtId="4" fontId="16" fillId="0" borderId="16" xfId="0" applyNumberFormat="1" applyFont="1" applyBorder="1" applyAlignment="1">
      <alignment horizontal="left" vertical="center"/>
    </xf>
    <xf numFmtId="4" fontId="16" fillId="0" borderId="17" xfId="0" applyNumberFormat="1" applyFont="1" applyBorder="1" applyAlignment="1">
      <alignment horizontal="left" vertical="center"/>
    </xf>
    <xf numFmtId="0" fontId="21" fillId="0" borderId="0" xfId="0" applyFont="1">
      <alignment vertical="center"/>
    </xf>
    <xf numFmtId="182" fontId="12" fillId="0" borderId="0" xfId="0" applyNumberFormat="1" applyFont="1" applyAlignment="1">
      <alignment horizontal="left" vertical="center"/>
    </xf>
    <xf numFmtId="178" fontId="16" fillId="0" borderId="0" xfId="0" applyNumberFormat="1" applyFont="1" applyAlignment="1">
      <alignment horizontal="center" vertical="center"/>
    </xf>
    <xf numFmtId="0" fontId="19" fillId="0" borderId="16" xfId="0" applyFont="1" applyBorder="1" applyAlignment="1">
      <alignment horizontal="center" wrapText="1"/>
    </xf>
    <xf numFmtId="0" fontId="19" fillId="0" borderId="21" xfId="0" applyFont="1" applyBorder="1" applyAlignment="1">
      <alignment horizontal="center" wrapText="1"/>
    </xf>
    <xf numFmtId="0" fontId="19" fillId="0" borderId="16" xfId="0" applyFont="1" applyBorder="1" applyAlignment="1">
      <alignment horizontal="center" vertical="center"/>
    </xf>
    <xf numFmtId="0" fontId="22" fillId="0" borderId="0" xfId="0" applyFont="1" applyAlignment="1">
      <alignment horizontal="right" vertical="center" wrapText="1"/>
    </xf>
    <xf numFmtId="0" fontId="22" fillId="0" borderId="0" xfId="0" applyFont="1" applyAlignment="1">
      <alignment horizontal="right" vertical="center"/>
    </xf>
    <xf numFmtId="180" fontId="23" fillId="0" borderId="15" xfId="0" applyNumberFormat="1" applyFont="1" applyBorder="1" applyAlignment="1">
      <alignment horizontal="center" vertical="center"/>
    </xf>
    <xf numFmtId="180" fontId="23" fillId="0" borderId="29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22" fillId="0" borderId="0" xfId="0" applyFont="1" applyAlignment="1">
      <alignment horizontal="center"/>
    </xf>
    <xf numFmtId="181" fontId="23" fillId="0" borderId="28" xfId="0" applyNumberFormat="1" applyFont="1" applyBorder="1" applyAlignment="1">
      <alignment horizontal="left" vertical="center"/>
    </xf>
    <xf numFmtId="181" fontId="2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20" fillId="0" borderId="16" xfId="0" applyFont="1" applyBorder="1" applyAlignment="1">
      <alignment horizontal="left" vertical="center" wrapText="1"/>
    </xf>
    <xf numFmtId="0" fontId="20" fillId="0" borderId="21" xfId="0" applyFont="1" applyBorder="1" applyAlignment="1">
      <alignment horizontal="left" vertical="center" wrapText="1"/>
    </xf>
    <xf numFmtId="178" fontId="0" fillId="0" borderId="0" xfId="0" applyNumberFormat="1" applyAlignment="1">
      <alignment horizontal="center" vertical="center"/>
    </xf>
    <xf numFmtId="0" fontId="10" fillId="0" borderId="2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178" fontId="10" fillId="0" borderId="5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78" fontId="10" fillId="0" borderId="7" xfId="0" applyNumberFormat="1" applyFont="1" applyBorder="1" applyAlignment="1">
      <alignment horizontal="center" vertical="center" shrinkToFit="1"/>
    </xf>
    <xf numFmtId="178" fontId="10" fillId="0" borderId="5" xfId="0" applyNumberFormat="1" applyFont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shrinkToFit="1"/>
    </xf>
    <xf numFmtId="0" fontId="10" fillId="0" borderId="13" xfId="0" applyFont="1" applyBorder="1" applyAlignment="1">
      <alignment horizontal="center" vertical="center" shrinkToFit="1"/>
    </xf>
    <xf numFmtId="0" fontId="10" fillId="0" borderId="14" xfId="0" applyFont="1" applyBorder="1" applyAlignment="1">
      <alignment horizontal="center" vertical="center" shrinkToFit="1"/>
    </xf>
    <xf numFmtId="0" fontId="10" fillId="0" borderId="7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178" fontId="10" fillId="0" borderId="0" xfId="0" applyNumberFormat="1" applyFont="1" applyAlignment="1">
      <alignment horizontal="center" vertical="center"/>
    </xf>
    <xf numFmtId="178" fontId="10" fillId="0" borderId="19" xfId="0" applyNumberFormat="1" applyFont="1" applyBorder="1" applyAlignment="1">
      <alignment horizontal="center" vertical="center"/>
    </xf>
    <xf numFmtId="0" fontId="15" fillId="0" borderId="15" xfId="0" applyFont="1" applyBorder="1" applyAlignment="1">
      <alignment horizontal="left" vertical="top" wrapText="1"/>
    </xf>
    <xf numFmtId="0" fontId="15" fillId="0" borderId="16" xfId="0" applyFont="1" applyBorder="1" applyAlignment="1">
      <alignment horizontal="left" vertical="top"/>
    </xf>
    <xf numFmtId="0" fontId="15" fillId="0" borderId="17" xfId="0" applyFont="1" applyBorder="1" applyAlignment="1">
      <alignment horizontal="left" vertical="top"/>
    </xf>
    <xf numFmtId="0" fontId="15" fillId="0" borderId="18" xfId="0" applyFon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15" fillId="0" borderId="19" xfId="0" applyFont="1" applyBorder="1" applyAlignment="1">
      <alignment horizontal="left" vertical="top"/>
    </xf>
    <xf numFmtId="0" fontId="15" fillId="0" borderId="16" xfId="0" applyFont="1" applyBorder="1" applyAlignment="1">
      <alignment horizontal="left" vertical="top" wrapText="1"/>
    </xf>
    <xf numFmtId="0" fontId="15" fillId="0" borderId="17" xfId="0" applyFont="1" applyBorder="1" applyAlignment="1">
      <alignment horizontal="left" vertical="top" wrapText="1"/>
    </xf>
    <xf numFmtId="0" fontId="15" fillId="0" borderId="18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4" fontId="9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2" fontId="12" fillId="0" borderId="5" xfId="0" applyNumberFormat="1" applyFont="1" applyBorder="1" applyAlignment="1">
      <alignment horizontal="left" vertical="center" shrinkToFit="1"/>
    </xf>
    <xf numFmtId="2" fontId="12" fillId="0" borderId="20" xfId="0" applyNumberFormat="1" applyFont="1" applyBorder="1" applyAlignment="1">
      <alignment horizontal="left" vertical="center" shrinkToFit="1"/>
    </xf>
    <xf numFmtId="2" fontId="0" fillId="0" borderId="0" xfId="0" applyNumberFormat="1" applyAlignment="1" applyProtection="1">
      <alignment horizontal="right" vertical="center" shrinkToFit="1"/>
      <protection locked="0"/>
    </xf>
    <xf numFmtId="2" fontId="0" fillId="0" borderId="0" xfId="0" applyNumberFormat="1" applyAlignment="1">
      <alignment horizontal="right" vertical="center" shrinkToFit="1"/>
    </xf>
    <xf numFmtId="2" fontId="0" fillId="0" borderId="21" xfId="0" applyNumberFormat="1" applyBorder="1" applyAlignment="1" applyProtection="1">
      <alignment horizontal="right" vertical="center" shrinkToFit="1"/>
      <protection locked="0"/>
    </xf>
    <xf numFmtId="2" fontId="0" fillId="0" borderId="0" xfId="0" applyNumberFormat="1" applyAlignment="1" applyProtection="1">
      <alignment horizontal="center" vertical="center" shrinkToFit="1"/>
      <protection locked="0"/>
    </xf>
    <xf numFmtId="2" fontId="0" fillId="0" borderId="0" xfId="0" applyNumberFormat="1" applyAlignment="1">
      <alignment vertical="center" shrinkToFit="1"/>
    </xf>
    <xf numFmtId="2" fontId="0" fillId="0" borderId="21" xfId="0" applyNumberFormat="1" applyBorder="1" applyAlignment="1">
      <alignment vertical="center" shrinkToFit="1"/>
    </xf>
  </cellXfs>
  <cellStyles count="3">
    <cellStyle name="常规" xfId="0" builtinId="0"/>
    <cellStyle name="常规_Sheet8_1" xfId="2" xr:uid="{00000000-0005-0000-0000-000031000000}"/>
    <cellStyle name="超链接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00"/>
      <color rgb="FFD9D9D9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7</xdr:row>
      <xdr:rowOff>139700</xdr:rowOff>
    </xdr:from>
    <xdr:to>
      <xdr:col>7</xdr:col>
      <xdr:colOff>733425</xdr:colOff>
      <xdr:row>8</xdr:row>
      <xdr:rowOff>69850</xdr:rowOff>
    </xdr:to>
    <xdr:sp macro="" textlink="">
      <xdr:nvSpPr>
        <xdr:cNvPr id="146849" name="Line 1033">
          <a:extLst>
            <a:ext uri="{FF2B5EF4-FFF2-40B4-BE49-F238E27FC236}">
              <a16:creationId xmlns:a16="http://schemas.microsoft.com/office/drawing/2014/main" id="{00000000-0008-0000-0300-0000A13D0200}"/>
            </a:ext>
          </a:extLst>
        </xdr:cNvPr>
        <xdr:cNvSpPr/>
      </xdr:nvSpPr>
      <xdr:spPr>
        <a:xfrm rot="-180000">
          <a:off x="5372100" y="1802765"/>
          <a:ext cx="1171575" cy="711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699999" algn="ctr" rotWithShape="0">
            <a:srgbClr val="000000"/>
          </a:outerShdw>
        </a:effectLst>
      </xdr:spPr>
    </xdr:sp>
    <xdr:clientData/>
  </xdr:twoCellAnchor>
  <xdr:twoCellAnchor>
    <xdr:from>
      <xdr:col>6</xdr:col>
      <xdr:colOff>0</xdr:colOff>
      <xdr:row>10</xdr:row>
      <xdr:rowOff>0</xdr:rowOff>
    </xdr:from>
    <xdr:to>
      <xdr:col>7</xdr:col>
      <xdr:colOff>723900</xdr:colOff>
      <xdr:row>10</xdr:row>
      <xdr:rowOff>0</xdr:rowOff>
    </xdr:to>
    <xdr:sp macro="" textlink="">
      <xdr:nvSpPr>
        <xdr:cNvPr id="146850" name="Line 1034">
          <a:extLst>
            <a:ext uri="{FF2B5EF4-FFF2-40B4-BE49-F238E27FC236}">
              <a16:creationId xmlns:a16="http://schemas.microsoft.com/office/drawing/2014/main" id="{00000000-0008-0000-0300-0000A23D0200}"/>
            </a:ext>
          </a:extLst>
        </xdr:cNvPr>
        <xdr:cNvSpPr/>
      </xdr:nvSpPr>
      <xdr:spPr>
        <a:xfrm>
          <a:off x="5362575" y="2185035"/>
          <a:ext cx="117157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699999" algn="ctr" rotWithShape="0">
            <a:srgbClr val="000000"/>
          </a:outerShdw>
        </a:effectLst>
      </xdr:spPr>
    </xdr:sp>
    <xdr:clientData/>
  </xdr:twoCellAnchor>
  <xdr:twoCellAnchor>
    <xdr:from>
      <xdr:col>6</xdr:col>
      <xdr:colOff>60325</xdr:colOff>
      <xdr:row>6</xdr:row>
      <xdr:rowOff>0</xdr:rowOff>
    </xdr:from>
    <xdr:to>
      <xdr:col>7</xdr:col>
      <xdr:colOff>784860</xdr:colOff>
      <xdr:row>6</xdr:row>
      <xdr:rowOff>69850</xdr:rowOff>
    </xdr:to>
    <xdr:sp macro="" textlink="">
      <xdr:nvSpPr>
        <xdr:cNvPr id="146851" name="Line 1033">
          <a:extLst>
            <a:ext uri="{FF2B5EF4-FFF2-40B4-BE49-F238E27FC236}">
              <a16:creationId xmlns:a16="http://schemas.microsoft.com/office/drawing/2014/main" id="{00000000-0008-0000-0300-0000A33D0200}"/>
            </a:ext>
          </a:extLst>
        </xdr:cNvPr>
        <xdr:cNvSpPr/>
      </xdr:nvSpPr>
      <xdr:spPr>
        <a:xfrm rot="-180000">
          <a:off x="5422900" y="1498600"/>
          <a:ext cx="1172210" cy="6985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699999" algn="ctr" rotWithShape="0">
            <a:srgbClr val="000000"/>
          </a:outerShdw>
        </a:effectLst>
      </xdr:spPr>
    </xdr:sp>
    <xdr:clientData/>
  </xdr:twoCellAnchor>
  <xdr:twoCellAnchor>
    <xdr:from>
      <xdr:col>6</xdr:col>
      <xdr:colOff>22225</xdr:colOff>
      <xdr:row>12</xdr:row>
      <xdr:rowOff>31750</xdr:rowOff>
    </xdr:from>
    <xdr:to>
      <xdr:col>7</xdr:col>
      <xdr:colOff>745490</xdr:colOff>
      <xdr:row>12</xdr:row>
      <xdr:rowOff>31750</xdr:rowOff>
    </xdr:to>
    <xdr:sp macro="" textlink="">
      <xdr:nvSpPr>
        <xdr:cNvPr id="146852" name="Line 1034">
          <a:extLst>
            <a:ext uri="{FF2B5EF4-FFF2-40B4-BE49-F238E27FC236}">
              <a16:creationId xmlns:a16="http://schemas.microsoft.com/office/drawing/2014/main" id="{00000000-0008-0000-0300-0000A43D0200}"/>
            </a:ext>
          </a:extLst>
        </xdr:cNvPr>
        <xdr:cNvSpPr/>
      </xdr:nvSpPr>
      <xdr:spPr>
        <a:xfrm>
          <a:off x="5384800" y="2514600"/>
          <a:ext cx="117094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699999" algn="ctr" rotWithShape="0">
            <a:srgbClr val="000000"/>
          </a:outerShdw>
        </a:effec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47</xdr:row>
      <xdr:rowOff>94615</xdr:rowOff>
    </xdr:from>
    <xdr:to>
      <xdr:col>1</xdr:col>
      <xdr:colOff>704850</xdr:colOff>
      <xdr:row>48</xdr:row>
      <xdr:rowOff>50800</xdr:rowOff>
    </xdr:to>
    <xdr:pic>
      <xdr:nvPicPr>
        <xdr:cNvPr id="147675" name="图片 7">
          <a:extLst>
            <a:ext uri="{FF2B5EF4-FFF2-40B4-BE49-F238E27FC236}">
              <a16:creationId xmlns:a16="http://schemas.microsoft.com/office/drawing/2014/main" id="{00000000-0008-0000-0400-0000DB40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8590915"/>
          <a:ext cx="685800" cy="249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428625</xdr:colOff>
      <xdr:row>4</xdr:row>
      <xdr:rowOff>0</xdr:rowOff>
    </xdr:from>
    <xdr:to>
      <xdr:col>8</xdr:col>
      <xdr:colOff>114300</xdr:colOff>
      <xdr:row>5</xdr:row>
      <xdr:rowOff>19050</xdr:rowOff>
    </xdr:to>
    <xdr:pic>
      <xdr:nvPicPr>
        <xdr:cNvPr id="147676" name="图片 8">
          <a:extLst>
            <a:ext uri="{FF2B5EF4-FFF2-40B4-BE49-F238E27FC236}">
              <a16:creationId xmlns:a16="http://schemas.microsoft.com/office/drawing/2014/main" id="{00000000-0008-0000-0400-0000DC40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7625" y="685800"/>
          <a:ext cx="1714500" cy="200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Y188"/>
  <sheetViews>
    <sheetView showZeros="0" tabSelected="1" view="pageBreakPreview" zoomScale="85" zoomScaleNormal="100" workbookViewId="0">
      <selection activeCell="D78" sqref="D78:F79"/>
    </sheetView>
  </sheetViews>
  <sheetFormatPr defaultColWidth="9" defaultRowHeight="14.25" x14ac:dyDescent="0.15"/>
  <cols>
    <col min="1" max="1" width="6.25" customWidth="1"/>
    <col min="2" max="2" width="7.375" customWidth="1"/>
    <col min="3" max="3" width="6" customWidth="1"/>
    <col min="4" max="4" width="21" customWidth="1"/>
    <col min="5" max="5" width="10.875" customWidth="1"/>
    <col min="6" max="6" width="12.375" customWidth="1"/>
    <col min="7" max="7" width="11" customWidth="1"/>
    <col min="8" max="8" width="6.75" customWidth="1"/>
    <col min="9" max="9" width="7.875" style="21" customWidth="1"/>
    <col min="10" max="10" width="7.125" customWidth="1"/>
    <col min="11" max="11" width="7.625" customWidth="1"/>
    <col min="12" max="12" width="9.375" customWidth="1"/>
    <col min="13" max="13" width="5.25" customWidth="1"/>
    <col min="14" max="14" width="5.125" customWidth="1"/>
    <col min="15" max="15" width="7.25" customWidth="1"/>
    <col min="16" max="16" width="4.125" customWidth="1"/>
    <col min="17" max="17" width="6.25" customWidth="1"/>
    <col min="18" max="18" width="7.625" customWidth="1"/>
    <col min="19" max="19" width="8.5" customWidth="1"/>
    <col min="20" max="20" width="8.25" customWidth="1"/>
    <col min="21" max="21" width="7.75" customWidth="1"/>
    <col min="22" max="22" width="6.875" customWidth="1"/>
  </cols>
  <sheetData>
    <row r="1" spans="1:28" ht="33" customHeight="1" x14ac:dyDescent="0.15">
      <c r="A1" s="185" t="s">
        <v>0</v>
      </c>
      <c r="B1" s="185"/>
      <c r="C1" s="185"/>
      <c r="D1" s="185"/>
      <c r="E1" s="185"/>
      <c r="F1" s="185"/>
      <c r="G1" s="185"/>
      <c r="H1" s="185"/>
      <c r="I1" s="186"/>
      <c r="J1" s="185"/>
      <c r="K1" s="185"/>
      <c r="L1" s="185"/>
      <c r="M1" s="185"/>
      <c r="N1" s="185"/>
      <c r="O1" s="185"/>
      <c r="P1" s="185"/>
      <c r="Q1" s="185"/>
      <c r="R1" s="185"/>
      <c r="S1" s="185"/>
    </row>
    <row r="2" spans="1:28" s="25" customFormat="1" ht="12" x14ac:dyDescent="0.15">
      <c r="A2" s="187" t="s">
        <v>1</v>
      </c>
      <c r="B2" s="187"/>
      <c r="C2" s="188"/>
      <c r="D2" s="188"/>
      <c r="E2" s="188"/>
      <c r="F2" s="132" t="s">
        <v>2</v>
      </c>
      <c r="G2" s="188"/>
      <c r="H2" s="188"/>
      <c r="I2" s="132" t="s">
        <v>3</v>
      </c>
      <c r="J2" s="189"/>
      <c r="K2" s="189"/>
      <c r="L2" s="189"/>
      <c r="M2" s="189"/>
      <c r="N2" s="189"/>
      <c r="O2" s="133"/>
      <c r="P2" s="133"/>
      <c r="Q2" s="133"/>
      <c r="R2" s="133"/>
      <c r="S2" s="133"/>
    </row>
    <row r="3" spans="1:28" s="25" customFormat="1" ht="12" x14ac:dyDescent="0.15">
      <c r="A3" s="190" t="s">
        <v>4</v>
      </c>
      <c r="B3" s="191"/>
      <c r="C3" s="192"/>
      <c r="D3" s="193"/>
      <c r="E3" s="134" t="s">
        <v>5</v>
      </c>
      <c r="F3" s="135" t="s">
        <v>6</v>
      </c>
      <c r="G3" s="134" t="s">
        <v>7</v>
      </c>
      <c r="H3" s="191"/>
      <c r="I3" s="194"/>
      <c r="J3" s="195"/>
      <c r="K3" s="134" t="s">
        <v>8</v>
      </c>
      <c r="L3" s="191"/>
      <c r="M3" s="191"/>
      <c r="N3" s="195"/>
      <c r="O3" s="134" t="s">
        <v>9</v>
      </c>
      <c r="P3" s="191"/>
      <c r="Q3" s="191"/>
      <c r="R3" s="191"/>
      <c r="S3" s="196"/>
      <c r="U3" s="136"/>
      <c r="V3" s="137"/>
      <c r="W3" s="138"/>
      <c r="X3" s="137"/>
      <c r="Y3" s="138"/>
      <c r="Z3" s="138"/>
      <c r="AA3" s="139"/>
    </row>
    <row r="4" spans="1:28" x14ac:dyDescent="0.15">
      <c r="A4" s="197" t="s">
        <v>10</v>
      </c>
      <c r="B4" s="198"/>
      <c r="C4" s="198"/>
      <c r="D4" s="199"/>
      <c r="E4" s="200"/>
      <c r="F4" s="201"/>
      <c r="G4" s="200"/>
      <c r="H4" s="202"/>
      <c r="I4" s="203"/>
      <c r="J4" s="140"/>
      <c r="K4" s="204"/>
      <c r="L4" s="202"/>
      <c r="M4" s="202"/>
      <c r="N4" s="201"/>
      <c r="O4" s="200"/>
      <c r="P4" s="202"/>
      <c r="Q4" s="202"/>
      <c r="R4" s="202"/>
      <c r="S4" s="205"/>
      <c r="U4" s="141"/>
      <c r="V4" s="142"/>
      <c r="W4" s="143"/>
      <c r="X4" s="144"/>
      <c r="Y4" s="144"/>
      <c r="Z4" s="144"/>
      <c r="AA4" s="145"/>
    </row>
    <row r="5" spans="1:28" s="25" customFormat="1" ht="12" x14ac:dyDescent="0.15">
      <c r="A5" s="206" t="s">
        <v>11</v>
      </c>
      <c r="B5" s="207"/>
      <c r="C5" s="146"/>
      <c r="D5" s="147"/>
      <c r="E5" s="148" t="s">
        <v>12</v>
      </c>
      <c r="F5" s="149" t="s">
        <v>6</v>
      </c>
      <c r="G5" s="208" t="s">
        <v>13</v>
      </c>
      <c r="H5" s="207"/>
      <c r="I5" s="209"/>
      <c r="J5" s="210"/>
      <c r="K5" s="148" t="s">
        <v>14</v>
      </c>
      <c r="L5" s="207"/>
      <c r="M5" s="207"/>
      <c r="N5" s="210"/>
      <c r="O5" s="208"/>
      <c r="P5" s="207"/>
      <c r="Q5" s="207"/>
      <c r="R5" s="207"/>
      <c r="S5" s="211"/>
      <c r="U5" s="150"/>
      <c r="V5" s="151"/>
      <c r="W5" s="152"/>
      <c r="X5" s="152"/>
      <c r="Y5" s="152"/>
      <c r="Z5" s="152"/>
      <c r="AA5" s="145"/>
    </row>
    <row r="6" spans="1:28" x14ac:dyDescent="0.15">
      <c r="A6" s="212" t="s">
        <v>15</v>
      </c>
      <c r="B6" s="198"/>
      <c r="C6" s="198"/>
      <c r="D6" s="199"/>
      <c r="E6" s="200"/>
      <c r="F6" s="201"/>
      <c r="G6" s="200"/>
      <c r="H6" s="202"/>
      <c r="I6" s="203"/>
      <c r="J6" s="201"/>
      <c r="K6" s="200"/>
      <c r="L6" s="202"/>
      <c r="M6" s="202"/>
      <c r="N6" s="201"/>
      <c r="O6" s="213"/>
      <c r="P6" s="214"/>
      <c r="Q6" s="214"/>
      <c r="R6" s="214"/>
      <c r="S6" s="215"/>
      <c r="U6" s="150"/>
      <c r="V6" s="151"/>
      <c r="W6" s="152"/>
      <c r="X6" s="152"/>
      <c r="Y6" s="152"/>
      <c r="Z6" s="152"/>
      <c r="AA6" s="145"/>
    </row>
    <row r="7" spans="1:28" s="25" customFormat="1" ht="12" x14ac:dyDescent="0.15">
      <c r="A7" s="206" t="s">
        <v>16</v>
      </c>
      <c r="B7" s="207"/>
      <c r="C7" s="192"/>
      <c r="D7" s="193"/>
      <c r="E7" s="148" t="s">
        <v>17</v>
      </c>
      <c r="F7" s="149" t="s">
        <v>6</v>
      </c>
      <c r="G7" s="148" t="s">
        <v>18</v>
      </c>
      <c r="H7" s="207" t="s">
        <v>6</v>
      </c>
      <c r="I7" s="209"/>
      <c r="J7" s="210"/>
      <c r="K7" s="148" t="s">
        <v>19</v>
      </c>
      <c r="L7" s="207"/>
      <c r="M7" s="207"/>
      <c r="N7" s="210"/>
      <c r="O7" s="148"/>
      <c r="P7" s="207"/>
      <c r="Q7" s="207"/>
      <c r="R7" s="207"/>
      <c r="S7" s="211"/>
      <c r="U7" s="141"/>
      <c r="V7" s="143"/>
      <c r="W7" s="144"/>
      <c r="X7" s="144"/>
      <c r="Y7" s="143"/>
      <c r="Z7" s="152"/>
      <c r="AA7" s="145"/>
    </row>
    <row r="8" spans="1:28" x14ac:dyDescent="0.15">
      <c r="A8" s="197" t="s">
        <v>10</v>
      </c>
      <c r="B8" s="198"/>
      <c r="C8" s="198"/>
      <c r="D8" s="199"/>
      <c r="E8" s="216">
        <v>9810</v>
      </c>
      <c r="F8" s="199"/>
      <c r="G8" s="216" t="s">
        <v>20</v>
      </c>
      <c r="H8" s="198"/>
      <c r="I8" s="217"/>
      <c r="J8" s="140"/>
      <c r="K8" s="200"/>
      <c r="L8" s="202"/>
      <c r="M8" s="202"/>
      <c r="N8" s="201"/>
      <c r="O8" s="213"/>
      <c r="P8" s="214"/>
      <c r="Q8" s="214"/>
      <c r="R8" s="214"/>
      <c r="S8" s="215"/>
      <c r="U8" s="150"/>
      <c r="V8" s="151"/>
      <c r="W8" s="152"/>
      <c r="X8" s="152"/>
      <c r="Y8" s="152"/>
      <c r="Z8" s="152"/>
      <c r="AA8" s="145"/>
    </row>
    <row r="9" spans="1:28" s="25" customFormat="1" ht="12" x14ac:dyDescent="0.15">
      <c r="A9" s="206" t="s">
        <v>21</v>
      </c>
      <c r="B9" s="207"/>
      <c r="C9" s="207"/>
      <c r="D9" s="210"/>
      <c r="E9" s="148" t="s">
        <v>22</v>
      </c>
      <c r="F9" s="149" t="s">
        <v>6</v>
      </c>
      <c r="G9" s="148" t="s">
        <v>23</v>
      </c>
      <c r="H9" s="207" t="s">
        <v>6</v>
      </c>
      <c r="I9" s="209"/>
      <c r="J9" s="207"/>
      <c r="K9" s="148" t="s">
        <v>24</v>
      </c>
      <c r="L9" s="207" t="s">
        <v>6</v>
      </c>
      <c r="M9" s="207"/>
      <c r="N9" s="210"/>
      <c r="O9" s="148" t="s">
        <v>25</v>
      </c>
      <c r="P9" s="207" t="s">
        <v>6</v>
      </c>
      <c r="Q9" s="207"/>
      <c r="R9" s="207"/>
      <c r="S9" s="211"/>
      <c r="U9" s="141"/>
      <c r="V9" s="143"/>
      <c r="W9" s="144"/>
      <c r="X9" s="144"/>
      <c r="Y9" s="144"/>
      <c r="Z9" s="152"/>
      <c r="AA9" s="145"/>
    </row>
    <row r="10" spans="1:28" x14ac:dyDescent="0.15">
      <c r="A10" s="197" t="s">
        <v>225</v>
      </c>
      <c r="B10" s="198"/>
      <c r="C10" s="198"/>
      <c r="D10" s="199"/>
      <c r="E10" s="218" t="s">
        <v>26</v>
      </c>
      <c r="F10" s="199"/>
      <c r="G10" s="219" t="str">
        <f>E10</f>
        <v>美国</v>
      </c>
      <c r="H10" s="202"/>
      <c r="I10" s="202"/>
      <c r="J10" s="202"/>
      <c r="K10" s="218" t="str">
        <f>E10</f>
        <v>美国</v>
      </c>
      <c r="L10" s="202"/>
      <c r="M10" s="202"/>
      <c r="N10" s="201"/>
      <c r="O10" s="200"/>
      <c r="P10" s="202"/>
      <c r="Q10" s="202"/>
      <c r="R10" s="202"/>
      <c r="S10" s="205"/>
      <c r="U10" s="150"/>
      <c r="V10" s="151"/>
      <c r="W10" s="152"/>
      <c r="X10" s="152"/>
      <c r="Y10" s="151"/>
      <c r="Z10" s="152"/>
      <c r="AA10" s="145"/>
    </row>
    <row r="11" spans="1:28" s="25" customFormat="1" ht="12" x14ac:dyDescent="0.15">
      <c r="A11" s="206" t="s">
        <v>27</v>
      </c>
      <c r="B11" s="207"/>
      <c r="C11" s="207" t="s">
        <v>6</v>
      </c>
      <c r="D11" s="210"/>
      <c r="E11" s="153" t="s">
        <v>28</v>
      </c>
      <c r="F11" s="154" t="s">
        <v>29</v>
      </c>
      <c r="G11" s="208" t="s">
        <v>30</v>
      </c>
      <c r="H11" s="210"/>
      <c r="I11" s="155" t="s">
        <v>31</v>
      </c>
      <c r="J11" s="146" t="s">
        <v>32</v>
      </c>
      <c r="K11" s="148" t="s">
        <v>33</v>
      </c>
      <c r="L11" s="220"/>
      <c r="M11" s="221"/>
      <c r="N11" s="146" t="s">
        <v>34</v>
      </c>
      <c r="O11" s="207"/>
      <c r="P11" s="210"/>
      <c r="Q11" s="148" t="s">
        <v>35</v>
      </c>
      <c r="R11" s="222"/>
      <c r="S11" s="223"/>
      <c r="U11" s="156"/>
      <c r="V11" s="157"/>
      <c r="W11" s="157"/>
      <c r="X11" s="157"/>
      <c r="Y11" s="157"/>
      <c r="Z11" s="157"/>
      <c r="AA11" s="158"/>
    </row>
    <row r="12" spans="1:28" x14ac:dyDescent="0.15">
      <c r="A12" s="197" t="s">
        <v>36</v>
      </c>
      <c r="B12" s="198"/>
      <c r="C12" s="198"/>
      <c r="D12" s="199"/>
      <c r="E12" s="159">
        <v>5</v>
      </c>
      <c r="F12" s="364">
        <v>26.38</v>
      </c>
      <c r="G12" s="365">
        <v>25.12</v>
      </c>
      <c r="H12" s="224"/>
      <c r="I12" s="216" t="s">
        <v>37</v>
      </c>
      <c r="J12" s="198"/>
      <c r="K12" s="216"/>
      <c r="L12" s="198"/>
      <c r="M12" s="199"/>
      <c r="N12" s="198"/>
      <c r="O12" s="198"/>
      <c r="P12" s="199"/>
      <c r="Q12" s="216"/>
      <c r="R12" s="198"/>
      <c r="S12" s="225"/>
      <c r="T12" s="226"/>
      <c r="U12" s="226"/>
      <c r="V12" s="226"/>
      <c r="W12" s="227"/>
      <c r="X12" s="227"/>
      <c r="Y12" s="227"/>
      <c r="Z12" s="227"/>
      <c r="AA12" s="227"/>
      <c r="AB12" s="227"/>
    </row>
    <row r="13" spans="1:28" s="25" customFormat="1" ht="12" x14ac:dyDescent="0.15">
      <c r="A13" s="160" t="s">
        <v>38</v>
      </c>
      <c r="B13" s="40"/>
      <c r="C13" s="228"/>
      <c r="D13" s="228"/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O13" s="228"/>
      <c r="P13" s="228"/>
      <c r="Q13" s="228"/>
      <c r="R13" s="228"/>
      <c r="S13" s="229"/>
      <c r="T13" s="226"/>
      <c r="U13" s="226"/>
      <c r="V13" s="226"/>
      <c r="W13" s="227"/>
      <c r="X13" s="227"/>
      <c r="Y13" s="227"/>
      <c r="Z13" s="227"/>
      <c r="AA13" s="227"/>
      <c r="AB13" s="227"/>
    </row>
    <row r="14" spans="1:28" s="25" customFormat="1" ht="12" x14ac:dyDescent="0.15">
      <c r="A14" s="230"/>
      <c r="B14" s="231"/>
      <c r="C14" s="231"/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3"/>
      <c r="T14" s="226"/>
      <c r="U14" s="226"/>
      <c r="V14" s="226"/>
      <c r="W14" s="227"/>
      <c r="X14" s="227"/>
      <c r="Y14" s="227"/>
      <c r="Z14" s="227"/>
      <c r="AA14" s="227"/>
      <c r="AB14" s="227"/>
    </row>
    <row r="15" spans="1:28" s="25" customFormat="1" ht="13.5" x14ac:dyDescent="0.15">
      <c r="A15" s="161" t="s">
        <v>39</v>
      </c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5"/>
      <c r="T15" s="226"/>
      <c r="U15" s="226"/>
      <c r="V15" s="226"/>
      <c r="W15" s="236"/>
      <c r="X15" s="236"/>
      <c r="Y15" s="236"/>
      <c r="Z15" s="236"/>
      <c r="AA15" s="236"/>
      <c r="AB15" s="236"/>
    </row>
    <row r="16" spans="1:28" x14ac:dyDescent="0.15">
      <c r="A16" s="161" t="s">
        <v>40</v>
      </c>
      <c r="B16" s="237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8"/>
      <c r="T16" s="226"/>
      <c r="U16" s="226"/>
      <c r="V16" s="226"/>
      <c r="W16" s="236"/>
      <c r="X16" s="236"/>
      <c r="Y16" s="236"/>
      <c r="Z16" s="236"/>
      <c r="AA16" s="236"/>
      <c r="AB16" s="236"/>
    </row>
    <row r="17" spans="1:29" x14ac:dyDescent="0.15">
      <c r="A17" s="239"/>
      <c r="B17" s="240"/>
      <c r="C17" s="240"/>
      <c r="D17" s="240"/>
      <c r="E17" s="240"/>
      <c r="F17" s="240"/>
      <c r="G17" s="240"/>
      <c r="H17" s="240"/>
      <c r="I17" s="240"/>
      <c r="J17" s="240"/>
      <c r="K17" s="240"/>
      <c r="L17" s="241" t="s">
        <v>41</v>
      </c>
      <c r="M17" s="241"/>
      <c r="N17" s="241"/>
      <c r="O17" s="234"/>
      <c r="P17" s="234"/>
      <c r="Q17" s="234"/>
      <c r="R17" s="234"/>
      <c r="S17" s="235"/>
      <c r="T17" s="162" t="s">
        <v>42</v>
      </c>
      <c r="U17" s="163"/>
      <c r="V17" s="164"/>
      <c r="W17" s="227"/>
      <c r="X17" s="227"/>
      <c r="Y17" s="227"/>
      <c r="Z17" s="227"/>
      <c r="AA17" s="227"/>
      <c r="AB17" s="227"/>
      <c r="AC17" s="227"/>
    </row>
    <row r="18" spans="1:29" s="27" customFormat="1" ht="13.5" x14ac:dyDescent="0.15">
      <c r="A18" s="165" t="s">
        <v>43</v>
      </c>
      <c r="B18" s="166"/>
      <c r="C18" s="167"/>
      <c r="D18" s="168" t="s">
        <v>44</v>
      </c>
      <c r="E18" s="167"/>
      <c r="F18" s="242" t="s">
        <v>45</v>
      </c>
      <c r="G18" s="242"/>
      <c r="H18" s="167"/>
      <c r="I18" s="243" t="s">
        <v>46</v>
      </c>
      <c r="J18" s="242"/>
      <c r="K18" s="169" t="s">
        <v>47</v>
      </c>
      <c r="L18" s="244" t="s">
        <v>48</v>
      </c>
      <c r="M18" s="244"/>
      <c r="N18" s="244"/>
      <c r="O18" s="244"/>
      <c r="P18" s="244"/>
      <c r="Q18" s="244"/>
      <c r="R18" s="244"/>
      <c r="S18" s="245"/>
      <c r="T18" s="170">
        <f>SUM(T20:T489)</f>
        <v>0</v>
      </c>
      <c r="U18" s="171">
        <f>SUM(U20:U489)</f>
        <v>0</v>
      </c>
      <c r="V18" s="171">
        <f>SUM(V20:V489)</f>
        <v>0</v>
      </c>
    </row>
    <row r="19" spans="1:29" s="25" customFormat="1" ht="12" x14ac:dyDescent="0.15">
      <c r="A19" s="172" t="s">
        <v>49</v>
      </c>
      <c r="B19" s="246" t="s">
        <v>50</v>
      </c>
      <c r="C19" s="246"/>
      <c r="D19" s="246" t="s">
        <v>51</v>
      </c>
      <c r="E19" s="246"/>
      <c r="F19" s="246"/>
      <c r="G19" s="246" t="s">
        <v>52</v>
      </c>
      <c r="H19" s="246"/>
      <c r="I19" s="246" t="s">
        <v>53</v>
      </c>
      <c r="J19" s="246"/>
      <c r="K19" s="246" t="s">
        <v>54</v>
      </c>
      <c r="L19" s="246"/>
      <c r="M19" s="246" t="s">
        <v>55</v>
      </c>
      <c r="N19" s="246"/>
      <c r="O19" s="246"/>
      <c r="P19" s="246" t="s">
        <v>56</v>
      </c>
      <c r="Q19" s="246"/>
      <c r="R19" s="246"/>
      <c r="S19" s="173" t="s">
        <v>57</v>
      </c>
      <c r="T19" s="174" t="s">
        <v>58</v>
      </c>
      <c r="U19" s="175" t="s">
        <v>59</v>
      </c>
      <c r="V19" s="175" t="s">
        <v>28</v>
      </c>
    </row>
    <row r="20" spans="1:29" x14ac:dyDescent="0.15">
      <c r="A20" s="176">
        <v>1</v>
      </c>
      <c r="B20" s="247">
        <v>9503008900</v>
      </c>
      <c r="C20" s="247"/>
      <c r="D20" s="247" t="s">
        <v>226</v>
      </c>
      <c r="E20" s="247"/>
      <c r="F20" s="247"/>
      <c r="G20" s="177">
        <v>67</v>
      </c>
      <c r="H20" s="177" t="s">
        <v>227</v>
      </c>
      <c r="I20" s="366">
        <v>2</v>
      </c>
      <c r="J20" s="248"/>
      <c r="K20" s="249" t="s">
        <v>228</v>
      </c>
      <c r="L20" s="249"/>
      <c r="M20" s="247" t="s">
        <v>26</v>
      </c>
      <c r="N20" s="247"/>
      <c r="O20" s="369"/>
      <c r="P20" s="247" t="s">
        <v>229</v>
      </c>
      <c r="Q20" s="247"/>
      <c r="R20" s="369"/>
      <c r="S20" s="178" t="s">
        <v>230</v>
      </c>
      <c r="T20" s="257"/>
      <c r="U20" s="259"/>
      <c r="V20" s="259"/>
    </row>
    <row r="21" spans="1:29" x14ac:dyDescent="0.15">
      <c r="A21" s="125"/>
      <c r="B21" s="250"/>
      <c r="C21" s="250"/>
      <c r="D21" s="261" t="s">
        <v>231</v>
      </c>
      <c r="E21" s="261"/>
      <c r="F21" s="261"/>
      <c r="G21" s="177">
        <v>67</v>
      </c>
      <c r="H21" s="177" t="s">
        <v>232</v>
      </c>
      <c r="I21" s="367">
        <v>134</v>
      </c>
      <c r="J21" s="249"/>
      <c r="K21" s="179"/>
      <c r="L21" s="179"/>
      <c r="M21" s="179"/>
      <c r="N21" s="179"/>
      <c r="O21" s="370"/>
      <c r="P21" s="179"/>
      <c r="Q21" s="179"/>
      <c r="R21" s="370"/>
      <c r="S21" s="180"/>
      <c r="T21" s="257"/>
      <c r="U21" s="259"/>
      <c r="V21" s="259"/>
    </row>
    <row r="22" spans="1:29" x14ac:dyDescent="0.15">
      <c r="A22" s="181"/>
      <c r="B22" s="214"/>
      <c r="C22" s="214"/>
      <c r="D22" s="262"/>
      <c r="E22" s="262"/>
      <c r="F22" s="262"/>
      <c r="G22" s="182">
        <v>4</v>
      </c>
      <c r="H22" s="182" t="s">
        <v>233</v>
      </c>
      <c r="I22" s="368" t="s">
        <v>234</v>
      </c>
      <c r="J22" s="252"/>
      <c r="K22" s="183" t="s">
        <v>28</v>
      </c>
      <c r="L22" s="183">
        <v>4</v>
      </c>
      <c r="M22" s="253" t="s">
        <v>235</v>
      </c>
      <c r="N22" s="253"/>
      <c r="O22" s="371"/>
      <c r="P22" s="253" t="s">
        <v>236</v>
      </c>
      <c r="Q22" s="253"/>
      <c r="R22" s="371"/>
      <c r="S22" s="140"/>
      <c r="T22" s="257"/>
      <c r="U22" s="259"/>
      <c r="V22" s="259"/>
    </row>
    <row r="23" spans="1:29" x14ac:dyDescent="0.15">
      <c r="A23" s="176">
        <v>2</v>
      </c>
      <c r="B23" s="247">
        <v>9503008900</v>
      </c>
      <c r="C23" s="247"/>
      <c r="D23" s="247" t="s">
        <v>237</v>
      </c>
      <c r="E23" s="247"/>
      <c r="F23" s="247"/>
      <c r="G23" s="177">
        <v>56</v>
      </c>
      <c r="H23" s="177" t="s">
        <v>227</v>
      </c>
      <c r="I23" s="366">
        <v>3</v>
      </c>
      <c r="J23" s="248"/>
      <c r="K23" s="249" t="s">
        <v>228</v>
      </c>
      <c r="L23" s="249"/>
      <c r="M23" s="247" t="s">
        <v>26</v>
      </c>
      <c r="N23" s="247"/>
      <c r="O23" s="369"/>
      <c r="P23" s="247" t="s">
        <v>229</v>
      </c>
      <c r="Q23" s="247"/>
      <c r="R23" s="369"/>
      <c r="S23" s="178" t="s">
        <v>230</v>
      </c>
      <c r="T23" s="257"/>
      <c r="U23" s="259"/>
      <c r="V23" s="259"/>
    </row>
    <row r="24" spans="1:29" x14ac:dyDescent="0.15">
      <c r="A24" s="125"/>
      <c r="B24" s="250"/>
      <c r="C24" s="250"/>
      <c r="D24" s="261" t="s">
        <v>231</v>
      </c>
      <c r="E24" s="261"/>
      <c r="F24" s="261"/>
      <c r="G24" s="177">
        <v>56</v>
      </c>
      <c r="H24" s="177" t="s">
        <v>232</v>
      </c>
      <c r="I24" s="367">
        <v>168</v>
      </c>
      <c r="J24" s="249"/>
      <c r="K24" s="179"/>
      <c r="L24" s="179"/>
      <c r="M24" s="179"/>
      <c r="N24" s="179"/>
      <c r="O24" s="370"/>
      <c r="P24" s="179"/>
      <c r="Q24" s="179"/>
      <c r="R24" s="370"/>
      <c r="S24" s="180"/>
      <c r="T24" s="257"/>
      <c r="U24" s="259"/>
      <c r="V24" s="259"/>
    </row>
    <row r="25" spans="1:29" x14ac:dyDescent="0.15">
      <c r="A25" s="181"/>
      <c r="B25" s="214"/>
      <c r="C25" s="214"/>
      <c r="D25" s="262"/>
      <c r="E25" s="262"/>
      <c r="F25" s="262"/>
      <c r="G25" s="177">
        <v>4</v>
      </c>
      <c r="H25" s="177" t="s">
        <v>233</v>
      </c>
      <c r="I25" s="368" t="s">
        <v>234</v>
      </c>
      <c r="J25" s="252"/>
      <c r="K25" s="183" t="s">
        <v>28</v>
      </c>
      <c r="L25" s="183">
        <v>4</v>
      </c>
      <c r="M25" s="253" t="s">
        <v>235</v>
      </c>
      <c r="N25" s="253"/>
      <c r="O25" s="371"/>
      <c r="P25" s="253" t="s">
        <v>236</v>
      </c>
      <c r="Q25" s="253"/>
      <c r="R25" s="371"/>
      <c r="S25" s="140"/>
      <c r="T25" s="257"/>
      <c r="U25" s="259"/>
      <c r="V25" s="259"/>
    </row>
    <row r="26" spans="1:29" x14ac:dyDescent="0.15">
      <c r="A26" s="176">
        <v>3</v>
      </c>
      <c r="B26" s="250">
        <v>9503008900</v>
      </c>
      <c r="C26" s="250"/>
      <c r="D26" s="247" t="s">
        <v>238</v>
      </c>
      <c r="E26" s="247"/>
      <c r="F26" s="247"/>
      <c r="G26" s="184">
        <v>7</v>
      </c>
      <c r="H26" s="184" t="s">
        <v>227</v>
      </c>
      <c r="I26" s="366">
        <v>3</v>
      </c>
      <c r="J26" s="247"/>
      <c r="K26" s="249" t="s">
        <v>228</v>
      </c>
      <c r="L26" s="249"/>
      <c r="M26" s="247" t="s">
        <v>26</v>
      </c>
      <c r="N26" s="247"/>
      <c r="O26" s="369"/>
      <c r="P26" s="247" t="s">
        <v>229</v>
      </c>
      <c r="Q26" s="247"/>
      <c r="R26" s="369"/>
      <c r="S26" s="178" t="s">
        <v>230</v>
      </c>
      <c r="T26" s="257"/>
      <c r="U26" s="259"/>
      <c r="V26" s="259"/>
    </row>
    <row r="27" spans="1:29" x14ac:dyDescent="0.15">
      <c r="A27" s="125"/>
      <c r="B27" s="250"/>
      <c r="C27" s="250"/>
      <c r="D27" s="261" t="s">
        <v>231</v>
      </c>
      <c r="E27" s="261"/>
      <c r="F27" s="261"/>
      <c r="G27" s="177">
        <v>7</v>
      </c>
      <c r="H27" s="177" t="s">
        <v>232</v>
      </c>
      <c r="I27" s="367">
        <v>21</v>
      </c>
      <c r="J27" s="249"/>
      <c r="K27" s="179"/>
      <c r="L27" s="179"/>
      <c r="M27" s="179"/>
      <c r="N27" s="179"/>
      <c r="O27" s="370"/>
      <c r="P27" s="179"/>
      <c r="Q27" s="179"/>
      <c r="R27" s="370"/>
      <c r="S27" s="180"/>
      <c r="T27" s="257"/>
      <c r="U27" s="259"/>
      <c r="V27" s="259"/>
    </row>
    <row r="28" spans="1:29" x14ac:dyDescent="0.15">
      <c r="A28" s="181"/>
      <c r="B28" s="214"/>
      <c r="C28" s="214"/>
      <c r="D28" s="262"/>
      <c r="E28" s="262"/>
      <c r="F28" s="262"/>
      <c r="G28" s="177">
        <v>1</v>
      </c>
      <c r="H28" s="177" t="s">
        <v>233</v>
      </c>
      <c r="I28" s="368" t="s">
        <v>234</v>
      </c>
      <c r="J28" s="252"/>
      <c r="K28" s="183" t="s">
        <v>28</v>
      </c>
      <c r="L28" s="183">
        <v>1</v>
      </c>
      <c r="M28" s="253" t="s">
        <v>235</v>
      </c>
      <c r="N28" s="253"/>
      <c r="O28" s="371"/>
      <c r="P28" s="253" t="s">
        <v>236</v>
      </c>
      <c r="Q28" s="253"/>
      <c r="R28" s="371"/>
      <c r="S28" s="140"/>
      <c r="T28" s="257"/>
      <c r="U28" s="259"/>
      <c r="V28" s="259"/>
    </row>
    <row r="29" spans="1:29" x14ac:dyDescent="0.15">
      <c r="A29" s="176">
        <v>4</v>
      </c>
      <c r="B29" s="247">
        <v>9503008900</v>
      </c>
      <c r="C29" s="247"/>
      <c r="D29" s="247" t="s">
        <v>239</v>
      </c>
      <c r="E29" s="247"/>
      <c r="F29" s="247"/>
      <c r="G29" s="184">
        <v>2</v>
      </c>
      <c r="H29" s="184" t="s">
        <v>227</v>
      </c>
      <c r="I29" s="366">
        <v>6</v>
      </c>
      <c r="J29" s="247"/>
      <c r="K29" s="249" t="s">
        <v>228</v>
      </c>
      <c r="L29" s="249"/>
      <c r="M29" s="247" t="s">
        <v>26</v>
      </c>
      <c r="N29" s="247"/>
      <c r="O29" s="369"/>
      <c r="P29" s="247" t="s">
        <v>229</v>
      </c>
      <c r="Q29" s="247"/>
      <c r="R29" s="369"/>
      <c r="S29" s="178" t="s">
        <v>230</v>
      </c>
      <c r="T29" s="257"/>
      <c r="U29" s="259"/>
      <c r="V29" s="259"/>
    </row>
    <row r="30" spans="1:29" x14ac:dyDescent="0.15">
      <c r="A30" s="125"/>
      <c r="B30" s="250"/>
      <c r="C30" s="250"/>
      <c r="D30" s="261" t="s">
        <v>231</v>
      </c>
      <c r="E30" s="261"/>
      <c r="F30" s="261"/>
      <c r="G30" s="177">
        <v>2</v>
      </c>
      <c r="H30" s="177" t="s">
        <v>232</v>
      </c>
      <c r="I30" s="367">
        <v>12</v>
      </c>
      <c r="J30" s="249"/>
      <c r="K30" s="179"/>
      <c r="L30" s="179"/>
      <c r="M30" s="179"/>
      <c r="N30" s="179"/>
      <c r="O30" s="370"/>
      <c r="P30" s="179"/>
      <c r="Q30" s="179"/>
      <c r="R30" s="370"/>
      <c r="S30" s="180"/>
      <c r="T30" s="257"/>
      <c r="U30" s="259"/>
      <c r="V30" s="259"/>
    </row>
    <row r="31" spans="1:29" x14ac:dyDescent="0.15">
      <c r="A31" s="181"/>
      <c r="B31" s="214"/>
      <c r="C31" s="214"/>
      <c r="D31" s="262"/>
      <c r="E31" s="262"/>
      <c r="F31" s="262"/>
      <c r="G31" s="177">
        <v>1</v>
      </c>
      <c r="H31" s="177" t="s">
        <v>233</v>
      </c>
      <c r="I31" s="368" t="s">
        <v>234</v>
      </c>
      <c r="J31" s="252"/>
      <c r="K31" s="183" t="s">
        <v>28</v>
      </c>
      <c r="L31" s="183">
        <v>1</v>
      </c>
      <c r="M31" s="253" t="s">
        <v>235</v>
      </c>
      <c r="N31" s="253"/>
      <c r="O31" s="371"/>
      <c r="P31" s="253" t="s">
        <v>236</v>
      </c>
      <c r="Q31" s="253"/>
      <c r="R31" s="371"/>
      <c r="S31" s="140"/>
      <c r="T31" s="257"/>
      <c r="U31" s="259"/>
      <c r="V31" s="259"/>
    </row>
    <row r="32" spans="1:29" x14ac:dyDescent="0.15">
      <c r="A32" s="176">
        <v>5</v>
      </c>
      <c r="B32" s="247">
        <v>8452101000</v>
      </c>
      <c r="C32" s="247"/>
      <c r="D32" s="247" t="s">
        <v>240</v>
      </c>
      <c r="E32" s="247"/>
      <c r="F32" s="247"/>
      <c r="G32" s="184">
        <v>2</v>
      </c>
      <c r="H32" s="184" t="s">
        <v>227</v>
      </c>
      <c r="I32" s="366">
        <v>6</v>
      </c>
      <c r="J32" s="247"/>
      <c r="K32" s="249" t="s">
        <v>228</v>
      </c>
      <c r="L32" s="249"/>
      <c r="M32" s="247" t="s">
        <v>26</v>
      </c>
      <c r="N32" s="247"/>
      <c r="O32" s="369"/>
      <c r="P32" s="247" t="s">
        <v>229</v>
      </c>
      <c r="Q32" s="247"/>
      <c r="R32" s="369"/>
      <c r="S32" s="178" t="s">
        <v>230</v>
      </c>
      <c r="T32" s="257"/>
      <c r="U32" s="259"/>
      <c r="V32" s="259"/>
    </row>
    <row r="33" spans="1:22" x14ac:dyDescent="0.15">
      <c r="A33" s="125"/>
      <c r="B33" s="250"/>
      <c r="C33" s="250"/>
      <c r="D33" s="261" t="s">
        <v>241</v>
      </c>
      <c r="E33" s="261"/>
      <c r="F33" s="261"/>
      <c r="G33" s="177">
        <v>2</v>
      </c>
      <c r="H33" s="177" t="s">
        <v>232</v>
      </c>
      <c r="I33" s="367">
        <v>12</v>
      </c>
      <c r="J33" s="249"/>
      <c r="K33" s="179"/>
      <c r="L33" s="179"/>
      <c r="M33" s="179"/>
      <c r="N33" s="179"/>
      <c r="O33" s="370"/>
      <c r="P33" s="179"/>
      <c r="Q33" s="179"/>
      <c r="R33" s="370"/>
      <c r="S33" s="180"/>
      <c r="T33" s="257"/>
      <c r="U33" s="259"/>
      <c r="V33" s="259"/>
    </row>
    <row r="34" spans="1:22" x14ac:dyDescent="0.15">
      <c r="A34" s="181"/>
      <c r="B34" s="214"/>
      <c r="C34" s="214"/>
      <c r="D34" s="262"/>
      <c r="E34" s="262"/>
      <c r="F34" s="262"/>
      <c r="G34" s="177">
        <v>1</v>
      </c>
      <c r="H34" s="177" t="s">
        <v>233</v>
      </c>
      <c r="I34" s="368" t="s">
        <v>234</v>
      </c>
      <c r="J34" s="252"/>
      <c r="K34" s="183" t="s">
        <v>28</v>
      </c>
      <c r="L34" s="183">
        <v>1</v>
      </c>
      <c r="M34" s="253" t="s">
        <v>235</v>
      </c>
      <c r="N34" s="253"/>
      <c r="O34" s="371"/>
      <c r="P34" s="253" t="s">
        <v>236</v>
      </c>
      <c r="Q34" s="253"/>
      <c r="R34" s="371"/>
      <c r="S34" s="140"/>
      <c r="T34" s="257"/>
      <c r="U34" s="259"/>
      <c r="V34" s="259"/>
    </row>
    <row r="35" spans="1:22" x14ac:dyDescent="0.15">
      <c r="A35" s="176">
        <v>6</v>
      </c>
      <c r="B35" s="250">
        <v>3926400000</v>
      </c>
      <c r="C35" s="250"/>
      <c r="D35" s="247" t="s">
        <v>242</v>
      </c>
      <c r="E35" s="247"/>
      <c r="F35" s="247"/>
      <c r="G35" s="184">
        <v>8</v>
      </c>
      <c r="H35" s="184" t="s">
        <v>227</v>
      </c>
      <c r="I35" s="366">
        <v>2</v>
      </c>
      <c r="J35" s="247"/>
      <c r="K35" s="249" t="s">
        <v>228</v>
      </c>
      <c r="L35" s="249"/>
      <c r="M35" s="247" t="s">
        <v>26</v>
      </c>
      <c r="N35" s="247"/>
      <c r="O35" s="369"/>
      <c r="P35" s="247" t="s">
        <v>229</v>
      </c>
      <c r="Q35" s="247"/>
      <c r="R35" s="369"/>
      <c r="S35" s="178" t="s">
        <v>230</v>
      </c>
      <c r="T35" s="257"/>
      <c r="U35" s="259"/>
      <c r="V35" s="259"/>
    </row>
    <row r="36" spans="1:22" x14ac:dyDescent="0.15">
      <c r="A36" s="125"/>
      <c r="B36" s="250"/>
      <c r="C36" s="250"/>
      <c r="D36" s="261" t="s">
        <v>243</v>
      </c>
      <c r="E36" s="261"/>
      <c r="F36" s="261"/>
      <c r="G36" s="177">
        <v>8</v>
      </c>
      <c r="H36" s="177" t="s">
        <v>232</v>
      </c>
      <c r="I36" s="367">
        <v>16</v>
      </c>
      <c r="J36" s="249"/>
      <c r="K36" s="179"/>
      <c r="L36" s="179"/>
      <c r="M36" s="179"/>
      <c r="N36" s="179"/>
      <c r="O36" s="370"/>
      <c r="P36" s="179"/>
      <c r="Q36" s="179"/>
      <c r="R36" s="370"/>
      <c r="S36" s="180"/>
      <c r="T36" s="257"/>
      <c r="U36" s="259"/>
      <c r="V36" s="259"/>
    </row>
    <row r="37" spans="1:22" x14ac:dyDescent="0.15">
      <c r="A37" s="181"/>
      <c r="B37" s="214"/>
      <c r="C37" s="214"/>
      <c r="D37" s="262"/>
      <c r="E37" s="262"/>
      <c r="F37" s="262"/>
      <c r="G37" s="182">
        <v>1</v>
      </c>
      <c r="H37" s="177" t="s">
        <v>233</v>
      </c>
      <c r="I37" s="368" t="s">
        <v>234</v>
      </c>
      <c r="J37" s="252"/>
      <c r="K37" s="183" t="s">
        <v>28</v>
      </c>
      <c r="L37" s="183">
        <v>1</v>
      </c>
      <c r="M37" s="253" t="s">
        <v>235</v>
      </c>
      <c r="N37" s="253"/>
      <c r="O37" s="371">
        <v>25.12</v>
      </c>
      <c r="P37" s="253" t="s">
        <v>236</v>
      </c>
      <c r="Q37" s="253"/>
      <c r="R37" s="371">
        <v>26.38</v>
      </c>
      <c r="S37" s="140"/>
      <c r="T37" s="257"/>
      <c r="U37" s="259"/>
      <c r="V37" s="259"/>
    </row>
    <row r="38" spans="1:22" x14ac:dyDescent="0.15">
      <c r="A38" s="176">
        <v>7</v>
      </c>
      <c r="B38" s="250">
        <v>9503008900</v>
      </c>
      <c r="C38" s="250"/>
      <c r="D38" s="247" t="s">
        <v>244</v>
      </c>
      <c r="E38" s="247"/>
      <c r="F38" s="247"/>
      <c r="G38" s="177">
        <v>8</v>
      </c>
      <c r="H38" s="184" t="s">
        <v>227</v>
      </c>
      <c r="I38" s="366">
        <v>2</v>
      </c>
      <c r="J38" s="247"/>
      <c r="K38" s="249" t="s">
        <v>228</v>
      </c>
      <c r="L38" s="249"/>
      <c r="M38" s="247" t="s">
        <v>26</v>
      </c>
      <c r="N38" s="247"/>
      <c r="O38" s="369"/>
      <c r="P38" s="247" t="s">
        <v>229</v>
      </c>
      <c r="Q38" s="247"/>
      <c r="R38" s="369"/>
      <c r="S38" s="178" t="s">
        <v>230</v>
      </c>
      <c r="T38" s="257"/>
      <c r="U38" s="259"/>
      <c r="V38" s="259"/>
    </row>
    <row r="39" spans="1:22" x14ac:dyDescent="0.15">
      <c r="A39" s="125"/>
      <c r="B39" s="250"/>
      <c r="C39" s="250"/>
      <c r="D39" s="261" t="s">
        <v>231</v>
      </c>
      <c r="E39" s="261"/>
      <c r="F39" s="261"/>
      <c r="G39" s="177">
        <v>8</v>
      </c>
      <c r="H39" s="177" t="s">
        <v>232</v>
      </c>
      <c r="I39" s="367">
        <v>16</v>
      </c>
      <c r="J39" s="249"/>
      <c r="K39" s="179"/>
      <c r="L39" s="179"/>
      <c r="M39" s="179"/>
      <c r="N39" s="179"/>
      <c r="O39" s="370"/>
      <c r="P39" s="179"/>
      <c r="Q39" s="179"/>
      <c r="R39" s="370"/>
      <c r="S39" s="180"/>
      <c r="T39" s="257"/>
      <c r="U39" s="259"/>
      <c r="V39" s="259"/>
    </row>
    <row r="40" spans="1:22" x14ac:dyDescent="0.15">
      <c r="A40" s="181"/>
      <c r="B40" s="214"/>
      <c r="C40" s="214"/>
      <c r="D40" s="262"/>
      <c r="E40" s="262"/>
      <c r="F40" s="262"/>
      <c r="G40" s="182">
        <v>1</v>
      </c>
      <c r="H40" s="177" t="s">
        <v>233</v>
      </c>
      <c r="I40" s="368" t="s">
        <v>234</v>
      </c>
      <c r="J40" s="252"/>
      <c r="K40" s="183" t="s">
        <v>28</v>
      </c>
      <c r="L40" s="183">
        <v>1</v>
      </c>
      <c r="M40" s="253" t="s">
        <v>235</v>
      </c>
      <c r="N40" s="253"/>
      <c r="O40" s="371"/>
      <c r="P40" s="253" t="s">
        <v>236</v>
      </c>
      <c r="Q40" s="253"/>
      <c r="R40" s="371"/>
      <c r="S40" s="140"/>
      <c r="T40" s="257"/>
      <c r="U40" s="259"/>
      <c r="V40" s="259"/>
    </row>
    <row r="41" spans="1:22" x14ac:dyDescent="0.15">
      <c r="A41" s="176">
        <v>8</v>
      </c>
      <c r="B41" s="250">
        <v>9503008900</v>
      </c>
      <c r="C41" s="250"/>
      <c r="D41" s="247" t="s">
        <v>245</v>
      </c>
      <c r="E41" s="247"/>
      <c r="F41" s="247"/>
      <c r="G41" s="177">
        <v>6</v>
      </c>
      <c r="H41" s="184" t="s">
        <v>227</v>
      </c>
      <c r="I41" s="366">
        <v>9</v>
      </c>
      <c r="J41" s="247"/>
      <c r="K41" s="249" t="s">
        <v>228</v>
      </c>
      <c r="L41" s="249"/>
      <c r="M41" s="247" t="s">
        <v>26</v>
      </c>
      <c r="N41" s="247"/>
      <c r="O41" s="369"/>
      <c r="P41" s="247" t="s">
        <v>229</v>
      </c>
      <c r="Q41" s="247"/>
      <c r="R41" s="369"/>
      <c r="S41" s="178" t="s">
        <v>230</v>
      </c>
      <c r="T41" s="257"/>
      <c r="U41" s="259"/>
      <c r="V41" s="259"/>
    </row>
    <row r="42" spans="1:22" x14ac:dyDescent="0.15">
      <c r="A42" s="125"/>
      <c r="B42" s="250"/>
      <c r="C42" s="250"/>
      <c r="D42" s="261" t="s">
        <v>231</v>
      </c>
      <c r="E42" s="261"/>
      <c r="F42" s="261"/>
      <c r="G42" s="177">
        <v>6</v>
      </c>
      <c r="H42" s="177" t="s">
        <v>232</v>
      </c>
      <c r="I42" s="367">
        <v>54</v>
      </c>
      <c r="J42" s="249"/>
      <c r="K42" s="179"/>
      <c r="L42" s="179"/>
      <c r="M42" s="179"/>
      <c r="N42" s="179"/>
      <c r="O42" s="370"/>
      <c r="P42" s="179"/>
      <c r="Q42" s="179"/>
      <c r="R42" s="370"/>
      <c r="S42" s="180"/>
      <c r="T42" s="257"/>
      <c r="U42" s="259"/>
      <c r="V42" s="259"/>
    </row>
    <row r="43" spans="1:22" x14ac:dyDescent="0.15">
      <c r="A43" s="181"/>
      <c r="B43" s="214"/>
      <c r="C43" s="214"/>
      <c r="D43" s="262"/>
      <c r="E43" s="262"/>
      <c r="F43" s="262"/>
      <c r="G43" s="182">
        <v>1</v>
      </c>
      <c r="H43" s="177" t="s">
        <v>233</v>
      </c>
      <c r="I43" s="368" t="s">
        <v>234</v>
      </c>
      <c r="J43" s="252"/>
      <c r="K43" s="183" t="s">
        <v>28</v>
      </c>
      <c r="L43" s="183">
        <v>1</v>
      </c>
      <c r="M43" s="253" t="s">
        <v>235</v>
      </c>
      <c r="N43" s="253"/>
      <c r="O43" s="371"/>
      <c r="P43" s="253" t="s">
        <v>236</v>
      </c>
      <c r="Q43" s="253"/>
      <c r="R43" s="371"/>
      <c r="S43" s="140"/>
      <c r="T43" s="257"/>
      <c r="U43" s="259"/>
      <c r="V43" s="259"/>
    </row>
    <row r="44" spans="1:22" x14ac:dyDescent="0.15">
      <c r="A44" s="176">
        <v>9</v>
      </c>
      <c r="B44" s="250">
        <v>9503008900</v>
      </c>
      <c r="C44" s="250"/>
      <c r="D44" s="247" t="s">
        <v>246</v>
      </c>
      <c r="E44" s="247"/>
      <c r="F44" s="247"/>
      <c r="G44" s="177">
        <v>14</v>
      </c>
      <c r="H44" s="184" t="s">
        <v>227</v>
      </c>
      <c r="I44" s="366">
        <v>3</v>
      </c>
      <c r="J44" s="247"/>
      <c r="K44" s="249" t="s">
        <v>228</v>
      </c>
      <c r="L44" s="249"/>
      <c r="M44" s="247" t="s">
        <v>26</v>
      </c>
      <c r="N44" s="247"/>
      <c r="O44" s="369"/>
      <c r="P44" s="247" t="s">
        <v>229</v>
      </c>
      <c r="Q44" s="247"/>
      <c r="R44" s="369"/>
      <c r="S44" s="178" t="s">
        <v>230</v>
      </c>
      <c r="T44" s="257"/>
      <c r="U44" s="259"/>
      <c r="V44" s="259"/>
    </row>
    <row r="45" spans="1:22" x14ac:dyDescent="0.15">
      <c r="A45" s="125"/>
      <c r="B45" s="250"/>
      <c r="C45" s="250"/>
      <c r="D45" s="261" t="s">
        <v>231</v>
      </c>
      <c r="E45" s="261"/>
      <c r="F45" s="261"/>
      <c r="G45" s="177">
        <v>14</v>
      </c>
      <c r="H45" s="177" t="s">
        <v>232</v>
      </c>
      <c r="I45" s="367">
        <v>42</v>
      </c>
      <c r="J45" s="249"/>
      <c r="K45" s="179"/>
      <c r="L45" s="179"/>
      <c r="M45" s="179"/>
      <c r="N45" s="179"/>
      <c r="O45" s="370"/>
      <c r="P45" s="179"/>
      <c r="Q45" s="179"/>
      <c r="R45" s="370"/>
      <c r="S45" s="180"/>
      <c r="T45" s="257"/>
      <c r="U45" s="259"/>
      <c r="V45" s="259"/>
    </row>
    <row r="46" spans="1:22" x14ac:dyDescent="0.15">
      <c r="A46" s="181"/>
      <c r="B46" s="214"/>
      <c r="C46" s="214"/>
      <c r="D46" s="262"/>
      <c r="E46" s="262"/>
      <c r="F46" s="262"/>
      <c r="G46" s="182">
        <v>1</v>
      </c>
      <c r="H46" s="177" t="s">
        <v>233</v>
      </c>
      <c r="I46" s="368" t="s">
        <v>234</v>
      </c>
      <c r="J46" s="252"/>
      <c r="K46" s="183" t="s">
        <v>28</v>
      </c>
      <c r="L46" s="183">
        <v>1</v>
      </c>
      <c r="M46" s="253" t="s">
        <v>235</v>
      </c>
      <c r="N46" s="253"/>
      <c r="O46" s="371"/>
      <c r="P46" s="253" t="s">
        <v>236</v>
      </c>
      <c r="Q46" s="253"/>
      <c r="R46" s="371"/>
      <c r="S46" s="140"/>
      <c r="T46" s="257"/>
      <c r="U46" s="259"/>
      <c r="V46" s="259"/>
    </row>
    <row r="47" spans="1:22" x14ac:dyDescent="0.15">
      <c r="A47" s="176"/>
      <c r="B47" s="250"/>
      <c r="C47" s="250"/>
      <c r="D47" s="247"/>
      <c r="E47" s="247"/>
      <c r="F47" s="247"/>
      <c r="G47" s="177"/>
      <c r="H47" s="184"/>
      <c r="I47" s="254"/>
      <c r="J47" s="247"/>
      <c r="K47" s="249"/>
      <c r="L47" s="249"/>
      <c r="M47" s="247"/>
      <c r="N47" s="247"/>
      <c r="O47" s="247"/>
      <c r="P47" s="247"/>
      <c r="Q47" s="247"/>
      <c r="R47" s="247"/>
      <c r="S47" s="178"/>
      <c r="T47" s="257"/>
      <c r="U47" s="259"/>
      <c r="V47" s="259"/>
    </row>
    <row r="48" spans="1:22" x14ac:dyDescent="0.15">
      <c r="A48" s="125"/>
      <c r="B48" s="250"/>
      <c r="C48" s="250"/>
      <c r="D48" s="261"/>
      <c r="E48" s="261"/>
      <c r="F48" s="261"/>
      <c r="G48" s="177"/>
      <c r="H48" s="177"/>
      <c r="I48" s="251"/>
      <c r="J48" s="249"/>
      <c r="K48" s="179"/>
      <c r="L48" s="179"/>
      <c r="M48" s="179"/>
      <c r="N48" s="179"/>
      <c r="O48" s="179"/>
      <c r="P48" s="179"/>
      <c r="Q48" s="179"/>
      <c r="R48" s="179"/>
      <c r="S48" s="180"/>
      <c r="T48" s="257"/>
      <c r="U48" s="259"/>
      <c r="V48" s="259"/>
    </row>
    <row r="49" spans="1:22" x14ac:dyDescent="0.15">
      <c r="A49" s="181"/>
      <c r="B49" s="214"/>
      <c r="C49" s="214"/>
      <c r="D49" s="262"/>
      <c r="E49" s="262"/>
      <c r="F49" s="262"/>
      <c r="G49" s="182"/>
      <c r="H49" s="177"/>
      <c r="I49" s="203"/>
      <c r="J49" s="252"/>
      <c r="K49" s="183"/>
      <c r="L49" s="183"/>
      <c r="M49" s="253"/>
      <c r="N49" s="253"/>
      <c r="O49" s="183"/>
      <c r="P49" s="253"/>
      <c r="Q49" s="253"/>
      <c r="R49" s="183"/>
      <c r="S49" s="140"/>
      <c r="T49" s="257"/>
      <c r="U49" s="259"/>
      <c r="V49" s="259"/>
    </row>
    <row r="50" spans="1:22" x14ac:dyDescent="0.15">
      <c r="A50" s="176"/>
      <c r="B50" s="250"/>
      <c r="C50" s="250"/>
      <c r="D50" s="247"/>
      <c r="E50" s="247"/>
      <c r="F50" s="247"/>
      <c r="G50" s="177"/>
      <c r="H50" s="184"/>
      <c r="I50" s="254"/>
      <c r="J50" s="247"/>
      <c r="K50" s="249"/>
      <c r="L50" s="249"/>
      <c r="M50" s="247"/>
      <c r="N50" s="247"/>
      <c r="O50" s="247"/>
      <c r="P50" s="247"/>
      <c r="Q50" s="247"/>
      <c r="R50" s="247"/>
      <c r="S50" s="178"/>
      <c r="T50" s="257"/>
      <c r="U50" s="259"/>
      <c r="V50" s="259"/>
    </row>
    <row r="51" spans="1:22" x14ac:dyDescent="0.15">
      <c r="A51" s="125"/>
      <c r="B51" s="250"/>
      <c r="C51" s="250"/>
      <c r="D51" s="261"/>
      <c r="E51" s="261"/>
      <c r="F51" s="261"/>
      <c r="G51" s="177"/>
      <c r="H51" s="177"/>
      <c r="I51" s="251"/>
      <c r="J51" s="249"/>
      <c r="K51" s="179"/>
      <c r="L51" s="179"/>
      <c r="M51" s="179"/>
      <c r="N51" s="179"/>
      <c r="O51" s="179"/>
      <c r="P51" s="179"/>
      <c r="Q51" s="179"/>
      <c r="R51" s="179"/>
      <c r="S51" s="180"/>
      <c r="T51" s="257"/>
      <c r="U51" s="259"/>
      <c r="V51" s="259"/>
    </row>
    <row r="52" spans="1:22" x14ac:dyDescent="0.15">
      <c r="A52" s="181"/>
      <c r="B52" s="214"/>
      <c r="C52" s="214"/>
      <c r="D52" s="262"/>
      <c r="E52" s="262"/>
      <c r="F52" s="262"/>
      <c r="G52" s="182"/>
      <c r="H52" s="177"/>
      <c r="I52" s="203"/>
      <c r="J52" s="252"/>
      <c r="K52" s="183"/>
      <c r="L52" s="183"/>
      <c r="M52" s="253"/>
      <c r="N52" s="253"/>
      <c r="O52" s="183"/>
      <c r="P52" s="253"/>
      <c r="Q52" s="253"/>
      <c r="R52" s="183"/>
      <c r="S52" s="140"/>
      <c r="T52" s="257"/>
      <c r="U52" s="259"/>
      <c r="V52" s="259"/>
    </row>
    <row r="53" spans="1:22" x14ac:dyDescent="0.15">
      <c r="A53" s="176"/>
      <c r="B53" s="247"/>
      <c r="C53" s="247"/>
      <c r="D53" s="247"/>
      <c r="E53" s="247"/>
      <c r="F53" s="247"/>
      <c r="G53" s="177"/>
      <c r="H53" s="184"/>
      <c r="I53" s="254"/>
      <c r="J53" s="247"/>
      <c r="K53" s="249"/>
      <c r="L53" s="249"/>
      <c r="M53" s="247"/>
      <c r="N53" s="247"/>
      <c r="O53" s="247"/>
      <c r="P53" s="247"/>
      <c r="Q53" s="247"/>
      <c r="R53" s="247"/>
      <c r="S53" s="178"/>
      <c r="T53" s="257"/>
      <c r="U53" s="259"/>
      <c r="V53" s="259"/>
    </row>
    <row r="54" spans="1:22" x14ac:dyDescent="0.15">
      <c r="A54" s="125"/>
      <c r="B54" s="250"/>
      <c r="C54" s="250"/>
      <c r="D54" s="261"/>
      <c r="E54" s="261"/>
      <c r="F54" s="261"/>
      <c r="G54" s="177"/>
      <c r="H54" s="177"/>
      <c r="I54" s="251"/>
      <c r="J54" s="249"/>
      <c r="K54" s="179"/>
      <c r="L54" s="179"/>
      <c r="M54" s="179"/>
      <c r="N54" s="179"/>
      <c r="O54" s="179"/>
      <c r="P54" s="179"/>
      <c r="Q54" s="179"/>
      <c r="R54" s="179"/>
      <c r="S54" s="180"/>
      <c r="T54" s="257"/>
      <c r="U54" s="259"/>
      <c r="V54" s="259"/>
    </row>
    <row r="55" spans="1:22" x14ac:dyDescent="0.15">
      <c r="A55" s="181"/>
      <c r="B55" s="214"/>
      <c r="C55" s="214"/>
      <c r="D55" s="262"/>
      <c r="E55" s="262"/>
      <c r="F55" s="262"/>
      <c r="G55" s="182"/>
      <c r="H55" s="177"/>
      <c r="I55" s="203"/>
      <c r="J55" s="252"/>
      <c r="K55" s="183"/>
      <c r="L55" s="183"/>
      <c r="M55" s="253"/>
      <c r="N55" s="253"/>
      <c r="O55" s="183"/>
      <c r="P55" s="253"/>
      <c r="Q55" s="253"/>
      <c r="R55" s="183"/>
      <c r="S55" s="140"/>
      <c r="T55" s="257"/>
      <c r="U55" s="259"/>
      <c r="V55" s="259"/>
    </row>
    <row r="56" spans="1:22" x14ac:dyDescent="0.15">
      <c r="A56" s="176"/>
      <c r="B56" s="250"/>
      <c r="C56" s="250"/>
      <c r="D56" s="247"/>
      <c r="E56" s="247"/>
      <c r="F56" s="247"/>
      <c r="G56" s="177"/>
      <c r="H56" s="184"/>
      <c r="I56" s="254"/>
      <c r="J56" s="247"/>
      <c r="K56" s="249"/>
      <c r="L56" s="249"/>
      <c r="M56" s="247"/>
      <c r="N56" s="247"/>
      <c r="O56" s="247"/>
      <c r="P56" s="247"/>
      <c r="Q56" s="247"/>
      <c r="R56" s="247"/>
      <c r="S56" s="178"/>
      <c r="T56" s="257"/>
      <c r="U56" s="259"/>
      <c r="V56" s="259"/>
    </row>
    <row r="57" spans="1:22" x14ac:dyDescent="0.15">
      <c r="A57" s="125"/>
      <c r="B57" s="250"/>
      <c r="C57" s="250"/>
      <c r="D57" s="261"/>
      <c r="E57" s="261"/>
      <c r="F57" s="261"/>
      <c r="G57" s="177"/>
      <c r="H57" s="177"/>
      <c r="I57" s="251"/>
      <c r="J57" s="249"/>
      <c r="K57" s="179"/>
      <c r="L57" s="179"/>
      <c r="M57" s="179"/>
      <c r="N57" s="179"/>
      <c r="O57" s="179"/>
      <c r="P57" s="179"/>
      <c r="Q57" s="179"/>
      <c r="R57" s="179"/>
      <c r="S57" s="180"/>
      <c r="T57" s="257"/>
      <c r="U57" s="259"/>
      <c r="V57" s="259"/>
    </row>
    <row r="58" spans="1:22" x14ac:dyDescent="0.15">
      <c r="A58" s="181"/>
      <c r="B58" s="214"/>
      <c r="C58" s="214"/>
      <c r="D58" s="262"/>
      <c r="E58" s="262"/>
      <c r="F58" s="262"/>
      <c r="G58" s="182"/>
      <c r="H58" s="177"/>
      <c r="I58" s="203"/>
      <c r="J58" s="252"/>
      <c r="K58" s="183"/>
      <c r="L58" s="183"/>
      <c r="M58" s="253"/>
      <c r="N58" s="253"/>
      <c r="O58" s="183"/>
      <c r="P58" s="253"/>
      <c r="Q58" s="253"/>
      <c r="R58" s="183"/>
      <c r="S58" s="140"/>
      <c r="T58" s="257"/>
      <c r="U58" s="259"/>
      <c r="V58" s="259"/>
    </row>
    <row r="59" spans="1:22" x14ac:dyDescent="0.15">
      <c r="A59" s="176"/>
      <c r="B59" s="250"/>
      <c r="C59" s="250"/>
      <c r="D59" s="247"/>
      <c r="E59" s="247"/>
      <c r="F59" s="247"/>
      <c r="G59" s="177"/>
      <c r="H59" s="184"/>
      <c r="I59" s="254"/>
      <c r="J59" s="247"/>
      <c r="K59" s="249"/>
      <c r="L59" s="249"/>
      <c r="M59" s="247"/>
      <c r="N59" s="247"/>
      <c r="O59" s="247"/>
      <c r="P59" s="247"/>
      <c r="Q59" s="247"/>
      <c r="R59" s="247"/>
      <c r="S59" s="178"/>
      <c r="T59" s="257"/>
      <c r="U59" s="259"/>
      <c r="V59" s="259"/>
    </row>
    <row r="60" spans="1:22" x14ac:dyDescent="0.15">
      <c r="A60" s="125"/>
      <c r="B60" s="250"/>
      <c r="C60" s="250"/>
      <c r="D60" s="261"/>
      <c r="E60" s="261"/>
      <c r="F60" s="261"/>
      <c r="G60" s="177"/>
      <c r="H60" s="177"/>
      <c r="I60" s="251"/>
      <c r="J60" s="249"/>
      <c r="K60" s="179"/>
      <c r="L60" s="179"/>
      <c r="M60" s="179"/>
      <c r="N60" s="179"/>
      <c r="O60" s="179"/>
      <c r="P60" s="179"/>
      <c r="Q60" s="179"/>
      <c r="R60" s="179"/>
      <c r="S60" s="180"/>
      <c r="T60" s="257"/>
      <c r="U60" s="259"/>
      <c r="V60" s="259"/>
    </row>
    <row r="61" spans="1:22" x14ac:dyDescent="0.15">
      <c r="A61" s="181"/>
      <c r="B61" s="214"/>
      <c r="C61" s="214"/>
      <c r="D61" s="262"/>
      <c r="E61" s="262"/>
      <c r="F61" s="262"/>
      <c r="G61" s="182"/>
      <c r="H61" s="177"/>
      <c r="I61" s="203"/>
      <c r="J61" s="252"/>
      <c r="K61" s="183"/>
      <c r="L61" s="183"/>
      <c r="M61" s="253"/>
      <c r="N61" s="253"/>
      <c r="O61" s="183"/>
      <c r="P61" s="253"/>
      <c r="Q61" s="253"/>
      <c r="R61" s="183"/>
      <c r="S61" s="140"/>
      <c r="T61" s="257"/>
      <c r="U61" s="259"/>
      <c r="V61" s="259"/>
    </row>
    <row r="62" spans="1:22" x14ac:dyDescent="0.15">
      <c r="A62" s="176"/>
      <c r="B62" s="250"/>
      <c r="C62" s="250"/>
      <c r="D62" s="247"/>
      <c r="E62" s="247"/>
      <c r="F62" s="247"/>
      <c r="G62" s="177"/>
      <c r="H62" s="184"/>
      <c r="I62" s="254"/>
      <c r="J62" s="247"/>
      <c r="K62" s="249"/>
      <c r="L62" s="249"/>
      <c r="M62" s="247"/>
      <c r="N62" s="247"/>
      <c r="O62" s="247"/>
      <c r="P62" s="247"/>
      <c r="Q62" s="247"/>
      <c r="R62" s="247"/>
      <c r="S62" s="178"/>
      <c r="T62" s="257"/>
      <c r="U62" s="259"/>
      <c r="V62" s="259"/>
    </row>
    <row r="63" spans="1:22" x14ac:dyDescent="0.15">
      <c r="A63" s="125"/>
      <c r="B63" s="250"/>
      <c r="C63" s="250"/>
      <c r="D63" s="261"/>
      <c r="E63" s="261"/>
      <c r="F63" s="261"/>
      <c r="G63" s="177"/>
      <c r="H63" s="177"/>
      <c r="I63" s="251"/>
      <c r="J63" s="249"/>
      <c r="K63" s="179"/>
      <c r="L63" s="179"/>
      <c r="M63" s="179"/>
      <c r="N63" s="179"/>
      <c r="O63" s="179"/>
      <c r="P63" s="179"/>
      <c r="Q63" s="179"/>
      <c r="R63" s="179"/>
      <c r="S63" s="180"/>
      <c r="T63" s="257"/>
      <c r="U63" s="259"/>
      <c r="V63" s="259"/>
    </row>
    <row r="64" spans="1:22" x14ac:dyDescent="0.15">
      <c r="A64" s="181"/>
      <c r="B64" s="214"/>
      <c r="C64" s="214"/>
      <c r="D64" s="262"/>
      <c r="E64" s="262"/>
      <c r="F64" s="262"/>
      <c r="G64" s="182"/>
      <c r="H64" s="177"/>
      <c r="I64" s="203"/>
      <c r="J64" s="252"/>
      <c r="K64" s="183"/>
      <c r="L64" s="183"/>
      <c r="M64" s="253"/>
      <c r="N64" s="253"/>
      <c r="O64" s="183"/>
      <c r="P64" s="253"/>
      <c r="Q64" s="253"/>
      <c r="R64" s="183"/>
      <c r="S64" s="140"/>
      <c r="T64" s="257"/>
      <c r="U64" s="259"/>
      <c r="V64" s="259"/>
    </row>
    <row r="65" spans="1:22" x14ac:dyDescent="0.15">
      <c r="A65" s="176"/>
      <c r="B65" s="250"/>
      <c r="C65" s="250"/>
      <c r="D65" s="247"/>
      <c r="E65" s="247"/>
      <c r="F65" s="247"/>
      <c r="G65" s="177"/>
      <c r="H65" s="184"/>
      <c r="I65" s="254"/>
      <c r="J65" s="247"/>
      <c r="K65" s="249"/>
      <c r="L65" s="249"/>
      <c r="M65" s="247"/>
      <c r="N65" s="247"/>
      <c r="O65" s="247"/>
      <c r="P65" s="247"/>
      <c r="Q65" s="247"/>
      <c r="R65" s="247"/>
      <c r="S65" s="178"/>
      <c r="T65" s="257"/>
      <c r="U65" s="259"/>
      <c r="V65" s="259"/>
    </row>
    <row r="66" spans="1:22" x14ac:dyDescent="0.15">
      <c r="A66" s="125"/>
      <c r="B66" s="250"/>
      <c r="C66" s="250"/>
      <c r="D66" s="261"/>
      <c r="E66" s="261"/>
      <c r="F66" s="261"/>
      <c r="G66" s="177"/>
      <c r="H66" s="177"/>
      <c r="I66" s="251"/>
      <c r="J66" s="249"/>
      <c r="K66" s="179"/>
      <c r="L66" s="179"/>
      <c r="M66" s="179"/>
      <c r="N66" s="179"/>
      <c r="O66" s="179"/>
      <c r="P66" s="179"/>
      <c r="Q66" s="179"/>
      <c r="R66" s="179"/>
      <c r="S66" s="180"/>
      <c r="T66" s="257"/>
      <c r="U66" s="259"/>
      <c r="V66" s="259"/>
    </row>
    <row r="67" spans="1:22" x14ac:dyDescent="0.15">
      <c r="A67" s="181"/>
      <c r="B67" s="214"/>
      <c r="C67" s="214"/>
      <c r="D67" s="262"/>
      <c r="E67" s="262"/>
      <c r="F67" s="262"/>
      <c r="G67" s="182"/>
      <c r="H67" s="177"/>
      <c r="I67" s="203"/>
      <c r="J67" s="252"/>
      <c r="K67" s="183"/>
      <c r="L67" s="183"/>
      <c r="M67" s="253"/>
      <c r="N67" s="253"/>
      <c r="O67" s="183"/>
      <c r="P67" s="253"/>
      <c r="Q67" s="253"/>
      <c r="R67" s="183"/>
      <c r="S67" s="140"/>
      <c r="T67" s="257"/>
      <c r="U67" s="259"/>
      <c r="V67" s="259"/>
    </row>
    <row r="68" spans="1:22" x14ac:dyDescent="0.15">
      <c r="A68" s="176"/>
      <c r="B68" s="250"/>
      <c r="C68" s="250"/>
      <c r="D68" s="247"/>
      <c r="E68" s="247"/>
      <c r="F68" s="247"/>
      <c r="G68" s="177"/>
      <c r="H68" s="184"/>
      <c r="I68" s="254"/>
      <c r="J68" s="247"/>
      <c r="K68" s="249"/>
      <c r="L68" s="249"/>
      <c r="M68" s="247"/>
      <c r="N68" s="247"/>
      <c r="O68" s="247"/>
      <c r="P68" s="247"/>
      <c r="Q68" s="247"/>
      <c r="R68" s="247"/>
      <c r="S68" s="178"/>
      <c r="T68" s="257"/>
      <c r="U68" s="259"/>
      <c r="V68" s="259"/>
    </row>
    <row r="69" spans="1:22" x14ac:dyDescent="0.15">
      <c r="A69" s="125"/>
      <c r="B69" s="250"/>
      <c r="C69" s="250"/>
      <c r="D69" s="261"/>
      <c r="E69" s="261"/>
      <c r="F69" s="261"/>
      <c r="G69" s="177"/>
      <c r="H69" s="177"/>
      <c r="I69" s="251"/>
      <c r="J69" s="249"/>
      <c r="K69" s="179"/>
      <c r="L69" s="179"/>
      <c r="M69" s="179"/>
      <c r="N69" s="179"/>
      <c r="O69" s="179"/>
      <c r="P69" s="179"/>
      <c r="Q69" s="179"/>
      <c r="R69" s="179"/>
      <c r="S69" s="180"/>
      <c r="T69" s="257"/>
      <c r="U69" s="259"/>
      <c r="V69" s="259"/>
    </row>
    <row r="70" spans="1:22" x14ac:dyDescent="0.15">
      <c r="A70" s="181"/>
      <c r="B70" s="214"/>
      <c r="C70" s="214"/>
      <c r="D70" s="262"/>
      <c r="E70" s="262"/>
      <c r="F70" s="262"/>
      <c r="G70" s="182"/>
      <c r="H70" s="177"/>
      <c r="I70" s="203"/>
      <c r="J70" s="252"/>
      <c r="K70" s="183"/>
      <c r="L70" s="183"/>
      <c r="M70" s="253"/>
      <c r="N70" s="253"/>
      <c r="O70" s="183"/>
      <c r="P70" s="253"/>
      <c r="Q70" s="253"/>
      <c r="R70" s="183"/>
      <c r="S70" s="140"/>
      <c r="T70" s="257"/>
      <c r="U70" s="259"/>
      <c r="V70" s="259"/>
    </row>
    <row r="71" spans="1:22" x14ac:dyDescent="0.15">
      <c r="A71" s="176"/>
      <c r="B71" s="250"/>
      <c r="C71" s="250"/>
      <c r="D71" s="247"/>
      <c r="E71" s="247"/>
      <c r="F71" s="247"/>
      <c r="G71" s="177"/>
      <c r="H71" s="184"/>
      <c r="I71" s="254"/>
      <c r="J71" s="247"/>
      <c r="K71" s="249"/>
      <c r="L71" s="249"/>
      <c r="M71" s="247"/>
      <c r="N71" s="247"/>
      <c r="O71" s="247"/>
      <c r="P71" s="247"/>
      <c r="Q71" s="247"/>
      <c r="R71" s="247"/>
      <c r="S71" s="178"/>
      <c r="T71" s="257"/>
      <c r="U71" s="259"/>
      <c r="V71" s="259"/>
    </row>
    <row r="72" spans="1:22" x14ac:dyDescent="0.15">
      <c r="A72" s="125"/>
      <c r="B72" s="250"/>
      <c r="C72" s="250"/>
      <c r="D72" s="261"/>
      <c r="E72" s="261"/>
      <c r="F72" s="261"/>
      <c r="G72" s="177"/>
      <c r="H72" s="177"/>
      <c r="I72" s="251"/>
      <c r="J72" s="249"/>
      <c r="K72" s="179"/>
      <c r="L72" s="179"/>
      <c r="M72" s="179"/>
      <c r="N72" s="179"/>
      <c r="O72" s="179"/>
      <c r="P72" s="179"/>
      <c r="Q72" s="179"/>
      <c r="R72" s="179"/>
      <c r="S72" s="180"/>
      <c r="T72" s="257"/>
      <c r="U72" s="259"/>
      <c r="V72" s="259"/>
    </row>
    <row r="73" spans="1:22" x14ac:dyDescent="0.15">
      <c r="A73" s="181"/>
      <c r="B73" s="214"/>
      <c r="C73" s="214"/>
      <c r="D73" s="262"/>
      <c r="E73" s="262"/>
      <c r="F73" s="262"/>
      <c r="G73" s="182"/>
      <c r="H73" s="177"/>
      <c r="I73" s="203"/>
      <c r="J73" s="252"/>
      <c r="K73" s="183"/>
      <c r="L73" s="183"/>
      <c r="M73" s="253"/>
      <c r="N73" s="253"/>
      <c r="O73" s="183"/>
      <c r="P73" s="253"/>
      <c r="Q73" s="253"/>
      <c r="R73" s="183"/>
      <c r="S73" s="140"/>
      <c r="T73" s="257"/>
      <c r="U73" s="259"/>
      <c r="V73" s="259"/>
    </row>
    <row r="74" spans="1:22" x14ac:dyDescent="0.15">
      <c r="A74" s="125"/>
      <c r="B74" s="255"/>
      <c r="C74" s="255"/>
      <c r="D74" s="249"/>
      <c r="E74" s="249"/>
      <c r="F74" s="249"/>
      <c r="G74" s="179"/>
      <c r="H74" s="179"/>
      <c r="I74" s="251"/>
      <c r="J74" s="249"/>
      <c r="K74" s="249"/>
      <c r="L74" s="249"/>
      <c r="M74" s="249"/>
      <c r="N74" s="249"/>
      <c r="O74" s="249"/>
      <c r="P74" s="249"/>
      <c r="Q74" s="249"/>
      <c r="R74" s="249"/>
      <c r="S74" s="180"/>
      <c r="T74" s="258"/>
      <c r="U74" s="260"/>
      <c r="V74" s="260"/>
    </row>
    <row r="75" spans="1:22" x14ac:dyDescent="0.15">
      <c r="A75" s="125"/>
      <c r="B75" s="255"/>
      <c r="C75" s="255"/>
      <c r="D75" s="263"/>
      <c r="E75" s="263"/>
      <c r="F75" s="263"/>
      <c r="G75" s="179"/>
      <c r="H75" s="179"/>
      <c r="K75" s="249"/>
      <c r="L75" s="249"/>
      <c r="M75" s="249"/>
      <c r="N75" s="249"/>
      <c r="O75" s="249"/>
      <c r="P75" s="249"/>
      <c r="Q75" s="249"/>
      <c r="R75" s="249"/>
      <c r="S75" s="180"/>
      <c r="T75" s="258"/>
      <c r="U75" s="260"/>
      <c r="V75" s="260"/>
    </row>
    <row r="76" spans="1:22" x14ac:dyDescent="0.15">
      <c r="A76" s="181"/>
      <c r="B76" s="214"/>
      <c r="C76" s="214"/>
      <c r="D76" s="264"/>
      <c r="E76" s="264"/>
      <c r="F76" s="264"/>
      <c r="G76" s="183"/>
      <c r="H76" s="183"/>
      <c r="I76" s="256"/>
      <c r="J76" s="253"/>
      <c r="K76" s="253"/>
      <c r="L76" s="253"/>
      <c r="M76" s="253"/>
      <c r="N76" s="253"/>
      <c r="O76" s="253"/>
      <c r="P76" s="253"/>
      <c r="Q76" s="253"/>
      <c r="R76" s="253"/>
      <c r="S76" s="140"/>
      <c r="T76" s="258"/>
      <c r="U76" s="260"/>
      <c r="V76" s="260"/>
    </row>
    <row r="77" spans="1:22" x14ac:dyDescent="0.15">
      <c r="A77" s="125"/>
      <c r="B77" s="255"/>
      <c r="C77" s="255"/>
      <c r="D77" s="249"/>
      <c r="E77" s="249"/>
      <c r="F77" s="249"/>
      <c r="G77" s="179"/>
      <c r="H77" s="179"/>
      <c r="I77" s="251"/>
      <c r="J77" s="249"/>
      <c r="K77" s="249"/>
      <c r="L77" s="249"/>
      <c r="M77" s="249"/>
      <c r="N77" s="249"/>
      <c r="O77" s="249"/>
      <c r="P77" s="249"/>
      <c r="Q77" s="249"/>
      <c r="R77" s="249"/>
      <c r="S77" s="180"/>
      <c r="T77" s="258"/>
      <c r="U77" s="260"/>
      <c r="V77" s="260"/>
    </row>
    <row r="78" spans="1:22" x14ac:dyDescent="0.15">
      <c r="A78" s="125"/>
      <c r="B78" s="255"/>
      <c r="C78" s="255"/>
      <c r="D78" s="263"/>
      <c r="E78" s="263"/>
      <c r="F78" s="263"/>
      <c r="G78" s="179"/>
      <c r="H78" s="179"/>
      <c r="I78" s="251"/>
      <c r="J78" s="249"/>
      <c r="K78" s="249"/>
      <c r="L78" s="249"/>
      <c r="M78" s="249"/>
      <c r="N78" s="249"/>
      <c r="O78" s="249"/>
      <c r="P78" s="249"/>
      <c r="Q78" s="249"/>
      <c r="R78" s="249"/>
      <c r="S78" s="180"/>
      <c r="T78" s="258"/>
      <c r="U78" s="260"/>
      <c r="V78" s="260"/>
    </row>
    <row r="79" spans="1:22" x14ac:dyDescent="0.15">
      <c r="A79" s="181"/>
      <c r="B79" s="214"/>
      <c r="C79" s="214"/>
      <c r="D79" s="264"/>
      <c r="E79" s="264"/>
      <c r="F79" s="264"/>
      <c r="G79" s="183"/>
      <c r="H79" s="183"/>
      <c r="I79" s="256"/>
      <c r="J79" s="253"/>
      <c r="K79" s="253"/>
      <c r="L79" s="253"/>
      <c r="M79" s="253"/>
      <c r="N79" s="253"/>
      <c r="O79" s="253"/>
      <c r="P79" s="253"/>
      <c r="Q79" s="253"/>
      <c r="R79" s="253"/>
      <c r="S79" s="140"/>
      <c r="T79" s="258"/>
      <c r="U79" s="260"/>
      <c r="V79" s="260"/>
    </row>
    <row r="80" spans="1:22" x14ac:dyDescent="0.15">
      <c r="A80" s="125"/>
      <c r="B80" s="255"/>
      <c r="C80" s="255"/>
      <c r="D80" s="249"/>
      <c r="E80" s="249"/>
      <c r="F80" s="249"/>
      <c r="G80" s="179"/>
      <c r="H80" s="179"/>
      <c r="I80" s="251"/>
      <c r="J80" s="249"/>
      <c r="K80" s="249"/>
      <c r="L80" s="249"/>
      <c r="M80" s="249"/>
      <c r="N80" s="249"/>
      <c r="O80" s="249"/>
      <c r="P80" s="249"/>
      <c r="Q80" s="249"/>
      <c r="R80" s="249"/>
      <c r="S80" s="180"/>
      <c r="T80" s="258"/>
      <c r="U80" s="260"/>
      <c r="V80" s="260"/>
    </row>
    <row r="81" spans="1:22" x14ac:dyDescent="0.15">
      <c r="A81" s="125"/>
      <c r="B81" s="255"/>
      <c r="C81" s="255"/>
      <c r="D81" s="263"/>
      <c r="E81" s="263"/>
      <c r="F81" s="263"/>
      <c r="G81" s="179"/>
      <c r="H81" s="179"/>
      <c r="I81" s="251"/>
      <c r="J81" s="249"/>
      <c r="K81" s="249"/>
      <c r="L81" s="249"/>
      <c r="M81" s="249"/>
      <c r="N81" s="249"/>
      <c r="O81" s="249"/>
      <c r="P81" s="249"/>
      <c r="Q81" s="249"/>
      <c r="R81" s="249"/>
      <c r="S81" s="180"/>
      <c r="T81" s="258"/>
      <c r="U81" s="260"/>
      <c r="V81" s="260"/>
    </row>
    <row r="82" spans="1:22" x14ac:dyDescent="0.15">
      <c r="A82" s="181"/>
      <c r="B82" s="214"/>
      <c r="C82" s="214"/>
      <c r="D82" s="264"/>
      <c r="E82" s="264"/>
      <c r="F82" s="264"/>
      <c r="G82" s="183"/>
      <c r="H82" s="183"/>
      <c r="I82" s="256"/>
      <c r="J82" s="253"/>
      <c r="K82" s="253"/>
      <c r="L82" s="253"/>
      <c r="M82" s="253"/>
      <c r="N82" s="253"/>
      <c r="O82" s="253"/>
      <c r="P82" s="253"/>
      <c r="Q82" s="253"/>
      <c r="R82" s="253"/>
      <c r="S82" s="140"/>
      <c r="T82" s="258"/>
      <c r="U82" s="260"/>
      <c r="V82" s="260"/>
    </row>
    <row r="83" spans="1:22" x14ac:dyDescent="0.15">
      <c r="A83" s="125"/>
      <c r="B83" s="255"/>
      <c r="C83" s="255"/>
      <c r="D83" s="249"/>
      <c r="E83" s="249"/>
      <c r="F83" s="249"/>
      <c r="G83" s="179"/>
      <c r="H83" s="179"/>
      <c r="I83" s="251"/>
      <c r="J83" s="249"/>
      <c r="K83" s="249"/>
      <c r="L83" s="249"/>
      <c r="M83" s="249"/>
      <c r="N83" s="249"/>
      <c r="O83" s="249"/>
      <c r="P83" s="249"/>
      <c r="Q83" s="249"/>
      <c r="R83" s="249"/>
      <c r="S83" s="180"/>
      <c r="T83" s="258"/>
      <c r="U83" s="260"/>
      <c r="V83" s="260"/>
    </row>
    <row r="84" spans="1:22" x14ac:dyDescent="0.15">
      <c r="A84" s="125"/>
      <c r="B84" s="255"/>
      <c r="C84" s="255"/>
      <c r="D84" s="263"/>
      <c r="E84" s="263"/>
      <c r="F84" s="263"/>
      <c r="G84" s="179"/>
      <c r="H84" s="179"/>
      <c r="I84" s="251"/>
      <c r="J84" s="249"/>
      <c r="K84" s="249"/>
      <c r="L84" s="249"/>
      <c r="M84" s="249"/>
      <c r="N84" s="249"/>
      <c r="O84" s="249"/>
      <c r="P84" s="249"/>
      <c r="Q84" s="249"/>
      <c r="R84" s="249"/>
      <c r="S84" s="180"/>
      <c r="T84" s="258"/>
      <c r="U84" s="260"/>
      <c r="V84" s="260"/>
    </row>
    <row r="85" spans="1:22" x14ac:dyDescent="0.15">
      <c r="A85" s="181"/>
      <c r="B85" s="214"/>
      <c r="C85" s="214"/>
      <c r="D85" s="264"/>
      <c r="E85" s="264"/>
      <c r="F85" s="264"/>
      <c r="G85" s="183"/>
      <c r="H85" s="183"/>
      <c r="I85" s="256"/>
      <c r="J85" s="253"/>
      <c r="K85" s="253"/>
      <c r="L85" s="253"/>
      <c r="M85" s="253"/>
      <c r="N85" s="253"/>
      <c r="O85" s="253"/>
      <c r="P85" s="253"/>
      <c r="Q85" s="253"/>
      <c r="R85" s="253"/>
      <c r="S85" s="140"/>
      <c r="T85" s="258"/>
      <c r="U85" s="260"/>
      <c r="V85" s="260"/>
    </row>
    <row r="86" spans="1:22" x14ac:dyDescent="0.15">
      <c r="A86" s="125"/>
      <c r="B86" s="255"/>
      <c r="C86" s="255"/>
      <c r="D86" s="249"/>
      <c r="E86" s="249"/>
      <c r="F86" s="249"/>
      <c r="G86" s="179"/>
      <c r="H86" s="179"/>
      <c r="I86" s="251"/>
      <c r="J86" s="249"/>
      <c r="K86" s="249"/>
      <c r="L86" s="249"/>
      <c r="M86" s="249"/>
      <c r="N86" s="249"/>
      <c r="O86" s="249"/>
      <c r="P86" s="249"/>
      <c r="Q86" s="249"/>
      <c r="R86" s="249"/>
      <c r="S86" s="180"/>
      <c r="T86" s="258"/>
      <c r="U86" s="260"/>
      <c r="V86" s="260"/>
    </row>
    <row r="87" spans="1:22" x14ac:dyDescent="0.15">
      <c r="A87" s="125"/>
      <c r="B87" s="255"/>
      <c r="C87" s="255"/>
      <c r="D87" s="263"/>
      <c r="E87" s="263"/>
      <c r="F87" s="263"/>
      <c r="G87" s="179"/>
      <c r="H87" s="179"/>
      <c r="I87" s="251"/>
      <c r="J87" s="249"/>
      <c r="K87" s="249"/>
      <c r="L87" s="249"/>
      <c r="M87" s="249"/>
      <c r="N87" s="249"/>
      <c r="O87" s="249"/>
      <c r="P87" s="249"/>
      <c r="Q87" s="249"/>
      <c r="R87" s="249"/>
      <c r="S87" s="180"/>
      <c r="T87" s="258"/>
      <c r="U87" s="260"/>
      <c r="V87" s="260"/>
    </row>
    <row r="88" spans="1:22" x14ac:dyDescent="0.15">
      <c r="A88" s="181"/>
      <c r="B88" s="214"/>
      <c r="C88" s="214"/>
      <c r="D88" s="264"/>
      <c r="E88" s="264"/>
      <c r="F88" s="264"/>
      <c r="G88" s="183"/>
      <c r="H88" s="183"/>
      <c r="I88" s="256"/>
      <c r="J88" s="253"/>
      <c r="K88" s="253"/>
      <c r="L88" s="253"/>
      <c r="M88" s="253"/>
      <c r="N88" s="253"/>
      <c r="O88" s="253"/>
      <c r="P88" s="253"/>
      <c r="Q88" s="253"/>
      <c r="R88" s="253"/>
      <c r="S88" s="140"/>
      <c r="T88" s="258"/>
      <c r="U88" s="260"/>
      <c r="V88" s="260"/>
    </row>
    <row r="89" spans="1:22" x14ac:dyDescent="0.15">
      <c r="A89" s="125"/>
      <c r="B89" s="255"/>
      <c r="C89" s="255"/>
      <c r="D89" s="249"/>
      <c r="E89" s="249"/>
      <c r="F89" s="249"/>
      <c r="G89" s="179"/>
      <c r="H89" s="179"/>
      <c r="I89" s="251"/>
      <c r="J89" s="249"/>
      <c r="K89" s="249"/>
      <c r="L89" s="249"/>
      <c r="M89" s="249"/>
      <c r="N89" s="249"/>
      <c r="O89" s="249"/>
      <c r="P89" s="249"/>
      <c r="Q89" s="249"/>
      <c r="R89" s="249"/>
      <c r="S89" s="180"/>
      <c r="T89" s="258"/>
      <c r="U89" s="260"/>
      <c r="V89" s="260"/>
    </row>
    <row r="90" spans="1:22" x14ac:dyDescent="0.15">
      <c r="A90" s="125"/>
      <c r="B90" s="255"/>
      <c r="C90" s="255"/>
      <c r="D90" s="263"/>
      <c r="E90" s="263"/>
      <c r="F90" s="263"/>
      <c r="G90" s="179"/>
      <c r="H90" s="179"/>
      <c r="I90" s="251"/>
      <c r="J90" s="249"/>
      <c r="K90" s="249"/>
      <c r="L90" s="249"/>
      <c r="M90" s="249"/>
      <c r="N90" s="249"/>
      <c r="O90" s="249"/>
      <c r="P90" s="249"/>
      <c r="Q90" s="249"/>
      <c r="R90" s="249"/>
      <c r="S90" s="180"/>
      <c r="T90" s="258"/>
      <c r="U90" s="260"/>
      <c r="V90" s="260"/>
    </row>
    <row r="91" spans="1:22" x14ac:dyDescent="0.15">
      <c r="A91" s="181"/>
      <c r="B91" s="214"/>
      <c r="C91" s="214"/>
      <c r="D91" s="264"/>
      <c r="E91" s="264"/>
      <c r="F91" s="264"/>
      <c r="G91" s="183"/>
      <c r="H91" s="183"/>
      <c r="I91" s="256"/>
      <c r="J91" s="253"/>
      <c r="K91" s="253"/>
      <c r="L91" s="253"/>
      <c r="M91" s="253"/>
      <c r="N91" s="253"/>
      <c r="O91" s="253"/>
      <c r="P91" s="253"/>
      <c r="Q91" s="253"/>
      <c r="R91" s="253"/>
      <c r="S91" s="140"/>
      <c r="T91" s="258"/>
      <c r="U91" s="260"/>
      <c r="V91" s="260"/>
    </row>
    <row r="92" spans="1:22" x14ac:dyDescent="0.15">
      <c r="A92" s="125"/>
      <c r="B92" s="255"/>
      <c r="C92" s="255"/>
      <c r="D92" s="249"/>
      <c r="E92" s="249"/>
      <c r="F92" s="249"/>
      <c r="G92" s="179"/>
      <c r="H92" s="179"/>
      <c r="I92" s="251"/>
      <c r="J92" s="249"/>
      <c r="K92" s="249"/>
      <c r="L92" s="249"/>
      <c r="M92" s="249"/>
      <c r="N92" s="249"/>
      <c r="O92" s="249"/>
      <c r="P92" s="249"/>
      <c r="Q92" s="249"/>
      <c r="R92" s="249"/>
      <c r="S92" s="180"/>
      <c r="T92" s="258"/>
      <c r="U92" s="260"/>
      <c r="V92" s="260"/>
    </row>
    <row r="93" spans="1:22" x14ac:dyDescent="0.15">
      <c r="A93" s="125"/>
      <c r="B93" s="255"/>
      <c r="C93" s="255"/>
      <c r="D93" s="263"/>
      <c r="E93" s="263"/>
      <c r="F93" s="263"/>
      <c r="G93" s="179"/>
      <c r="H93" s="179"/>
      <c r="I93" s="251"/>
      <c r="J93" s="249"/>
      <c r="K93" s="249"/>
      <c r="L93" s="249"/>
      <c r="M93" s="249"/>
      <c r="N93" s="249"/>
      <c r="O93" s="249"/>
      <c r="P93" s="249"/>
      <c r="Q93" s="249"/>
      <c r="R93" s="249"/>
      <c r="S93" s="180"/>
      <c r="T93" s="258"/>
      <c r="U93" s="260"/>
      <c r="V93" s="260"/>
    </row>
    <row r="94" spans="1:22" x14ac:dyDescent="0.15">
      <c r="A94" s="181"/>
      <c r="B94" s="214"/>
      <c r="C94" s="214"/>
      <c r="D94" s="264"/>
      <c r="E94" s="264"/>
      <c r="F94" s="264"/>
      <c r="G94" s="183"/>
      <c r="H94" s="183"/>
      <c r="I94" s="256"/>
      <c r="J94" s="253"/>
      <c r="K94" s="253"/>
      <c r="L94" s="253"/>
      <c r="M94" s="253"/>
      <c r="N94" s="253"/>
      <c r="O94" s="253"/>
      <c r="P94" s="253"/>
      <c r="Q94" s="253"/>
      <c r="R94" s="253"/>
      <c r="S94" s="140"/>
      <c r="T94" s="258"/>
      <c r="U94" s="260"/>
      <c r="V94" s="260"/>
    </row>
    <row r="95" spans="1:22" x14ac:dyDescent="0.15">
      <c r="A95" s="125"/>
      <c r="B95" s="255"/>
      <c r="C95" s="255"/>
      <c r="D95" s="249"/>
      <c r="E95" s="249"/>
      <c r="F95" s="249"/>
      <c r="G95" s="179"/>
      <c r="H95" s="179"/>
      <c r="I95" s="251"/>
      <c r="J95" s="249"/>
      <c r="K95" s="249"/>
      <c r="L95" s="249"/>
      <c r="M95" s="249"/>
      <c r="N95" s="249"/>
      <c r="O95" s="249"/>
      <c r="P95" s="249"/>
      <c r="Q95" s="249"/>
      <c r="R95" s="249"/>
      <c r="S95" s="180"/>
      <c r="T95" s="258"/>
      <c r="U95" s="260"/>
      <c r="V95" s="260"/>
    </row>
    <row r="96" spans="1:22" x14ac:dyDescent="0.15">
      <c r="A96" s="125"/>
      <c r="B96" s="255"/>
      <c r="C96" s="255"/>
      <c r="D96" s="263"/>
      <c r="E96" s="263"/>
      <c r="F96" s="263"/>
      <c r="G96" s="179"/>
      <c r="H96" s="179"/>
      <c r="I96" s="251"/>
      <c r="J96" s="249"/>
      <c r="K96" s="249"/>
      <c r="L96" s="249"/>
      <c r="M96" s="249"/>
      <c r="N96" s="249"/>
      <c r="O96" s="249"/>
      <c r="P96" s="249"/>
      <c r="Q96" s="249"/>
      <c r="R96" s="249"/>
      <c r="S96" s="180"/>
      <c r="T96" s="258"/>
      <c r="U96" s="260"/>
      <c r="V96" s="260"/>
    </row>
    <row r="97" spans="1:22" x14ac:dyDescent="0.15">
      <c r="A97" s="181"/>
      <c r="B97" s="214"/>
      <c r="C97" s="214"/>
      <c r="D97" s="264"/>
      <c r="E97" s="264"/>
      <c r="F97" s="264"/>
      <c r="G97" s="183"/>
      <c r="H97" s="183"/>
      <c r="I97" s="256"/>
      <c r="J97" s="253"/>
      <c r="K97" s="253"/>
      <c r="L97" s="253"/>
      <c r="M97" s="253"/>
      <c r="N97" s="253"/>
      <c r="O97" s="253"/>
      <c r="P97" s="253"/>
      <c r="Q97" s="253"/>
      <c r="R97" s="253"/>
      <c r="S97" s="140"/>
      <c r="T97" s="258"/>
      <c r="U97" s="260"/>
      <c r="V97" s="260"/>
    </row>
    <row r="98" spans="1:22" x14ac:dyDescent="0.15">
      <c r="A98" s="125"/>
      <c r="B98" s="255"/>
      <c r="C98" s="255"/>
      <c r="D98" s="249"/>
      <c r="E98" s="249"/>
      <c r="F98" s="249"/>
      <c r="G98" s="179"/>
      <c r="H98" s="179"/>
      <c r="I98" s="251"/>
      <c r="J98" s="249"/>
      <c r="K98" s="249"/>
      <c r="L98" s="249"/>
      <c r="M98" s="249"/>
      <c r="N98" s="249"/>
      <c r="O98" s="249"/>
      <c r="P98" s="249"/>
      <c r="Q98" s="249"/>
      <c r="R98" s="249"/>
      <c r="S98" s="180"/>
      <c r="T98" s="258"/>
      <c r="U98" s="260"/>
      <c r="V98" s="260"/>
    </row>
    <row r="99" spans="1:22" x14ac:dyDescent="0.15">
      <c r="A99" s="125"/>
      <c r="B99" s="255"/>
      <c r="C99" s="255"/>
      <c r="D99" s="263"/>
      <c r="E99" s="263"/>
      <c r="F99" s="263"/>
      <c r="G99" s="179"/>
      <c r="H99" s="179"/>
      <c r="I99" s="251"/>
      <c r="J99" s="249"/>
      <c r="K99" s="249"/>
      <c r="L99" s="249"/>
      <c r="M99" s="249"/>
      <c r="N99" s="249"/>
      <c r="O99" s="249"/>
      <c r="P99" s="249"/>
      <c r="Q99" s="249"/>
      <c r="R99" s="249"/>
      <c r="S99" s="180"/>
      <c r="T99" s="258"/>
      <c r="U99" s="260"/>
      <c r="V99" s="260"/>
    </row>
    <row r="100" spans="1:22" x14ac:dyDescent="0.15">
      <c r="A100" s="181"/>
      <c r="B100" s="214"/>
      <c r="C100" s="214"/>
      <c r="D100" s="264"/>
      <c r="E100" s="264"/>
      <c r="F100" s="264"/>
      <c r="G100" s="183"/>
      <c r="H100" s="183"/>
      <c r="I100" s="256"/>
      <c r="J100" s="253"/>
      <c r="K100" s="253"/>
      <c r="L100" s="253"/>
      <c r="M100" s="253"/>
      <c r="N100" s="253"/>
      <c r="O100" s="253"/>
      <c r="P100" s="253"/>
      <c r="Q100" s="253"/>
      <c r="R100" s="253"/>
      <c r="S100" s="140"/>
      <c r="T100" s="258"/>
      <c r="U100" s="260"/>
      <c r="V100" s="260"/>
    </row>
    <row r="101" spans="1:22" x14ac:dyDescent="0.15">
      <c r="A101" s="125"/>
      <c r="B101" s="255"/>
      <c r="C101" s="255"/>
      <c r="D101" s="249"/>
      <c r="E101" s="249"/>
      <c r="F101" s="249"/>
      <c r="G101" s="179"/>
      <c r="H101" s="179"/>
      <c r="I101" s="251"/>
      <c r="J101" s="249"/>
      <c r="K101" s="249"/>
      <c r="L101" s="249"/>
      <c r="M101" s="249"/>
      <c r="N101" s="249"/>
      <c r="O101" s="249"/>
      <c r="P101" s="249"/>
      <c r="Q101" s="249"/>
      <c r="R101" s="249"/>
      <c r="S101" s="180"/>
      <c r="T101" s="258"/>
      <c r="U101" s="260"/>
      <c r="V101" s="260"/>
    </row>
    <row r="102" spans="1:22" x14ac:dyDescent="0.15">
      <c r="A102" s="125"/>
      <c r="B102" s="255"/>
      <c r="C102" s="255"/>
      <c r="D102" s="263"/>
      <c r="E102" s="263"/>
      <c r="F102" s="263"/>
      <c r="G102" s="179"/>
      <c r="H102" s="179"/>
      <c r="I102" s="251"/>
      <c r="J102" s="249"/>
      <c r="K102" s="249"/>
      <c r="L102" s="249"/>
      <c r="M102" s="249"/>
      <c r="N102" s="249"/>
      <c r="O102" s="249"/>
      <c r="P102" s="249"/>
      <c r="Q102" s="249"/>
      <c r="R102" s="249"/>
      <c r="S102" s="180"/>
      <c r="T102" s="258"/>
      <c r="U102" s="260"/>
      <c r="V102" s="260"/>
    </row>
    <row r="103" spans="1:22" x14ac:dyDescent="0.15">
      <c r="A103" s="181"/>
      <c r="B103" s="214"/>
      <c r="C103" s="214"/>
      <c r="D103" s="264"/>
      <c r="E103" s="264"/>
      <c r="F103" s="264"/>
      <c r="G103" s="183"/>
      <c r="H103" s="183"/>
      <c r="I103" s="256"/>
      <c r="J103" s="253"/>
      <c r="K103" s="253"/>
      <c r="L103" s="253"/>
      <c r="M103" s="253"/>
      <c r="N103" s="253"/>
      <c r="O103" s="253"/>
      <c r="P103" s="253"/>
      <c r="Q103" s="253"/>
      <c r="R103" s="253"/>
      <c r="S103" s="140"/>
      <c r="T103" s="258"/>
      <c r="U103" s="260"/>
      <c r="V103" s="260"/>
    </row>
    <row r="104" spans="1:22" x14ac:dyDescent="0.15">
      <c r="A104" s="125"/>
      <c r="B104" s="255"/>
      <c r="C104" s="255"/>
      <c r="D104" s="249"/>
      <c r="E104" s="249"/>
      <c r="F104" s="249"/>
      <c r="G104" s="179"/>
      <c r="H104" s="179"/>
      <c r="I104" s="251"/>
      <c r="J104" s="249"/>
      <c r="K104" s="249"/>
      <c r="L104" s="249"/>
      <c r="M104" s="249"/>
      <c r="N104" s="249"/>
      <c r="O104" s="249"/>
      <c r="P104" s="249"/>
      <c r="Q104" s="249"/>
      <c r="R104" s="249"/>
      <c r="S104" s="180"/>
      <c r="T104" s="258"/>
      <c r="U104" s="260"/>
      <c r="V104" s="260"/>
    </row>
    <row r="105" spans="1:22" x14ac:dyDescent="0.15">
      <c r="A105" s="125"/>
      <c r="B105" s="255"/>
      <c r="C105" s="255"/>
      <c r="D105" s="263"/>
      <c r="E105" s="263"/>
      <c r="F105" s="263"/>
      <c r="G105" s="179"/>
      <c r="H105" s="179"/>
      <c r="I105" s="251"/>
      <c r="J105" s="249"/>
      <c r="K105" s="249"/>
      <c r="L105" s="249"/>
      <c r="M105" s="249"/>
      <c r="N105" s="249"/>
      <c r="O105" s="249"/>
      <c r="P105" s="249"/>
      <c r="Q105" s="249"/>
      <c r="R105" s="249"/>
      <c r="S105" s="180"/>
      <c r="T105" s="258"/>
      <c r="U105" s="260"/>
      <c r="V105" s="260"/>
    </row>
    <row r="106" spans="1:22" x14ac:dyDescent="0.15">
      <c r="A106" s="181"/>
      <c r="B106" s="214"/>
      <c r="C106" s="214"/>
      <c r="D106" s="264"/>
      <c r="E106" s="264"/>
      <c r="F106" s="264"/>
      <c r="G106" s="183"/>
      <c r="H106" s="183"/>
      <c r="I106" s="256"/>
      <c r="J106" s="253"/>
      <c r="K106" s="253"/>
      <c r="L106" s="253"/>
      <c r="M106" s="253"/>
      <c r="N106" s="253"/>
      <c r="O106" s="253"/>
      <c r="P106" s="253"/>
      <c r="Q106" s="253"/>
      <c r="R106" s="253"/>
      <c r="S106" s="140"/>
      <c r="T106" s="258"/>
      <c r="U106" s="260"/>
      <c r="V106" s="260"/>
    </row>
    <row r="107" spans="1:22" x14ac:dyDescent="0.15">
      <c r="A107" s="125"/>
      <c r="B107" s="255"/>
      <c r="C107" s="255"/>
      <c r="D107" s="249"/>
      <c r="E107" s="249"/>
      <c r="F107" s="249"/>
      <c r="G107" s="179"/>
      <c r="H107" s="179"/>
      <c r="I107" s="251"/>
      <c r="J107" s="249"/>
      <c r="K107" s="249"/>
      <c r="L107" s="249"/>
      <c r="M107" s="249"/>
      <c r="N107" s="249"/>
      <c r="O107" s="249"/>
      <c r="P107" s="249"/>
      <c r="Q107" s="249"/>
      <c r="R107" s="249"/>
      <c r="S107" s="180"/>
      <c r="T107" s="258"/>
      <c r="U107" s="260"/>
      <c r="V107" s="260"/>
    </row>
    <row r="108" spans="1:22" x14ac:dyDescent="0.15">
      <c r="A108" s="125"/>
      <c r="B108" s="255"/>
      <c r="C108" s="255"/>
      <c r="D108" s="263"/>
      <c r="E108" s="263"/>
      <c r="F108" s="263"/>
      <c r="G108" s="179"/>
      <c r="H108" s="179"/>
      <c r="I108" s="251"/>
      <c r="J108" s="249"/>
      <c r="K108" s="249"/>
      <c r="L108" s="249"/>
      <c r="M108" s="249"/>
      <c r="N108" s="249"/>
      <c r="O108" s="249"/>
      <c r="P108" s="249"/>
      <c r="Q108" s="249"/>
      <c r="R108" s="249"/>
      <c r="S108" s="180"/>
      <c r="T108" s="258"/>
      <c r="U108" s="260"/>
      <c r="V108" s="260"/>
    </row>
    <row r="109" spans="1:22" x14ac:dyDescent="0.15">
      <c r="A109" s="181"/>
      <c r="B109" s="214"/>
      <c r="C109" s="214"/>
      <c r="D109" s="264"/>
      <c r="E109" s="264"/>
      <c r="F109" s="264"/>
      <c r="G109" s="183"/>
      <c r="H109" s="183"/>
      <c r="I109" s="256"/>
      <c r="J109" s="253"/>
      <c r="K109" s="253"/>
      <c r="L109" s="253"/>
      <c r="M109" s="253"/>
      <c r="N109" s="253"/>
      <c r="O109" s="253"/>
      <c r="P109" s="253"/>
      <c r="Q109" s="253"/>
      <c r="R109" s="253"/>
      <c r="S109" s="140"/>
      <c r="T109" s="258"/>
      <c r="U109" s="260"/>
      <c r="V109" s="260"/>
    </row>
    <row r="110" spans="1:22" x14ac:dyDescent="0.15">
      <c r="A110" s="125"/>
      <c r="B110" s="255"/>
      <c r="C110" s="255"/>
      <c r="D110" s="249"/>
      <c r="E110" s="249"/>
      <c r="F110" s="249"/>
      <c r="G110" s="179"/>
      <c r="H110" s="179"/>
      <c r="I110" s="251"/>
      <c r="J110" s="249"/>
      <c r="K110" s="249"/>
      <c r="L110" s="249"/>
      <c r="M110" s="249"/>
      <c r="N110" s="249"/>
      <c r="O110" s="249"/>
      <c r="P110" s="249"/>
      <c r="Q110" s="249"/>
      <c r="R110" s="249"/>
      <c r="S110" s="180"/>
      <c r="T110" s="258"/>
      <c r="U110" s="260"/>
      <c r="V110" s="260"/>
    </row>
    <row r="111" spans="1:22" x14ac:dyDescent="0.15">
      <c r="A111" s="125"/>
      <c r="B111" s="255"/>
      <c r="C111" s="255"/>
      <c r="D111" s="263"/>
      <c r="E111" s="263"/>
      <c r="F111" s="263"/>
      <c r="G111" s="179"/>
      <c r="H111" s="179"/>
      <c r="I111" s="251"/>
      <c r="J111" s="249"/>
      <c r="K111" s="249"/>
      <c r="L111" s="249"/>
      <c r="M111" s="249"/>
      <c r="N111" s="249"/>
      <c r="O111" s="249"/>
      <c r="P111" s="249"/>
      <c r="Q111" s="249"/>
      <c r="R111" s="249"/>
      <c r="S111" s="180"/>
      <c r="T111" s="258"/>
      <c r="U111" s="260"/>
      <c r="V111" s="260"/>
    </row>
    <row r="112" spans="1:22" x14ac:dyDescent="0.15">
      <c r="A112" s="181"/>
      <c r="B112" s="214"/>
      <c r="C112" s="214"/>
      <c r="D112" s="264"/>
      <c r="E112" s="264"/>
      <c r="F112" s="264"/>
      <c r="G112" s="183"/>
      <c r="H112" s="183"/>
      <c r="I112" s="256"/>
      <c r="J112" s="253"/>
      <c r="K112" s="253"/>
      <c r="L112" s="253"/>
      <c r="M112" s="253"/>
      <c r="N112" s="253"/>
      <c r="O112" s="253"/>
      <c r="P112" s="253"/>
      <c r="Q112" s="253"/>
      <c r="R112" s="253"/>
      <c r="S112" s="140"/>
      <c r="T112" s="258"/>
      <c r="U112" s="260"/>
      <c r="V112" s="260"/>
    </row>
    <row r="113" spans="1:22" x14ac:dyDescent="0.15">
      <c r="A113" s="125"/>
      <c r="B113" s="255"/>
      <c r="C113" s="255"/>
      <c r="D113" s="249"/>
      <c r="E113" s="249"/>
      <c r="F113" s="249"/>
      <c r="G113" s="179"/>
      <c r="H113" s="179"/>
      <c r="I113" s="251"/>
      <c r="J113" s="249"/>
      <c r="K113" s="249"/>
      <c r="L113" s="249"/>
      <c r="M113" s="249"/>
      <c r="N113" s="249"/>
      <c r="O113" s="249"/>
      <c r="P113" s="249"/>
      <c r="Q113" s="249"/>
      <c r="R113" s="249"/>
      <c r="S113" s="180"/>
      <c r="T113" s="258"/>
      <c r="U113" s="260"/>
      <c r="V113" s="260"/>
    </row>
    <row r="114" spans="1:22" x14ac:dyDescent="0.15">
      <c r="A114" s="125"/>
      <c r="B114" s="255"/>
      <c r="C114" s="255"/>
      <c r="D114" s="263"/>
      <c r="E114" s="263"/>
      <c r="F114" s="263"/>
      <c r="G114" s="179"/>
      <c r="H114" s="179"/>
      <c r="I114" s="251"/>
      <c r="J114" s="249"/>
      <c r="K114" s="249"/>
      <c r="L114" s="249"/>
      <c r="M114" s="249"/>
      <c r="N114" s="249"/>
      <c r="O114" s="249"/>
      <c r="P114" s="249"/>
      <c r="Q114" s="249"/>
      <c r="R114" s="249"/>
      <c r="S114" s="180"/>
      <c r="T114" s="258"/>
      <c r="U114" s="260"/>
      <c r="V114" s="260"/>
    </row>
    <row r="115" spans="1:22" x14ac:dyDescent="0.15">
      <c r="A115" s="181"/>
      <c r="B115" s="214"/>
      <c r="C115" s="214"/>
      <c r="D115" s="264"/>
      <c r="E115" s="264"/>
      <c r="F115" s="264"/>
      <c r="G115" s="183"/>
      <c r="H115" s="183"/>
      <c r="I115" s="256"/>
      <c r="J115" s="253"/>
      <c r="K115" s="253"/>
      <c r="L115" s="253"/>
      <c r="M115" s="253"/>
      <c r="N115" s="253"/>
      <c r="O115" s="253"/>
      <c r="P115" s="253"/>
      <c r="Q115" s="253"/>
      <c r="R115" s="253"/>
      <c r="S115" s="140"/>
      <c r="T115" s="258"/>
      <c r="U115" s="260"/>
      <c r="V115" s="260"/>
    </row>
    <row r="116" spans="1:22" x14ac:dyDescent="0.15">
      <c r="A116" s="125"/>
      <c r="B116" s="255"/>
      <c r="C116" s="255"/>
      <c r="D116" s="249"/>
      <c r="E116" s="249"/>
      <c r="F116" s="249"/>
      <c r="G116" s="179"/>
      <c r="H116" s="179"/>
      <c r="I116" s="251"/>
      <c r="J116" s="249"/>
      <c r="K116" s="249"/>
      <c r="L116" s="249"/>
      <c r="M116" s="249"/>
      <c r="N116" s="249"/>
      <c r="O116" s="249"/>
      <c r="P116" s="249"/>
      <c r="Q116" s="249"/>
      <c r="R116" s="249"/>
      <c r="S116" s="180"/>
      <c r="T116" s="258"/>
      <c r="U116" s="260"/>
      <c r="V116" s="260"/>
    </row>
    <row r="117" spans="1:22" x14ac:dyDescent="0.15">
      <c r="A117" s="125"/>
      <c r="B117" s="255"/>
      <c r="C117" s="255"/>
      <c r="D117" s="263"/>
      <c r="E117" s="263"/>
      <c r="F117" s="263"/>
      <c r="G117" s="179"/>
      <c r="H117" s="179"/>
      <c r="I117" s="251"/>
      <c r="J117" s="249"/>
      <c r="K117" s="249"/>
      <c r="L117" s="249"/>
      <c r="M117" s="249"/>
      <c r="N117" s="249"/>
      <c r="O117" s="249"/>
      <c r="P117" s="249"/>
      <c r="Q117" s="249"/>
      <c r="R117" s="249"/>
      <c r="S117" s="180"/>
      <c r="T117" s="258"/>
      <c r="U117" s="260"/>
      <c r="V117" s="260"/>
    </row>
    <row r="118" spans="1:22" x14ac:dyDescent="0.15">
      <c r="A118" s="181"/>
      <c r="B118" s="214"/>
      <c r="C118" s="214"/>
      <c r="D118" s="264"/>
      <c r="E118" s="264"/>
      <c r="F118" s="264"/>
      <c r="G118" s="183"/>
      <c r="H118" s="183"/>
      <c r="I118" s="256"/>
      <c r="J118" s="253"/>
      <c r="K118" s="253"/>
      <c r="L118" s="253"/>
      <c r="M118" s="253"/>
      <c r="N118" s="253"/>
      <c r="O118" s="253"/>
      <c r="P118" s="253"/>
      <c r="Q118" s="253"/>
      <c r="R118" s="253"/>
      <c r="S118" s="140"/>
      <c r="T118" s="258"/>
      <c r="U118" s="260"/>
      <c r="V118" s="260"/>
    </row>
    <row r="119" spans="1:22" x14ac:dyDescent="0.15">
      <c r="A119" s="125"/>
      <c r="B119" s="255"/>
      <c r="C119" s="255"/>
      <c r="D119" s="249"/>
      <c r="E119" s="249"/>
      <c r="F119" s="249"/>
      <c r="G119" s="179"/>
      <c r="H119" s="179"/>
      <c r="I119" s="251"/>
      <c r="J119" s="249"/>
      <c r="K119" s="249"/>
      <c r="L119" s="249"/>
      <c r="M119" s="249"/>
      <c r="N119" s="249"/>
      <c r="O119" s="249"/>
      <c r="P119" s="249"/>
      <c r="Q119" s="249"/>
      <c r="R119" s="249"/>
      <c r="S119" s="180"/>
      <c r="T119" s="258"/>
      <c r="U119" s="260"/>
      <c r="V119" s="260"/>
    </row>
    <row r="120" spans="1:22" x14ac:dyDescent="0.15">
      <c r="A120" s="125"/>
      <c r="B120" s="255"/>
      <c r="C120" s="255"/>
      <c r="D120" s="263"/>
      <c r="E120" s="263"/>
      <c r="F120" s="263"/>
      <c r="G120" s="179"/>
      <c r="H120" s="179"/>
      <c r="I120" s="251"/>
      <c r="J120" s="249"/>
      <c r="K120" s="249"/>
      <c r="L120" s="249"/>
      <c r="M120" s="249"/>
      <c r="N120" s="249"/>
      <c r="O120" s="249"/>
      <c r="P120" s="249"/>
      <c r="Q120" s="249"/>
      <c r="R120" s="249"/>
      <c r="S120" s="180"/>
      <c r="T120" s="258"/>
      <c r="U120" s="260"/>
      <c r="V120" s="260"/>
    </row>
    <row r="121" spans="1:22" x14ac:dyDescent="0.15">
      <c r="A121" s="181"/>
      <c r="B121" s="214"/>
      <c r="C121" s="214"/>
      <c r="D121" s="264"/>
      <c r="E121" s="264"/>
      <c r="F121" s="264"/>
      <c r="G121" s="183"/>
      <c r="H121" s="183"/>
      <c r="I121" s="256"/>
      <c r="J121" s="253"/>
      <c r="K121" s="253"/>
      <c r="L121" s="253"/>
      <c r="M121" s="253"/>
      <c r="N121" s="253"/>
      <c r="O121" s="253"/>
      <c r="P121" s="253"/>
      <c r="Q121" s="253"/>
      <c r="R121" s="253"/>
      <c r="S121" s="140"/>
      <c r="T121" s="258"/>
      <c r="U121" s="260"/>
      <c r="V121" s="260"/>
    </row>
    <row r="122" spans="1:22" x14ac:dyDescent="0.15">
      <c r="A122" s="125"/>
      <c r="B122" s="255"/>
      <c r="C122" s="255"/>
      <c r="D122" s="249"/>
      <c r="E122" s="249"/>
      <c r="F122" s="249"/>
      <c r="G122" s="179"/>
      <c r="H122" s="179"/>
      <c r="I122" s="251"/>
      <c r="J122" s="249"/>
      <c r="K122" s="249"/>
      <c r="L122" s="249"/>
      <c r="M122" s="249"/>
      <c r="N122" s="249"/>
      <c r="O122" s="249"/>
      <c r="P122" s="249"/>
      <c r="Q122" s="249"/>
      <c r="R122" s="249"/>
      <c r="S122" s="180"/>
      <c r="T122" s="258"/>
      <c r="U122" s="260"/>
      <c r="V122" s="260"/>
    </row>
    <row r="123" spans="1:22" x14ac:dyDescent="0.15">
      <c r="A123" s="125"/>
      <c r="B123" s="255"/>
      <c r="C123" s="255"/>
      <c r="D123" s="263"/>
      <c r="E123" s="263"/>
      <c r="F123" s="263"/>
      <c r="G123" s="179"/>
      <c r="H123" s="179"/>
      <c r="I123" s="251"/>
      <c r="J123" s="249"/>
      <c r="K123" s="249"/>
      <c r="L123" s="249"/>
      <c r="M123" s="249"/>
      <c r="N123" s="249"/>
      <c r="O123" s="249"/>
      <c r="P123" s="249"/>
      <c r="Q123" s="249"/>
      <c r="R123" s="249"/>
      <c r="S123" s="180"/>
      <c r="T123" s="258"/>
      <c r="U123" s="260"/>
      <c r="V123" s="260"/>
    </row>
    <row r="124" spans="1:22" x14ac:dyDescent="0.15">
      <c r="A124" s="181"/>
      <c r="B124" s="214"/>
      <c r="C124" s="214"/>
      <c r="D124" s="264"/>
      <c r="E124" s="264"/>
      <c r="F124" s="264"/>
      <c r="G124" s="183"/>
      <c r="H124" s="183"/>
      <c r="I124" s="256"/>
      <c r="J124" s="253"/>
      <c r="K124" s="253"/>
      <c r="L124" s="253"/>
      <c r="M124" s="253"/>
      <c r="N124" s="253"/>
      <c r="O124" s="253"/>
      <c r="P124" s="253"/>
      <c r="Q124" s="253"/>
      <c r="R124" s="253"/>
      <c r="S124" s="140"/>
      <c r="T124" s="258"/>
      <c r="U124" s="260"/>
      <c r="V124" s="260"/>
    </row>
    <row r="125" spans="1:22" x14ac:dyDescent="0.15">
      <c r="A125" s="125"/>
      <c r="B125" s="255"/>
      <c r="C125" s="255"/>
      <c r="D125" s="249"/>
      <c r="E125" s="249"/>
      <c r="F125" s="249"/>
      <c r="G125" s="179"/>
      <c r="H125" s="179"/>
      <c r="I125" s="251"/>
      <c r="J125" s="249"/>
      <c r="K125" s="249"/>
      <c r="L125" s="249"/>
      <c r="M125" s="249"/>
      <c r="N125" s="249"/>
      <c r="O125" s="249"/>
      <c r="P125" s="249"/>
      <c r="Q125" s="249"/>
      <c r="R125" s="249"/>
      <c r="S125" s="180"/>
      <c r="T125" s="258"/>
      <c r="U125" s="260"/>
      <c r="V125" s="260"/>
    </row>
    <row r="126" spans="1:22" x14ac:dyDescent="0.15">
      <c r="A126" s="125"/>
      <c r="B126" s="255"/>
      <c r="C126" s="255"/>
      <c r="D126" s="263"/>
      <c r="E126" s="263"/>
      <c r="F126" s="263"/>
      <c r="G126" s="179"/>
      <c r="H126" s="179"/>
      <c r="I126" s="251"/>
      <c r="J126" s="249"/>
      <c r="K126" s="249"/>
      <c r="L126" s="249"/>
      <c r="M126" s="249"/>
      <c r="N126" s="249"/>
      <c r="O126" s="249"/>
      <c r="P126" s="249"/>
      <c r="Q126" s="249"/>
      <c r="R126" s="249"/>
      <c r="S126" s="180"/>
      <c r="T126" s="258"/>
      <c r="U126" s="260"/>
      <c r="V126" s="260"/>
    </row>
    <row r="127" spans="1:22" x14ac:dyDescent="0.15">
      <c r="A127" s="181"/>
      <c r="B127" s="214"/>
      <c r="C127" s="214"/>
      <c r="D127" s="264"/>
      <c r="E127" s="264"/>
      <c r="F127" s="264"/>
      <c r="G127" s="183"/>
      <c r="H127" s="183"/>
      <c r="I127" s="256"/>
      <c r="J127" s="253"/>
      <c r="K127" s="253"/>
      <c r="L127" s="253"/>
      <c r="M127" s="253"/>
      <c r="N127" s="253"/>
      <c r="O127" s="253"/>
      <c r="P127" s="253"/>
      <c r="Q127" s="253"/>
      <c r="R127" s="253"/>
      <c r="S127" s="140"/>
      <c r="T127" s="258"/>
      <c r="U127" s="260"/>
      <c r="V127" s="260"/>
    </row>
    <row r="128" spans="1:22" x14ac:dyDescent="0.15">
      <c r="A128" s="125"/>
      <c r="B128" s="255"/>
      <c r="C128" s="255"/>
      <c r="D128" s="249"/>
      <c r="E128" s="249"/>
      <c r="F128" s="249"/>
      <c r="G128" s="179"/>
      <c r="H128" s="179"/>
      <c r="I128" s="251"/>
      <c r="J128" s="249"/>
      <c r="K128" s="249"/>
      <c r="L128" s="249"/>
      <c r="M128" s="249"/>
      <c r="N128" s="249"/>
      <c r="O128" s="249"/>
      <c r="P128" s="249"/>
      <c r="Q128" s="249"/>
      <c r="R128" s="249"/>
      <c r="S128" s="180"/>
      <c r="T128" s="258"/>
      <c r="U128" s="260"/>
      <c r="V128" s="260"/>
    </row>
    <row r="129" spans="1:22" x14ac:dyDescent="0.15">
      <c r="A129" s="125"/>
      <c r="B129" s="255"/>
      <c r="C129" s="255"/>
      <c r="D129" s="263"/>
      <c r="E129" s="263"/>
      <c r="F129" s="263"/>
      <c r="G129" s="179"/>
      <c r="H129" s="179"/>
      <c r="I129" s="251"/>
      <c r="J129" s="249"/>
      <c r="K129" s="249"/>
      <c r="L129" s="249"/>
      <c r="M129" s="249"/>
      <c r="N129" s="249"/>
      <c r="O129" s="249"/>
      <c r="P129" s="249"/>
      <c r="Q129" s="249"/>
      <c r="R129" s="249"/>
      <c r="S129" s="180"/>
      <c r="T129" s="258"/>
      <c r="U129" s="260"/>
      <c r="V129" s="260"/>
    </row>
    <row r="130" spans="1:22" x14ac:dyDescent="0.15">
      <c r="A130" s="181"/>
      <c r="B130" s="214"/>
      <c r="C130" s="214"/>
      <c r="D130" s="264"/>
      <c r="E130" s="264"/>
      <c r="F130" s="264"/>
      <c r="G130" s="183"/>
      <c r="H130" s="183"/>
      <c r="I130" s="256"/>
      <c r="J130" s="253"/>
      <c r="K130" s="253"/>
      <c r="L130" s="253"/>
      <c r="M130" s="253"/>
      <c r="N130" s="253"/>
      <c r="O130" s="253"/>
      <c r="P130" s="253"/>
      <c r="Q130" s="253"/>
      <c r="R130" s="253"/>
      <c r="S130" s="140"/>
      <c r="T130" s="258"/>
      <c r="U130" s="260"/>
      <c r="V130" s="260"/>
    </row>
    <row r="131" spans="1:22" x14ac:dyDescent="0.15">
      <c r="A131" s="125"/>
      <c r="B131" s="255"/>
      <c r="C131" s="255"/>
      <c r="D131" s="249"/>
      <c r="E131" s="249"/>
      <c r="F131" s="249"/>
      <c r="G131" s="179"/>
      <c r="H131" s="179"/>
      <c r="I131" s="251"/>
      <c r="J131" s="249"/>
      <c r="K131" s="249"/>
      <c r="L131" s="249"/>
      <c r="M131" s="249"/>
      <c r="N131" s="249"/>
      <c r="O131" s="249"/>
      <c r="P131" s="249"/>
      <c r="Q131" s="249"/>
      <c r="R131" s="249"/>
      <c r="S131" s="180"/>
      <c r="T131" s="258"/>
      <c r="U131" s="260"/>
      <c r="V131" s="260"/>
    </row>
    <row r="132" spans="1:22" x14ac:dyDescent="0.15">
      <c r="A132" s="125"/>
      <c r="B132" s="255"/>
      <c r="C132" s="255"/>
      <c r="D132" s="263"/>
      <c r="E132" s="263"/>
      <c r="F132" s="263"/>
      <c r="G132" s="179"/>
      <c r="H132" s="179"/>
      <c r="I132" s="251"/>
      <c r="J132" s="249"/>
      <c r="K132" s="249"/>
      <c r="L132" s="249"/>
      <c r="M132" s="249"/>
      <c r="N132" s="249"/>
      <c r="O132" s="249"/>
      <c r="P132" s="249"/>
      <c r="Q132" s="249"/>
      <c r="R132" s="249"/>
      <c r="S132" s="180"/>
      <c r="T132" s="258"/>
      <c r="U132" s="260"/>
      <c r="V132" s="260"/>
    </row>
    <row r="133" spans="1:22" x14ac:dyDescent="0.15">
      <c r="A133" s="181"/>
      <c r="B133" s="214"/>
      <c r="C133" s="214"/>
      <c r="D133" s="264"/>
      <c r="E133" s="264"/>
      <c r="F133" s="264"/>
      <c r="G133" s="183"/>
      <c r="H133" s="183"/>
      <c r="I133" s="256"/>
      <c r="J133" s="253"/>
      <c r="K133" s="253"/>
      <c r="L133" s="253"/>
      <c r="M133" s="253"/>
      <c r="N133" s="253"/>
      <c r="O133" s="253"/>
      <c r="P133" s="253"/>
      <c r="Q133" s="253"/>
      <c r="R133" s="253"/>
      <c r="S133" s="140"/>
      <c r="T133" s="258"/>
      <c r="U133" s="260"/>
      <c r="V133" s="260"/>
    </row>
    <row r="134" spans="1:22" x14ac:dyDescent="0.15">
      <c r="A134" s="125"/>
      <c r="B134" s="255"/>
      <c r="C134" s="255"/>
      <c r="D134" s="249"/>
      <c r="E134" s="249"/>
      <c r="F134" s="249"/>
      <c r="G134" s="179"/>
      <c r="H134" s="179"/>
      <c r="I134" s="251"/>
      <c r="J134" s="249"/>
      <c r="K134" s="249"/>
      <c r="L134" s="249"/>
      <c r="M134" s="249"/>
      <c r="N134" s="249"/>
      <c r="O134" s="249"/>
      <c r="P134" s="249"/>
      <c r="Q134" s="249"/>
      <c r="R134" s="249"/>
      <c r="S134" s="180"/>
      <c r="T134" s="258"/>
      <c r="U134" s="260"/>
      <c r="V134" s="260"/>
    </row>
    <row r="135" spans="1:22" x14ac:dyDescent="0.15">
      <c r="A135" s="125"/>
      <c r="B135" s="255"/>
      <c r="C135" s="255"/>
      <c r="D135" s="263"/>
      <c r="E135" s="263"/>
      <c r="F135" s="263"/>
      <c r="G135" s="179"/>
      <c r="H135" s="179"/>
      <c r="I135" s="251"/>
      <c r="J135" s="249"/>
      <c r="K135" s="249"/>
      <c r="L135" s="249"/>
      <c r="M135" s="249"/>
      <c r="N135" s="249"/>
      <c r="O135" s="249"/>
      <c r="P135" s="249"/>
      <c r="Q135" s="249"/>
      <c r="R135" s="249"/>
      <c r="S135" s="180"/>
      <c r="T135" s="258"/>
      <c r="U135" s="260"/>
      <c r="V135" s="260"/>
    </row>
    <row r="136" spans="1:22" x14ac:dyDescent="0.15">
      <c r="A136" s="181"/>
      <c r="B136" s="214"/>
      <c r="C136" s="214"/>
      <c r="D136" s="264"/>
      <c r="E136" s="264"/>
      <c r="F136" s="264"/>
      <c r="G136" s="183"/>
      <c r="H136" s="183"/>
      <c r="I136" s="256"/>
      <c r="J136" s="253"/>
      <c r="K136" s="253"/>
      <c r="L136" s="253"/>
      <c r="M136" s="253"/>
      <c r="N136" s="253"/>
      <c r="O136" s="253"/>
      <c r="P136" s="253"/>
      <c r="Q136" s="253"/>
      <c r="R136" s="253"/>
      <c r="S136" s="140"/>
      <c r="T136" s="258"/>
      <c r="U136" s="260"/>
      <c r="V136" s="260"/>
    </row>
    <row r="137" spans="1:22" x14ac:dyDescent="0.15">
      <c r="A137" s="125"/>
      <c r="B137" s="255"/>
      <c r="C137" s="255"/>
      <c r="D137" s="249"/>
      <c r="E137" s="249"/>
      <c r="F137" s="249"/>
      <c r="G137" s="179"/>
      <c r="H137" s="179"/>
      <c r="I137" s="251"/>
      <c r="J137" s="249"/>
      <c r="K137" s="249"/>
      <c r="L137" s="249"/>
      <c r="M137" s="249"/>
      <c r="N137" s="249"/>
      <c r="O137" s="249"/>
      <c r="P137" s="249"/>
      <c r="Q137" s="249"/>
      <c r="R137" s="249"/>
      <c r="S137" s="180"/>
      <c r="T137" s="258"/>
      <c r="U137" s="260"/>
      <c r="V137" s="260"/>
    </row>
    <row r="138" spans="1:22" x14ac:dyDescent="0.15">
      <c r="A138" s="125"/>
      <c r="B138" s="255"/>
      <c r="C138" s="255"/>
      <c r="D138" s="263"/>
      <c r="E138" s="263"/>
      <c r="F138" s="263"/>
      <c r="G138" s="179"/>
      <c r="H138" s="179"/>
      <c r="I138" s="251"/>
      <c r="J138" s="249"/>
      <c r="K138" s="249"/>
      <c r="L138" s="249"/>
      <c r="M138" s="249"/>
      <c r="N138" s="249"/>
      <c r="O138" s="249"/>
      <c r="P138" s="249"/>
      <c r="Q138" s="249"/>
      <c r="R138" s="249"/>
      <c r="S138" s="180"/>
      <c r="T138" s="258"/>
      <c r="U138" s="260"/>
      <c r="V138" s="260"/>
    </row>
    <row r="139" spans="1:22" x14ac:dyDescent="0.15">
      <c r="A139" s="181"/>
      <c r="B139" s="214"/>
      <c r="C139" s="214"/>
      <c r="D139" s="264"/>
      <c r="E139" s="264"/>
      <c r="F139" s="264"/>
      <c r="G139" s="183"/>
      <c r="H139" s="183"/>
      <c r="I139" s="256"/>
      <c r="J139" s="253"/>
      <c r="K139" s="253"/>
      <c r="L139" s="253"/>
      <c r="M139" s="253"/>
      <c r="N139" s="253"/>
      <c r="O139" s="253"/>
      <c r="P139" s="253"/>
      <c r="Q139" s="253"/>
      <c r="R139" s="253"/>
      <c r="S139" s="140"/>
      <c r="T139" s="258"/>
      <c r="U139" s="260"/>
      <c r="V139" s="260"/>
    </row>
    <row r="140" spans="1:22" x14ac:dyDescent="0.15">
      <c r="A140" s="125"/>
      <c r="B140" s="255"/>
      <c r="C140" s="255"/>
      <c r="D140" s="249"/>
      <c r="E140" s="249"/>
      <c r="F140" s="249"/>
      <c r="G140" s="179"/>
      <c r="H140" s="179"/>
      <c r="I140" s="251"/>
      <c r="J140" s="249"/>
      <c r="K140" s="249"/>
      <c r="L140" s="249"/>
      <c r="M140" s="249"/>
      <c r="N140" s="249"/>
      <c r="O140" s="249"/>
      <c r="P140" s="249"/>
      <c r="Q140" s="249"/>
      <c r="R140" s="249"/>
      <c r="S140" s="180"/>
      <c r="T140" s="258"/>
      <c r="U140" s="260"/>
      <c r="V140" s="260"/>
    </row>
    <row r="141" spans="1:22" x14ac:dyDescent="0.15">
      <c r="A141" s="125"/>
      <c r="B141" s="255"/>
      <c r="C141" s="255"/>
      <c r="D141" s="263"/>
      <c r="E141" s="263"/>
      <c r="F141" s="263"/>
      <c r="G141" s="179"/>
      <c r="H141" s="179"/>
      <c r="I141" s="251"/>
      <c r="J141" s="249"/>
      <c r="K141" s="249"/>
      <c r="L141" s="249"/>
      <c r="M141" s="249"/>
      <c r="N141" s="249"/>
      <c r="O141" s="249"/>
      <c r="P141" s="249"/>
      <c r="Q141" s="249"/>
      <c r="R141" s="249"/>
      <c r="S141" s="180"/>
      <c r="T141" s="258"/>
      <c r="U141" s="260"/>
      <c r="V141" s="260"/>
    </row>
    <row r="142" spans="1:22" x14ac:dyDescent="0.15">
      <c r="A142" s="181"/>
      <c r="B142" s="214"/>
      <c r="C142" s="214"/>
      <c r="D142" s="264"/>
      <c r="E142" s="264"/>
      <c r="F142" s="264"/>
      <c r="G142" s="183"/>
      <c r="H142" s="183"/>
      <c r="I142" s="256"/>
      <c r="J142" s="253"/>
      <c r="K142" s="253"/>
      <c r="L142" s="253"/>
      <c r="M142" s="253"/>
      <c r="N142" s="253"/>
      <c r="O142" s="253"/>
      <c r="P142" s="253"/>
      <c r="Q142" s="253"/>
      <c r="R142" s="253"/>
      <c r="S142" s="140"/>
      <c r="T142" s="258"/>
      <c r="U142" s="260"/>
      <c r="V142" s="260"/>
    </row>
    <row r="143" spans="1:22" x14ac:dyDescent="0.15">
      <c r="A143" s="125"/>
      <c r="B143" s="255"/>
      <c r="C143" s="255"/>
      <c r="D143" s="249"/>
      <c r="E143" s="249"/>
      <c r="F143" s="249"/>
      <c r="G143" s="179"/>
      <c r="H143" s="179"/>
      <c r="I143" s="251"/>
      <c r="J143" s="249"/>
      <c r="K143" s="249"/>
      <c r="L143" s="249"/>
      <c r="M143" s="249"/>
      <c r="N143" s="249"/>
      <c r="O143" s="249"/>
      <c r="P143" s="249"/>
      <c r="Q143" s="249"/>
      <c r="R143" s="249"/>
      <c r="S143" s="180"/>
      <c r="T143" s="258"/>
      <c r="U143" s="260"/>
      <c r="V143" s="260"/>
    </row>
    <row r="144" spans="1:22" x14ac:dyDescent="0.15">
      <c r="A144" s="125"/>
      <c r="B144" s="255"/>
      <c r="C144" s="255"/>
      <c r="D144" s="263"/>
      <c r="E144" s="263"/>
      <c r="F144" s="263"/>
      <c r="G144" s="179"/>
      <c r="H144" s="179"/>
      <c r="I144" s="251"/>
      <c r="J144" s="249"/>
      <c r="K144" s="249"/>
      <c r="L144" s="249"/>
      <c r="M144" s="249"/>
      <c r="N144" s="249"/>
      <c r="O144" s="249"/>
      <c r="P144" s="249"/>
      <c r="Q144" s="249"/>
      <c r="R144" s="249"/>
      <c r="S144" s="180"/>
      <c r="T144" s="258"/>
      <c r="U144" s="260"/>
      <c r="V144" s="260"/>
    </row>
    <row r="145" spans="1:22" x14ac:dyDescent="0.15">
      <c r="A145" s="181"/>
      <c r="B145" s="214"/>
      <c r="C145" s="214"/>
      <c r="D145" s="264"/>
      <c r="E145" s="264"/>
      <c r="F145" s="264"/>
      <c r="G145" s="183"/>
      <c r="H145" s="183"/>
      <c r="I145" s="256"/>
      <c r="J145" s="253"/>
      <c r="K145" s="253"/>
      <c r="L145" s="253"/>
      <c r="M145" s="253"/>
      <c r="N145" s="253"/>
      <c r="O145" s="253"/>
      <c r="P145" s="253"/>
      <c r="Q145" s="253"/>
      <c r="R145" s="253"/>
      <c r="S145" s="140"/>
      <c r="T145" s="258"/>
      <c r="U145" s="260"/>
      <c r="V145" s="260"/>
    </row>
    <row r="146" spans="1:22" x14ac:dyDescent="0.15">
      <c r="A146" s="125"/>
      <c r="B146" s="255"/>
      <c r="C146" s="255"/>
      <c r="D146" s="249"/>
      <c r="E146" s="249"/>
      <c r="F146" s="249"/>
      <c r="G146" s="179"/>
      <c r="H146" s="179"/>
      <c r="I146" s="251"/>
      <c r="J146" s="249"/>
      <c r="K146" s="249"/>
      <c r="L146" s="249"/>
      <c r="M146" s="249"/>
      <c r="N146" s="249"/>
      <c r="O146" s="249"/>
      <c r="P146" s="249"/>
      <c r="Q146" s="249"/>
      <c r="R146" s="249"/>
      <c r="S146" s="180"/>
      <c r="T146" s="258"/>
      <c r="U146" s="260"/>
      <c r="V146" s="260"/>
    </row>
    <row r="147" spans="1:22" x14ac:dyDescent="0.15">
      <c r="A147" s="125"/>
      <c r="B147" s="255"/>
      <c r="C147" s="255"/>
      <c r="D147" s="263"/>
      <c r="E147" s="263"/>
      <c r="F147" s="263"/>
      <c r="G147" s="179"/>
      <c r="H147" s="179"/>
      <c r="I147" s="251"/>
      <c r="J147" s="249"/>
      <c r="K147" s="249"/>
      <c r="L147" s="249"/>
      <c r="M147" s="249"/>
      <c r="N147" s="249"/>
      <c r="O147" s="249"/>
      <c r="P147" s="249"/>
      <c r="Q147" s="249"/>
      <c r="R147" s="249"/>
      <c r="S147" s="180"/>
      <c r="T147" s="258"/>
      <c r="U147" s="260"/>
      <c r="V147" s="260"/>
    </row>
    <row r="148" spans="1:22" x14ac:dyDescent="0.15">
      <c r="A148" s="181"/>
      <c r="B148" s="214"/>
      <c r="C148" s="214"/>
      <c r="D148" s="264"/>
      <c r="E148" s="264"/>
      <c r="F148" s="264"/>
      <c r="G148" s="183"/>
      <c r="H148" s="183"/>
      <c r="I148" s="256"/>
      <c r="J148" s="253"/>
      <c r="K148" s="253"/>
      <c r="L148" s="253"/>
      <c r="M148" s="253"/>
      <c r="N148" s="253"/>
      <c r="O148" s="253"/>
      <c r="P148" s="253"/>
      <c r="Q148" s="253"/>
      <c r="R148" s="253"/>
      <c r="S148" s="140"/>
      <c r="T148" s="258"/>
      <c r="U148" s="260"/>
      <c r="V148" s="260"/>
    </row>
    <row r="149" spans="1:22" x14ac:dyDescent="0.15">
      <c r="A149" s="125"/>
      <c r="B149" s="255"/>
      <c r="C149" s="255"/>
      <c r="D149" s="249"/>
      <c r="E149" s="249"/>
      <c r="F149" s="249"/>
      <c r="G149" s="179"/>
      <c r="H149" s="179"/>
      <c r="I149" s="251"/>
      <c r="J149" s="249"/>
      <c r="K149" s="249"/>
      <c r="L149" s="249"/>
      <c r="M149" s="249"/>
      <c r="N149" s="249"/>
      <c r="O149" s="249"/>
      <c r="P149" s="249"/>
      <c r="Q149" s="249"/>
      <c r="R149" s="249"/>
      <c r="S149" s="180"/>
      <c r="T149" s="258"/>
      <c r="U149" s="260"/>
      <c r="V149" s="260"/>
    </row>
    <row r="150" spans="1:22" x14ac:dyDescent="0.15">
      <c r="A150" s="125"/>
      <c r="B150" s="255"/>
      <c r="C150" s="255"/>
      <c r="D150" s="263"/>
      <c r="E150" s="263"/>
      <c r="F150" s="263"/>
      <c r="G150" s="179"/>
      <c r="H150" s="179"/>
      <c r="I150" s="251"/>
      <c r="J150" s="249"/>
      <c r="K150" s="249"/>
      <c r="L150" s="249"/>
      <c r="M150" s="249"/>
      <c r="N150" s="249"/>
      <c r="O150" s="249"/>
      <c r="P150" s="249"/>
      <c r="Q150" s="249"/>
      <c r="R150" s="249"/>
      <c r="S150" s="180"/>
      <c r="T150" s="258"/>
      <c r="U150" s="260"/>
      <c r="V150" s="260"/>
    </row>
    <row r="151" spans="1:22" x14ac:dyDescent="0.15">
      <c r="A151" s="181"/>
      <c r="B151" s="214"/>
      <c r="C151" s="214"/>
      <c r="D151" s="264"/>
      <c r="E151" s="264"/>
      <c r="F151" s="264"/>
      <c r="G151" s="183"/>
      <c r="H151" s="183"/>
      <c r="I151" s="256"/>
      <c r="J151" s="253"/>
      <c r="K151" s="253"/>
      <c r="L151" s="253"/>
      <c r="M151" s="253"/>
      <c r="N151" s="253"/>
      <c r="O151" s="253"/>
      <c r="P151" s="253"/>
      <c r="Q151" s="253"/>
      <c r="R151" s="253"/>
      <c r="S151" s="140"/>
      <c r="T151" s="258"/>
      <c r="U151" s="260"/>
      <c r="V151" s="260"/>
    </row>
    <row r="152" spans="1:22" x14ac:dyDescent="0.15">
      <c r="A152" s="125"/>
      <c r="B152" s="255"/>
      <c r="C152" s="255"/>
      <c r="D152" s="249"/>
      <c r="E152" s="249"/>
      <c r="F152" s="249"/>
      <c r="G152" s="179"/>
      <c r="H152" s="179"/>
      <c r="I152" s="251"/>
      <c r="J152" s="249"/>
      <c r="K152" s="249"/>
      <c r="L152" s="249"/>
      <c r="M152" s="249"/>
      <c r="N152" s="249"/>
      <c r="O152" s="249"/>
      <c r="P152" s="249"/>
      <c r="Q152" s="249"/>
      <c r="R152" s="249"/>
      <c r="S152" s="180"/>
      <c r="T152" s="258"/>
      <c r="U152" s="260"/>
      <c r="V152" s="260"/>
    </row>
    <row r="153" spans="1:22" x14ac:dyDescent="0.15">
      <c r="A153" s="125"/>
      <c r="B153" s="255"/>
      <c r="C153" s="255"/>
      <c r="D153" s="263"/>
      <c r="E153" s="263"/>
      <c r="F153" s="263"/>
      <c r="G153" s="179"/>
      <c r="H153" s="179"/>
      <c r="I153" s="251"/>
      <c r="J153" s="249"/>
      <c r="K153" s="249"/>
      <c r="L153" s="249"/>
      <c r="M153" s="249"/>
      <c r="N153" s="249"/>
      <c r="O153" s="249"/>
      <c r="P153" s="249"/>
      <c r="Q153" s="249"/>
      <c r="R153" s="249"/>
      <c r="S153" s="180"/>
      <c r="T153" s="258"/>
      <c r="U153" s="260"/>
      <c r="V153" s="260"/>
    </row>
    <row r="154" spans="1:22" x14ac:dyDescent="0.15">
      <c r="A154" s="181"/>
      <c r="B154" s="214"/>
      <c r="C154" s="214"/>
      <c r="D154" s="264"/>
      <c r="E154" s="264"/>
      <c r="F154" s="264"/>
      <c r="G154" s="183"/>
      <c r="H154" s="183"/>
      <c r="I154" s="256"/>
      <c r="J154" s="253"/>
      <c r="K154" s="253"/>
      <c r="L154" s="253"/>
      <c r="M154" s="253"/>
      <c r="N154" s="253"/>
      <c r="O154" s="253"/>
      <c r="P154" s="253"/>
      <c r="Q154" s="253"/>
      <c r="R154" s="253"/>
      <c r="S154" s="140"/>
      <c r="T154" s="258"/>
      <c r="U154" s="260"/>
      <c r="V154" s="260"/>
    </row>
    <row r="155" spans="1:22" x14ac:dyDescent="0.15">
      <c r="A155" s="125"/>
      <c r="B155" s="255"/>
      <c r="C155" s="255"/>
      <c r="D155" s="249"/>
      <c r="E155" s="249"/>
      <c r="F155" s="249"/>
      <c r="G155" s="179"/>
      <c r="H155" s="179"/>
      <c r="I155" s="251"/>
      <c r="J155" s="249"/>
      <c r="K155" s="249"/>
      <c r="L155" s="249"/>
      <c r="M155" s="249"/>
      <c r="N155" s="249"/>
      <c r="O155" s="249"/>
      <c r="P155" s="249"/>
      <c r="Q155" s="249"/>
      <c r="R155" s="249"/>
      <c r="S155" s="180"/>
      <c r="T155" s="258"/>
      <c r="U155" s="260"/>
      <c r="V155" s="260"/>
    </row>
    <row r="156" spans="1:22" x14ac:dyDescent="0.15">
      <c r="A156" s="125"/>
      <c r="B156" s="255"/>
      <c r="C156" s="255"/>
      <c r="D156" s="263"/>
      <c r="E156" s="263"/>
      <c r="F156" s="263"/>
      <c r="G156" s="179"/>
      <c r="H156" s="179"/>
      <c r="I156" s="251"/>
      <c r="J156" s="249"/>
      <c r="K156" s="249"/>
      <c r="L156" s="249"/>
      <c r="M156" s="249"/>
      <c r="N156" s="249"/>
      <c r="O156" s="249"/>
      <c r="P156" s="249"/>
      <c r="Q156" s="249"/>
      <c r="R156" s="249"/>
      <c r="S156" s="180"/>
      <c r="T156" s="258"/>
      <c r="U156" s="260"/>
      <c r="V156" s="260"/>
    </row>
    <row r="157" spans="1:22" x14ac:dyDescent="0.15">
      <c r="A157" s="181"/>
      <c r="B157" s="214"/>
      <c r="C157" s="214"/>
      <c r="D157" s="264"/>
      <c r="E157" s="264"/>
      <c r="F157" s="264"/>
      <c r="G157" s="183"/>
      <c r="H157" s="183"/>
      <c r="I157" s="256"/>
      <c r="J157" s="253"/>
      <c r="K157" s="253"/>
      <c r="L157" s="253"/>
      <c r="M157" s="253"/>
      <c r="N157" s="253"/>
      <c r="O157" s="253"/>
      <c r="P157" s="253"/>
      <c r="Q157" s="253"/>
      <c r="R157" s="253"/>
      <c r="S157" s="140"/>
      <c r="T157" s="258"/>
      <c r="U157" s="260"/>
      <c r="V157" s="260"/>
    </row>
    <row r="158" spans="1:22" x14ac:dyDescent="0.15">
      <c r="A158" s="125"/>
      <c r="B158" s="255"/>
      <c r="C158" s="255"/>
      <c r="D158" s="249"/>
      <c r="E158" s="249"/>
      <c r="F158" s="249"/>
      <c r="G158" s="179"/>
      <c r="H158" s="179"/>
      <c r="I158" s="251"/>
      <c r="J158" s="249"/>
      <c r="K158" s="249"/>
      <c r="L158" s="249"/>
      <c r="M158" s="249"/>
      <c r="N158" s="249"/>
      <c r="O158" s="249"/>
      <c r="P158" s="249"/>
      <c r="Q158" s="249"/>
      <c r="R158" s="249"/>
      <c r="S158" s="180"/>
      <c r="T158" s="258"/>
      <c r="U158" s="260"/>
      <c r="V158" s="260"/>
    </row>
    <row r="159" spans="1:22" x14ac:dyDescent="0.15">
      <c r="A159" s="125"/>
      <c r="B159" s="255"/>
      <c r="C159" s="255"/>
      <c r="D159" s="263"/>
      <c r="E159" s="263"/>
      <c r="F159" s="263"/>
      <c r="G159" s="179"/>
      <c r="H159" s="179"/>
      <c r="I159" s="251"/>
      <c r="J159" s="249"/>
      <c r="K159" s="249"/>
      <c r="L159" s="249"/>
      <c r="M159" s="249"/>
      <c r="N159" s="249"/>
      <c r="O159" s="249"/>
      <c r="P159" s="249"/>
      <c r="Q159" s="249"/>
      <c r="R159" s="249"/>
      <c r="S159" s="180"/>
      <c r="T159" s="258"/>
      <c r="U159" s="260"/>
      <c r="V159" s="260"/>
    </row>
    <row r="160" spans="1:22" x14ac:dyDescent="0.15">
      <c r="A160" s="181"/>
      <c r="B160" s="214"/>
      <c r="C160" s="214"/>
      <c r="D160" s="264"/>
      <c r="E160" s="264"/>
      <c r="F160" s="264"/>
      <c r="G160" s="183"/>
      <c r="H160" s="183"/>
      <c r="I160" s="256"/>
      <c r="J160" s="253"/>
      <c r="K160" s="253"/>
      <c r="L160" s="253"/>
      <c r="M160" s="253"/>
      <c r="N160" s="253"/>
      <c r="O160" s="253"/>
      <c r="P160" s="253"/>
      <c r="Q160" s="253"/>
      <c r="R160" s="253"/>
      <c r="S160" s="140"/>
      <c r="T160" s="258"/>
      <c r="U160" s="260"/>
      <c r="V160" s="260"/>
    </row>
    <row r="161" spans="1:22" x14ac:dyDescent="0.15">
      <c r="A161" s="125"/>
      <c r="B161" s="255"/>
      <c r="C161" s="255"/>
      <c r="D161" s="249"/>
      <c r="E161" s="249"/>
      <c r="F161" s="249"/>
      <c r="G161" s="179"/>
      <c r="H161" s="179"/>
      <c r="I161" s="251"/>
      <c r="J161" s="249"/>
      <c r="K161" s="249"/>
      <c r="L161" s="249"/>
      <c r="M161" s="249"/>
      <c r="N161" s="249"/>
      <c r="O161" s="249"/>
      <c r="P161" s="249"/>
      <c r="Q161" s="249"/>
      <c r="R161" s="249"/>
      <c r="S161" s="180"/>
      <c r="T161" s="258"/>
      <c r="U161" s="260"/>
      <c r="V161" s="260"/>
    </row>
    <row r="162" spans="1:22" x14ac:dyDescent="0.15">
      <c r="A162" s="125"/>
      <c r="B162" s="255"/>
      <c r="C162" s="255"/>
      <c r="D162" s="263"/>
      <c r="E162" s="263"/>
      <c r="F162" s="263"/>
      <c r="G162" s="179"/>
      <c r="H162" s="179"/>
      <c r="I162" s="251"/>
      <c r="J162" s="249"/>
      <c r="K162" s="249"/>
      <c r="L162" s="249"/>
      <c r="M162" s="249"/>
      <c r="N162" s="249"/>
      <c r="O162" s="249"/>
      <c r="P162" s="249"/>
      <c r="Q162" s="249"/>
      <c r="R162" s="249"/>
      <c r="S162" s="180"/>
      <c r="T162" s="258"/>
      <c r="U162" s="260"/>
      <c r="V162" s="260"/>
    </row>
    <row r="163" spans="1:22" x14ac:dyDescent="0.15">
      <c r="A163" s="181"/>
      <c r="B163" s="214"/>
      <c r="C163" s="214"/>
      <c r="D163" s="264"/>
      <c r="E163" s="264"/>
      <c r="F163" s="264"/>
      <c r="G163" s="183"/>
      <c r="H163" s="183"/>
      <c r="I163" s="256"/>
      <c r="J163" s="253"/>
      <c r="K163" s="253"/>
      <c r="L163" s="253"/>
      <c r="M163" s="253"/>
      <c r="N163" s="253"/>
      <c r="O163" s="253"/>
      <c r="P163" s="253"/>
      <c r="Q163" s="253"/>
      <c r="R163" s="253"/>
      <c r="S163" s="140"/>
      <c r="T163" s="258"/>
      <c r="U163" s="260"/>
      <c r="V163" s="260"/>
    </row>
    <row r="164" spans="1:22" x14ac:dyDescent="0.15">
      <c r="A164" s="125"/>
      <c r="B164" s="255"/>
      <c r="C164" s="255"/>
      <c r="D164" s="249"/>
      <c r="E164" s="249"/>
      <c r="F164" s="249"/>
      <c r="G164" s="179"/>
      <c r="H164" s="179"/>
      <c r="I164" s="251"/>
      <c r="J164" s="249"/>
      <c r="K164" s="249"/>
      <c r="L164" s="249"/>
      <c r="M164" s="249"/>
      <c r="N164" s="249"/>
      <c r="O164" s="249"/>
      <c r="P164" s="249"/>
      <c r="Q164" s="249"/>
      <c r="R164" s="249"/>
      <c r="S164" s="180"/>
      <c r="T164" s="258"/>
      <c r="U164" s="260"/>
      <c r="V164" s="260"/>
    </row>
    <row r="165" spans="1:22" x14ac:dyDescent="0.15">
      <c r="A165" s="125"/>
      <c r="B165" s="255"/>
      <c r="C165" s="255"/>
      <c r="D165" s="263"/>
      <c r="E165" s="263"/>
      <c r="F165" s="263"/>
      <c r="G165" s="179"/>
      <c r="H165" s="179"/>
      <c r="I165" s="251"/>
      <c r="J165" s="249"/>
      <c r="K165" s="249"/>
      <c r="L165" s="249"/>
      <c r="M165" s="249"/>
      <c r="N165" s="249"/>
      <c r="O165" s="249"/>
      <c r="P165" s="249"/>
      <c r="Q165" s="249"/>
      <c r="R165" s="249"/>
      <c r="S165" s="180"/>
      <c r="T165" s="258"/>
      <c r="U165" s="260"/>
      <c r="V165" s="260"/>
    </row>
    <row r="166" spans="1:22" x14ac:dyDescent="0.15">
      <c r="A166" s="181"/>
      <c r="B166" s="214"/>
      <c r="C166" s="214"/>
      <c r="D166" s="264"/>
      <c r="E166" s="264"/>
      <c r="F166" s="264"/>
      <c r="G166" s="183"/>
      <c r="H166" s="183"/>
      <c r="I166" s="256"/>
      <c r="J166" s="253"/>
      <c r="K166" s="253"/>
      <c r="L166" s="253"/>
      <c r="M166" s="253"/>
      <c r="N166" s="253"/>
      <c r="O166" s="253"/>
      <c r="P166" s="253"/>
      <c r="Q166" s="253"/>
      <c r="R166" s="253"/>
      <c r="S166" s="140"/>
      <c r="T166" s="258"/>
      <c r="U166" s="260"/>
      <c r="V166" s="260"/>
    </row>
    <row r="167" spans="1:22" x14ac:dyDescent="0.15">
      <c r="A167" s="125"/>
      <c r="B167" s="255"/>
      <c r="C167" s="255"/>
      <c r="D167" s="249"/>
      <c r="E167" s="249"/>
      <c r="F167" s="249"/>
      <c r="G167" s="179"/>
      <c r="H167" s="179"/>
      <c r="I167" s="251"/>
      <c r="J167" s="249"/>
      <c r="K167" s="249"/>
      <c r="L167" s="249"/>
      <c r="M167" s="249"/>
      <c r="N167" s="249"/>
      <c r="O167" s="249"/>
      <c r="P167" s="249"/>
      <c r="Q167" s="249"/>
      <c r="R167" s="249"/>
      <c r="S167" s="180"/>
      <c r="T167" s="258"/>
      <c r="U167" s="260"/>
      <c r="V167" s="260"/>
    </row>
    <row r="168" spans="1:22" x14ac:dyDescent="0.15">
      <c r="A168" s="125"/>
      <c r="B168" s="255"/>
      <c r="C168" s="255"/>
      <c r="D168" s="263"/>
      <c r="E168" s="263"/>
      <c r="F168" s="263"/>
      <c r="G168" s="179"/>
      <c r="H168" s="179"/>
      <c r="I168" s="251"/>
      <c r="J168" s="249"/>
      <c r="K168" s="249"/>
      <c r="L168" s="249"/>
      <c r="M168" s="249"/>
      <c r="N168" s="249"/>
      <c r="O168" s="249"/>
      <c r="P168" s="249"/>
      <c r="Q168" s="249"/>
      <c r="R168" s="249"/>
      <c r="S168" s="180"/>
      <c r="T168" s="258"/>
      <c r="U168" s="260"/>
      <c r="V168" s="260"/>
    </row>
    <row r="169" spans="1:22" x14ac:dyDescent="0.15">
      <c r="A169" s="181"/>
      <c r="B169" s="214"/>
      <c r="C169" s="214"/>
      <c r="D169" s="264"/>
      <c r="E169" s="264"/>
      <c r="F169" s="264"/>
      <c r="G169" s="183"/>
      <c r="H169" s="183"/>
      <c r="I169" s="256"/>
      <c r="J169" s="253"/>
      <c r="K169" s="253"/>
      <c r="L169" s="253"/>
      <c r="M169" s="253"/>
      <c r="N169" s="253"/>
      <c r="O169" s="253"/>
      <c r="P169" s="253"/>
      <c r="Q169" s="253"/>
      <c r="R169" s="253"/>
      <c r="S169" s="140"/>
      <c r="T169" s="258"/>
      <c r="U169" s="260"/>
      <c r="V169" s="260"/>
    </row>
    <row r="170" spans="1:22" x14ac:dyDescent="0.15">
      <c r="A170" s="125"/>
      <c r="B170" s="255"/>
      <c r="C170" s="255"/>
      <c r="D170" s="249"/>
      <c r="E170" s="249"/>
      <c r="F170" s="249"/>
      <c r="G170" s="179"/>
      <c r="H170" s="179"/>
      <c r="I170" s="251"/>
      <c r="J170" s="249"/>
      <c r="K170" s="249"/>
      <c r="L170" s="249"/>
      <c r="M170" s="249"/>
      <c r="N170" s="249"/>
      <c r="O170" s="249"/>
      <c r="P170" s="249"/>
      <c r="Q170" s="249"/>
      <c r="R170" s="249"/>
      <c r="S170" s="180"/>
      <c r="T170" s="258"/>
      <c r="U170" s="260"/>
      <c r="V170" s="260"/>
    </row>
    <row r="171" spans="1:22" x14ac:dyDescent="0.15">
      <c r="A171" s="125"/>
      <c r="B171" s="255"/>
      <c r="C171" s="255"/>
      <c r="D171" s="263"/>
      <c r="E171" s="263"/>
      <c r="F171" s="263"/>
      <c r="G171" s="179"/>
      <c r="H171" s="179"/>
      <c r="I171" s="251"/>
      <c r="J171" s="249"/>
      <c r="K171" s="249"/>
      <c r="L171" s="249"/>
      <c r="M171" s="249"/>
      <c r="N171" s="249"/>
      <c r="O171" s="249"/>
      <c r="P171" s="249"/>
      <c r="Q171" s="249"/>
      <c r="R171" s="249"/>
      <c r="S171" s="180"/>
      <c r="T171" s="258"/>
      <c r="U171" s="260"/>
      <c r="V171" s="260"/>
    </row>
    <row r="172" spans="1:22" x14ac:dyDescent="0.15">
      <c r="A172" s="181"/>
      <c r="B172" s="214"/>
      <c r="C172" s="214"/>
      <c r="D172" s="264"/>
      <c r="E172" s="264"/>
      <c r="F172" s="264"/>
      <c r="G172" s="183"/>
      <c r="H172" s="183"/>
      <c r="I172" s="256"/>
      <c r="J172" s="253"/>
      <c r="K172" s="253"/>
      <c r="L172" s="253"/>
      <c r="M172" s="253"/>
      <c r="N172" s="253"/>
      <c r="O172" s="253"/>
      <c r="P172" s="253"/>
      <c r="Q172" s="253"/>
      <c r="R172" s="253"/>
      <c r="S172" s="140"/>
      <c r="T172" s="258"/>
      <c r="U172" s="260"/>
      <c r="V172" s="260"/>
    </row>
    <row r="173" spans="1:22" x14ac:dyDescent="0.15">
      <c r="A173" s="125"/>
      <c r="B173" s="255"/>
      <c r="C173" s="255"/>
      <c r="D173" s="249"/>
      <c r="E173" s="249"/>
      <c r="F173" s="249"/>
      <c r="G173" s="179"/>
      <c r="H173" s="179"/>
      <c r="I173" s="251"/>
      <c r="J173" s="249"/>
      <c r="K173" s="249"/>
      <c r="L173" s="249"/>
      <c r="M173" s="249"/>
      <c r="N173" s="249"/>
      <c r="O173" s="249"/>
      <c r="P173" s="249"/>
      <c r="Q173" s="249"/>
      <c r="R173" s="249"/>
      <c r="S173" s="180"/>
      <c r="T173" s="258"/>
      <c r="U173" s="260"/>
      <c r="V173" s="260"/>
    </row>
    <row r="174" spans="1:22" x14ac:dyDescent="0.15">
      <c r="A174" s="125"/>
      <c r="B174" s="255"/>
      <c r="C174" s="255"/>
      <c r="D174" s="263"/>
      <c r="E174" s="263"/>
      <c r="F174" s="263"/>
      <c r="G174" s="179"/>
      <c r="H174" s="179"/>
      <c r="I174" s="251"/>
      <c r="J174" s="249"/>
      <c r="K174" s="249"/>
      <c r="L174" s="249"/>
      <c r="M174" s="249"/>
      <c r="N174" s="249"/>
      <c r="O174" s="249"/>
      <c r="P174" s="249"/>
      <c r="Q174" s="249"/>
      <c r="R174" s="249"/>
      <c r="S174" s="180"/>
      <c r="T174" s="258"/>
      <c r="U174" s="260"/>
      <c r="V174" s="260"/>
    </row>
    <row r="175" spans="1:22" x14ac:dyDescent="0.15">
      <c r="A175" s="181"/>
      <c r="B175" s="214"/>
      <c r="C175" s="214"/>
      <c r="D175" s="264"/>
      <c r="E175" s="264"/>
      <c r="F175" s="264"/>
      <c r="G175" s="183"/>
      <c r="H175" s="183"/>
      <c r="I175" s="256"/>
      <c r="J175" s="253"/>
      <c r="K175" s="253"/>
      <c r="L175" s="253"/>
      <c r="M175" s="253"/>
      <c r="N175" s="253"/>
      <c r="O175" s="253"/>
      <c r="P175" s="253"/>
      <c r="Q175" s="253"/>
      <c r="R175" s="253"/>
      <c r="S175" s="140"/>
      <c r="T175" s="258"/>
      <c r="U175" s="260"/>
      <c r="V175" s="260"/>
    </row>
    <row r="188" spans="77:77" x14ac:dyDescent="0.15">
      <c r="BY188" t="s">
        <v>60</v>
      </c>
    </row>
  </sheetData>
  <mergeCells count="1053">
    <mergeCell ref="D174:F175"/>
    <mergeCell ref="D123:F124"/>
    <mergeCell ref="D120:F121"/>
    <mergeCell ref="D117:F118"/>
    <mergeCell ref="D111:F112"/>
    <mergeCell ref="D114:F115"/>
    <mergeCell ref="D108:F109"/>
    <mergeCell ref="D105:F106"/>
    <mergeCell ref="D99:F100"/>
    <mergeCell ref="D102:F103"/>
    <mergeCell ref="D96:F97"/>
    <mergeCell ref="D93:F94"/>
    <mergeCell ref="D87:F88"/>
    <mergeCell ref="D90:F91"/>
    <mergeCell ref="D84:F85"/>
    <mergeCell ref="D81:F82"/>
    <mergeCell ref="D75:F76"/>
    <mergeCell ref="D78:F79"/>
    <mergeCell ref="V152:V154"/>
    <mergeCell ref="V155:V157"/>
    <mergeCell ref="V158:V160"/>
    <mergeCell ref="V161:V163"/>
    <mergeCell ref="V164:V166"/>
    <mergeCell ref="V167:V169"/>
    <mergeCell ref="V170:V172"/>
    <mergeCell ref="V173:V175"/>
    <mergeCell ref="D24:F25"/>
    <mergeCell ref="D30:F31"/>
    <mergeCell ref="D33:F34"/>
    <mergeCell ref="D39:F40"/>
    <mergeCell ref="D45:F46"/>
    <mergeCell ref="D48:F49"/>
    <mergeCell ref="D57:F58"/>
    <mergeCell ref="D60:F61"/>
    <mergeCell ref="D69:F70"/>
    <mergeCell ref="D72:F73"/>
    <mergeCell ref="D126:F127"/>
    <mergeCell ref="D129:F130"/>
    <mergeCell ref="D132:F133"/>
    <mergeCell ref="D135:F136"/>
    <mergeCell ref="D138:F139"/>
    <mergeCell ref="D141:F142"/>
    <mergeCell ref="D144:F145"/>
    <mergeCell ref="D147:F148"/>
    <mergeCell ref="D150:F151"/>
    <mergeCell ref="D153:F154"/>
    <mergeCell ref="D156:F157"/>
    <mergeCell ref="D159:F160"/>
    <mergeCell ref="D162:F163"/>
    <mergeCell ref="D165:F166"/>
    <mergeCell ref="V101:V103"/>
    <mergeCell ref="V104:V106"/>
    <mergeCell ref="V107:V109"/>
    <mergeCell ref="V110:V112"/>
    <mergeCell ref="V113:V115"/>
    <mergeCell ref="V116:V118"/>
    <mergeCell ref="V119:V121"/>
    <mergeCell ref="V122:V124"/>
    <mergeCell ref="V125:V127"/>
    <mergeCell ref="V128:V130"/>
    <mergeCell ref="V131:V133"/>
    <mergeCell ref="V134:V136"/>
    <mergeCell ref="V137:V139"/>
    <mergeCell ref="V140:V142"/>
    <mergeCell ref="V143:V145"/>
    <mergeCell ref="V146:V148"/>
    <mergeCell ref="V149:V151"/>
    <mergeCell ref="U161:U163"/>
    <mergeCell ref="U164:U166"/>
    <mergeCell ref="U167:U169"/>
    <mergeCell ref="U170:U172"/>
    <mergeCell ref="U173:U175"/>
    <mergeCell ref="V20:V22"/>
    <mergeCell ref="V23:V25"/>
    <mergeCell ref="V26:V28"/>
    <mergeCell ref="V29:V31"/>
    <mergeCell ref="V32:V34"/>
    <mergeCell ref="V35:V37"/>
    <mergeCell ref="V38:V40"/>
    <mergeCell ref="V41:V43"/>
    <mergeCell ref="V44:V46"/>
    <mergeCell ref="V47:V49"/>
    <mergeCell ref="V50:V52"/>
    <mergeCell ref="V53:V55"/>
    <mergeCell ref="V56:V58"/>
    <mergeCell ref="V59:V61"/>
    <mergeCell ref="V62:V64"/>
    <mergeCell ref="V65:V67"/>
    <mergeCell ref="V68:V70"/>
    <mergeCell ref="V71:V73"/>
    <mergeCell ref="V74:V76"/>
    <mergeCell ref="V77:V79"/>
    <mergeCell ref="V80:V82"/>
    <mergeCell ref="V83:V85"/>
    <mergeCell ref="V86:V88"/>
    <mergeCell ref="V89:V91"/>
    <mergeCell ref="V92:V94"/>
    <mergeCell ref="V95:V97"/>
    <mergeCell ref="V98:V100"/>
    <mergeCell ref="U110:U112"/>
    <mergeCell ref="U113:U115"/>
    <mergeCell ref="U116:U118"/>
    <mergeCell ref="U119:U121"/>
    <mergeCell ref="U122:U124"/>
    <mergeCell ref="U125:U127"/>
    <mergeCell ref="U128:U130"/>
    <mergeCell ref="U131:U133"/>
    <mergeCell ref="U134:U136"/>
    <mergeCell ref="U137:U139"/>
    <mergeCell ref="U140:U142"/>
    <mergeCell ref="U143:U145"/>
    <mergeCell ref="U146:U148"/>
    <mergeCell ref="U149:U151"/>
    <mergeCell ref="U152:U154"/>
    <mergeCell ref="U155:U157"/>
    <mergeCell ref="U158:U160"/>
    <mergeCell ref="T170:T172"/>
    <mergeCell ref="T173:T175"/>
    <mergeCell ref="U20:U22"/>
    <mergeCell ref="U23:U25"/>
    <mergeCell ref="U26:U28"/>
    <mergeCell ref="U29:U31"/>
    <mergeCell ref="U32:U34"/>
    <mergeCell ref="U35:U37"/>
    <mergeCell ref="U38:U40"/>
    <mergeCell ref="U41:U43"/>
    <mergeCell ref="U44:U46"/>
    <mergeCell ref="U47:U49"/>
    <mergeCell ref="U50:U52"/>
    <mergeCell ref="U53:U55"/>
    <mergeCell ref="U56:U58"/>
    <mergeCell ref="U59:U61"/>
    <mergeCell ref="U62:U64"/>
    <mergeCell ref="U65:U67"/>
    <mergeCell ref="U68:U70"/>
    <mergeCell ref="U71:U73"/>
    <mergeCell ref="U74:U76"/>
    <mergeCell ref="U77:U79"/>
    <mergeCell ref="U80:U82"/>
    <mergeCell ref="U83:U85"/>
    <mergeCell ref="U86:U88"/>
    <mergeCell ref="U89:U91"/>
    <mergeCell ref="U92:U94"/>
    <mergeCell ref="U95:U97"/>
    <mergeCell ref="U98:U100"/>
    <mergeCell ref="U101:U103"/>
    <mergeCell ref="U104:U106"/>
    <mergeCell ref="U107:U109"/>
    <mergeCell ref="T119:T121"/>
    <mergeCell ref="T122:T124"/>
    <mergeCell ref="T125:T127"/>
    <mergeCell ref="T128:T130"/>
    <mergeCell ref="T131:T133"/>
    <mergeCell ref="T134:T136"/>
    <mergeCell ref="T137:T139"/>
    <mergeCell ref="T140:T142"/>
    <mergeCell ref="T143:T145"/>
    <mergeCell ref="T146:T148"/>
    <mergeCell ref="T149:T151"/>
    <mergeCell ref="T152:T154"/>
    <mergeCell ref="T155:T157"/>
    <mergeCell ref="T158:T160"/>
    <mergeCell ref="T161:T163"/>
    <mergeCell ref="T164:T166"/>
    <mergeCell ref="T167:T169"/>
    <mergeCell ref="T68:T70"/>
    <mergeCell ref="T71:T73"/>
    <mergeCell ref="T74:T76"/>
    <mergeCell ref="T77:T79"/>
    <mergeCell ref="T80:T82"/>
    <mergeCell ref="T83:T85"/>
    <mergeCell ref="T86:T88"/>
    <mergeCell ref="T89:T91"/>
    <mergeCell ref="T92:T94"/>
    <mergeCell ref="T95:T97"/>
    <mergeCell ref="T98:T100"/>
    <mergeCell ref="T101:T103"/>
    <mergeCell ref="T104:T106"/>
    <mergeCell ref="T107:T109"/>
    <mergeCell ref="T110:T112"/>
    <mergeCell ref="T113:T115"/>
    <mergeCell ref="T116:T118"/>
    <mergeCell ref="B173:C173"/>
    <mergeCell ref="D173:F173"/>
    <mergeCell ref="I173:J173"/>
    <mergeCell ref="K173:L173"/>
    <mergeCell ref="M173:O173"/>
    <mergeCell ref="P173:R173"/>
    <mergeCell ref="B174:C174"/>
    <mergeCell ref="I174:J174"/>
    <mergeCell ref="K174:L174"/>
    <mergeCell ref="M174:O174"/>
    <mergeCell ref="P174:R174"/>
    <mergeCell ref="B175:C175"/>
    <mergeCell ref="I175:J175"/>
    <mergeCell ref="K175:L175"/>
    <mergeCell ref="M175:O175"/>
    <mergeCell ref="P175:R175"/>
    <mergeCell ref="T20:T22"/>
    <mergeCell ref="T23:T25"/>
    <mergeCell ref="T26:T28"/>
    <mergeCell ref="T29:T31"/>
    <mergeCell ref="T32:T34"/>
    <mergeCell ref="T35:T37"/>
    <mergeCell ref="T38:T40"/>
    <mergeCell ref="T41:T43"/>
    <mergeCell ref="T44:T46"/>
    <mergeCell ref="T47:T49"/>
    <mergeCell ref="T50:T52"/>
    <mergeCell ref="T53:T55"/>
    <mergeCell ref="T56:T58"/>
    <mergeCell ref="T59:T61"/>
    <mergeCell ref="T62:T64"/>
    <mergeCell ref="T65:T67"/>
    <mergeCell ref="B169:C169"/>
    <mergeCell ref="I169:J169"/>
    <mergeCell ref="K169:L169"/>
    <mergeCell ref="M169:O169"/>
    <mergeCell ref="P169:R169"/>
    <mergeCell ref="B170:C170"/>
    <mergeCell ref="D170:F170"/>
    <mergeCell ref="I170:J170"/>
    <mergeCell ref="K170:L170"/>
    <mergeCell ref="M170:O170"/>
    <mergeCell ref="P170:R170"/>
    <mergeCell ref="B171:C171"/>
    <mergeCell ref="I171:J171"/>
    <mergeCell ref="K171:L171"/>
    <mergeCell ref="M171:O171"/>
    <mergeCell ref="P171:R171"/>
    <mergeCell ref="B172:C172"/>
    <mergeCell ref="I172:J172"/>
    <mergeCell ref="K172:L172"/>
    <mergeCell ref="M172:O172"/>
    <mergeCell ref="P172:R172"/>
    <mergeCell ref="D168:F169"/>
    <mergeCell ref="D171:F172"/>
    <mergeCell ref="B165:C165"/>
    <mergeCell ref="I165:J165"/>
    <mergeCell ref="K165:L165"/>
    <mergeCell ref="M165:O165"/>
    <mergeCell ref="P165:R165"/>
    <mergeCell ref="B166:C166"/>
    <mergeCell ref="I166:J166"/>
    <mergeCell ref="K166:L166"/>
    <mergeCell ref="M166:O166"/>
    <mergeCell ref="P166:R166"/>
    <mergeCell ref="B167:C167"/>
    <mergeCell ref="D167:F167"/>
    <mergeCell ref="I167:J167"/>
    <mergeCell ref="K167:L167"/>
    <mergeCell ref="M167:O167"/>
    <mergeCell ref="P167:R167"/>
    <mergeCell ref="B168:C168"/>
    <mergeCell ref="I168:J168"/>
    <mergeCell ref="K168:L168"/>
    <mergeCell ref="M168:O168"/>
    <mergeCell ref="P168:R168"/>
    <mergeCell ref="B161:C161"/>
    <mergeCell ref="D161:F161"/>
    <mergeCell ref="I161:J161"/>
    <mergeCell ref="K161:L161"/>
    <mergeCell ref="M161:O161"/>
    <mergeCell ref="P161:R161"/>
    <mergeCell ref="B162:C162"/>
    <mergeCell ref="I162:J162"/>
    <mergeCell ref="K162:L162"/>
    <mergeCell ref="M162:O162"/>
    <mergeCell ref="P162:R162"/>
    <mergeCell ref="B163:C163"/>
    <mergeCell ref="I163:J163"/>
    <mergeCell ref="K163:L163"/>
    <mergeCell ref="M163:O163"/>
    <mergeCell ref="P163:R163"/>
    <mergeCell ref="B164:C164"/>
    <mergeCell ref="D164:F164"/>
    <mergeCell ref="I164:J164"/>
    <mergeCell ref="K164:L164"/>
    <mergeCell ref="M164:O164"/>
    <mergeCell ref="P164:R164"/>
    <mergeCell ref="B157:C157"/>
    <mergeCell ref="I157:J157"/>
    <mergeCell ref="K157:L157"/>
    <mergeCell ref="M157:O157"/>
    <mergeCell ref="P157:R157"/>
    <mergeCell ref="B158:C158"/>
    <mergeCell ref="D158:F158"/>
    <mergeCell ref="I158:J158"/>
    <mergeCell ref="K158:L158"/>
    <mergeCell ref="M158:O158"/>
    <mergeCell ref="P158:R158"/>
    <mergeCell ref="B159:C159"/>
    <mergeCell ref="I159:J159"/>
    <mergeCell ref="K159:L159"/>
    <mergeCell ref="M159:O159"/>
    <mergeCell ref="P159:R159"/>
    <mergeCell ref="B160:C160"/>
    <mergeCell ref="I160:J160"/>
    <mergeCell ref="K160:L160"/>
    <mergeCell ref="M160:O160"/>
    <mergeCell ref="P160:R160"/>
    <mergeCell ref="B153:C153"/>
    <mergeCell ref="I153:J153"/>
    <mergeCell ref="K153:L153"/>
    <mergeCell ref="M153:O153"/>
    <mergeCell ref="P153:R153"/>
    <mergeCell ref="B154:C154"/>
    <mergeCell ref="I154:J154"/>
    <mergeCell ref="K154:L154"/>
    <mergeCell ref="M154:O154"/>
    <mergeCell ref="P154:R154"/>
    <mergeCell ref="B155:C155"/>
    <mergeCell ref="D155:F155"/>
    <mergeCell ref="I155:J155"/>
    <mergeCell ref="K155:L155"/>
    <mergeCell ref="M155:O155"/>
    <mergeCell ref="P155:R155"/>
    <mergeCell ref="B156:C156"/>
    <mergeCell ref="I156:J156"/>
    <mergeCell ref="K156:L156"/>
    <mergeCell ref="M156:O156"/>
    <mergeCell ref="P156:R156"/>
    <mergeCell ref="B149:C149"/>
    <mergeCell ref="D149:F149"/>
    <mergeCell ref="I149:J149"/>
    <mergeCell ref="K149:L149"/>
    <mergeCell ref="M149:O149"/>
    <mergeCell ref="P149:R149"/>
    <mergeCell ref="B150:C150"/>
    <mergeCell ref="I150:J150"/>
    <mergeCell ref="K150:L150"/>
    <mergeCell ref="M150:O150"/>
    <mergeCell ref="P150:R150"/>
    <mergeCell ref="B151:C151"/>
    <mergeCell ref="I151:J151"/>
    <mergeCell ref="K151:L151"/>
    <mergeCell ref="M151:O151"/>
    <mergeCell ref="P151:R151"/>
    <mergeCell ref="B152:C152"/>
    <mergeCell ref="D152:F152"/>
    <mergeCell ref="I152:J152"/>
    <mergeCell ref="K152:L152"/>
    <mergeCell ref="M152:O152"/>
    <mergeCell ref="P152:R152"/>
    <mergeCell ref="B145:C145"/>
    <mergeCell ref="I145:J145"/>
    <mergeCell ref="K145:L145"/>
    <mergeCell ref="M145:O145"/>
    <mergeCell ref="P145:R145"/>
    <mergeCell ref="B146:C146"/>
    <mergeCell ref="D146:F146"/>
    <mergeCell ref="I146:J146"/>
    <mergeCell ref="K146:L146"/>
    <mergeCell ref="M146:O146"/>
    <mergeCell ref="P146:R146"/>
    <mergeCell ref="B147:C147"/>
    <mergeCell ref="I147:J147"/>
    <mergeCell ref="K147:L147"/>
    <mergeCell ref="M147:O147"/>
    <mergeCell ref="P147:R147"/>
    <mergeCell ref="B148:C148"/>
    <mergeCell ref="I148:J148"/>
    <mergeCell ref="K148:L148"/>
    <mergeCell ref="M148:O148"/>
    <mergeCell ref="P148:R148"/>
    <mergeCell ref="B141:C141"/>
    <mergeCell ref="I141:J141"/>
    <mergeCell ref="K141:L141"/>
    <mergeCell ref="M141:O141"/>
    <mergeCell ref="P141:R141"/>
    <mergeCell ref="B142:C142"/>
    <mergeCell ref="I142:J142"/>
    <mergeCell ref="K142:L142"/>
    <mergeCell ref="M142:O142"/>
    <mergeCell ref="P142:R142"/>
    <mergeCell ref="B143:C143"/>
    <mergeCell ref="D143:F143"/>
    <mergeCell ref="I143:J143"/>
    <mergeCell ref="K143:L143"/>
    <mergeCell ref="M143:O143"/>
    <mergeCell ref="P143:R143"/>
    <mergeCell ref="B144:C144"/>
    <mergeCell ref="I144:J144"/>
    <mergeCell ref="K144:L144"/>
    <mergeCell ref="M144:O144"/>
    <mergeCell ref="P144:R144"/>
    <mergeCell ref="B137:C137"/>
    <mergeCell ref="D137:F137"/>
    <mergeCell ref="I137:J137"/>
    <mergeCell ref="K137:L137"/>
    <mergeCell ref="M137:O137"/>
    <mergeCell ref="P137:R137"/>
    <mergeCell ref="B138:C138"/>
    <mergeCell ref="I138:J138"/>
    <mergeCell ref="K138:L138"/>
    <mergeCell ref="M138:O138"/>
    <mergeCell ref="P138:R138"/>
    <mergeCell ref="B139:C139"/>
    <mergeCell ref="I139:J139"/>
    <mergeCell ref="K139:L139"/>
    <mergeCell ref="M139:O139"/>
    <mergeCell ref="P139:R139"/>
    <mergeCell ref="B140:C140"/>
    <mergeCell ref="D140:F140"/>
    <mergeCell ref="I140:J140"/>
    <mergeCell ref="K140:L140"/>
    <mergeCell ref="M140:O140"/>
    <mergeCell ref="P140:R140"/>
    <mergeCell ref="B133:C133"/>
    <mergeCell ref="I133:J133"/>
    <mergeCell ref="K133:L133"/>
    <mergeCell ref="M133:O133"/>
    <mergeCell ref="P133:R133"/>
    <mergeCell ref="B134:C134"/>
    <mergeCell ref="D134:F134"/>
    <mergeCell ref="I134:J134"/>
    <mergeCell ref="K134:L134"/>
    <mergeCell ref="M134:O134"/>
    <mergeCell ref="P134:R134"/>
    <mergeCell ref="B135:C135"/>
    <mergeCell ref="I135:J135"/>
    <mergeCell ref="K135:L135"/>
    <mergeCell ref="M135:O135"/>
    <mergeCell ref="P135:R135"/>
    <mergeCell ref="B136:C136"/>
    <mergeCell ref="I136:J136"/>
    <mergeCell ref="K136:L136"/>
    <mergeCell ref="M136:O136"/>
    <mergeCell ref="P136:R136"/>
    <mergeCell ref="B129:C129"/>
    <mergeCell ref="I129:J129"/>
    <mergeCell ref="K129:L129"/>
    <mergeCell ref="M129:O129"/>
    <mergeCell ref="P129:R129"/>
    <mergeCell ref="B130:C130"/>
    <mergeCell ref="I130:J130"/>
    <mergeCell ref="K130:L130"/>
    <mergeCell ref="M130:O130"/>
    <mergeCell ref="P130:R130"/>
    <mergeCell ref="B131:C131"/>
    <mergeCell ref="D131:F131"/>
    <mergeCell ref="I131:J131"/>
    <mergeCell ref="K131:L131"/>
    <mergeCell ref="M131:O131"/>
    <mergeCell ref="P131:R131"/>
    <mergeCell ref="B132:C132"/>
    <mergeCell ref="I132:J132"/>
    <mergeCell ref="K132:L132"/>
    <mergeCell ref="M132:O132"/>
    <mergeCell ref="P132:R132"/>
    <mergeCell ref="B125:C125"/>
    <mergeCell ref="D125:F125"/>
    <mergeCell ref="I125:J125"/>
    <mergeCell ref="K125:L125"/>
    <mergeCell ref="M125:O125"/>
    <mergeCell ref="P125:R125"/>
    <mergeCell ref="B126:C126"/>
    <mergeCell ref="I126:J126"/>
    <mergeCell ref="K126:L126"/>
    <mergeCell ref="M126:O126"/>
    <mergeCell ref="P126:R126"/>
    <mergeCell ref="B127:C127"/>
    <mergeCell ref="I127:J127"/>
    <mergeCell ref="K127:L127"/>
    <mergeCell ref="M127:O127"/>
    <mergeCell ref="P127:R127"/>
    <mergeCell ref="B128:C128"/>
    <mergeCell ref="D128:F128"/>
    <mergeCell ref="I128:J128"/>
    <mergeCell ref="K128:L128"/>
    <mergeCell ref="M128:O128"/>
    <mergeCell ref="P128:R128"/>
    <mergeCell ref="B121:C121"/>
    <mergeCell ref="I121:J121"/>
    <mergeCell ref="K121:L121"/>
    <mergeCell ref="M121:O121"/>
    <mergeCell ref="P121:R121"/>
    <mergeCell ref="B122:C122"/>
    <mergeCell ref="D122:F122"/>
    <mergeCell ref="I122:J122"/>
    <mergeCell ref="K122:L122"/>
    <mergeCell ref="M122:O122"/>
    <mergeCell ref="P122:R122"/>
    <mergeCell ref="B123:C123"/>
    <mergeCell ref="I123:J123"/>
    <mergeCell ref="K123:L123"/>
    <mergeCell ref="M123:O123"/>
    <mergeCell ref="P123:R123"/>
    <mergeCell ref="B124:C124"/>
    <mergeCell ref="I124:J124"/>
    <mergeCell ref="K124:L124"/>
    <mergeCell ref="M124:O124"/>
    <mergeCell ref="P124:R124"/>
    <mergeCell ref="B117:C117"/>
    <mergeCell ref="I117:J117"/>
    <mergeCell ref="K117:L117"/>
    <mergeCell ref="M117:O117"/>
    <mergeCell ref="P117:R117"/>
    <mergeCell ref="B118:C118"/>
    <mergeCell ref="I118:J118"/>
    <mergeCell ref="K118:L118"/>
    <mergeCell ref="M118:O118"/>
    <mergeCell ref="P118:R118"/>
    <mergeCell ref="B119:C119"/>
    <mergeCell ref="D119:F119"/>
    <mergeCell ref="I119:J119"/>
    <mergeCell ref="K119:L119"/>
    <mergeCell ref="M119:O119"/>
    <mergeCell ref="P119:R119"/>
    <mergeCell ref="B120:C120"/>
    <mergeCell ref="I120:J120"/>
    <mergeCell ref="K120:L120"/>
    <mergeCell ref="M120:O120"/>
    <mergeCell ref="P120:R120"/>
    <mergeCell ref="B113:C113"/>
    <mergeCell ref="D113:F113"/>
    <mergeCell ref="I113:J113"/>
    <mergeCell ref="K113:L113"/>
    <mergeCell ref="M113:O113"/>
    <mergeCell ref="P113:R113"/>
    <mergeCell ref="B114:C114"/>
    <mergeCell ref="I114:J114"/>
    <mergeCell ref="K114:L114"/>
    <mergeCell ref="M114:O114"/>
    <mergeCell ref="P114:R114"/>
    <mergeCell ref="B115:C115"/>
    <mergeCell ref="I115:J115"/>
    <mergeCell ref="K115:L115"/>
    <mergeCell ref="M115:O115"/>
    <mergeCell ref="P115:R115"/>
    <mergeCell ref="B116:C116"/>
    <mergeCell ref="D116:F116"/>
    <mergeCell ref="I116:J116"/>
    <mergeCell ref="K116:L116"/>
    <mergeCell ref="M116:O116"/>
    <mergeCell ref="P116:R116"/>
    <mergeCell ref="B109:C109"/>
    <mergeCell ref="I109:J109"/>
    <mergeCell ref="K109:L109"/>
    <mergeCell ref="M109:O109"/>
    <mergeCell ref="P109:R109"/>
    <mergeCell ref="B110:C110"/>
    <mergeCell ref="D110:F110"/>
    <mergeCell ref="I110:J110"/>
    <mergeCell ref="K110:L110"/>
    <mergeCell ref="M110:O110"/>
    <mergeCell ref="P110:R110"/>
    <mergeCell ref="B111:C111"/>
    <mergeCell ref="I111:J111"/>
    <mergeCell ref="K111:L111"/>
    <mergeCell ref="M111:O111"/>
    <mergeCell ref="P111:R111"/>
    <mergeCell ref="B112:C112"/>
    <mergeCell ref="I112:J112"/>
    <mergeCell ref="K112:L112"/>
    <mergeCell ref="M112:O112"/>
    <mergeCell ref="P112:R112"/>
    <mergeCell ref="B105:C105"/>
    <mergeCell ref="I105:J105"/>
    <mergeCell ref="K105:L105"/>
    <mergeCell ref="M105:O105"/>
    <mergeCell ref="P105:R105"/>
    <mergeCell ref="B106:C106"/>
    <mergeCell ref="I106:J106"/>
    <mergeCell ref="K106:L106"/>
    <mergeCell ref="M106:O106"/>
    <mergeCell ref="P106:R106"/>
    <mergeCell ref="B107:C107"/>
    <mergeCell ref="D107:F107"/>
    <mergeCell ref="I107:J107"/>
    <mergeCell ref="K107:L107"/>
    <mergeCell ref="M107:O107"/>
    <mergeCell ref="P107:R107"/>
    <mergeCell ref="B108:C108"/>
    <mergeCell ref="I108:J108"/>
    <mergeCell ref="K108:L108"/>
    <mergeCell ref="M108:O108"/>
    <mergeCell ref="P108:R108"/>
    <mergeCell ref="B101:C101"/>
    <mergeCell ref="D101:F101"/>
    <mergeCell ref="I101:J101"/>
    <mergeCell ref="K101:L101"/>
    <mergeCell ref="M101:O101"/>
    <mergeCell ref="P101:R101"/>
    <mergeCell ref="B102:C102"/>
    <mergeCell ref="I102:J102"/>
    <mergeCell ref="K102:L102"/>
    <mergeCell ref="M102:O102"/>
    <mergeCell ref="P102:R102"/>
    <mergeCell ref="B103:C103"/>
    <mergeCell ref="I103:J103"/>
    <mergeCell ref="K103:L103"/>
    <mergeCell ref="M103:O103"/>
    <mergeCell ref="P103:R103"/>
    <mergeCell ref="B104:C104"/>
    <mergeCell ref="D104:F104"/>
    <mergeCell ref="I104:J104"/>
    <mergeCell ref="K104:L104"/>
    <mergeCell ref="M104:O104"/>
    <mergeCell ref="P104:R104"/>
    <mergeCell ref="B97:C97"/>
    <mergeCell ref="I97:J97"/>
    <mergeCell ref="K97:L97"/>
    <mergeCell ref="M97:O97"/>
    <mergeCell ref="P97:R97"/>
    <mergeCell ref="B98:C98"/>
    <mergeCell ref="D98:F98"/>
    <mergeCell ref="I98:J98"/>
    <mergeCell ref="K98:L98"/>
    <mergeCell ref="M98:O98"/>
    <mergeCell ref="P98:R98"/>
    <mergeCell ref="B99:C99"/>
    <mergeCell ref="I99:J99"/>
    <mergeCell ref="K99:L99"/>
    <mergeCell ref="M99:O99"/>
    <mergeCell ref="P99:R99"/>
    <mergeCell ref="B100:C100"/>
    <mergeCell ref="I100:J100"/>
    <mergeCell ref="K100:L100"/>
    <mergeCell ref="M100:O100"/>
    <mergeCell ref="P100:R100"/>
    <mergeCell ref="B93:C93"/>
    <mergeCell ref="I93:J93"/>
    <mergeCell ref="K93:L93"/>
    <mergeCell ref="M93:O93"/>
    <mergeCell ref="P93:R93"/>
    <mergeCell ref="B94:C94"/>
    <mergeCell ref="I94:J94"/>
    <mergeCell ref="K94:L94"/>
    <mergeCell ref="M94:O94"/>
    <mergeCell ref="P94:R94"/>
    <mergeCell ref="B95:C95"/>
    <mergeCell ref="D95:F95"/>
    <mergeCell ref="I95:J95"/>
    <mergeCell ref="K95:L95"/>
    <mergeCell ref="M95:O95"/>
    <mergeCell ref="P95:R95"/>
    <mergeCell ref="B96:C96"/>
    <mergeCell ref="I96:J96"/>
    <mergeCell ref="K96:L96"/>
    <mergeCell ref="M96:O96"/>
    <mergeCell ref="P96:R96"/>
    <mergeCell ref="B89:C89"/>
    <mergeCell ref="D89:F89"/>
    <mergeCell ref="I89:J89"/>
    <mergeCell ref="K89:L89"/>
    <mergeCell ref="M89:O89"/>
    <mergeCell ref="P89:R89"/>
    <mergeCell ref="B90:C90"/>
    <mergeCell ref="I90:J90"/>
    <mergeCell ref="K90:L90"/>
    <mergeCell ref="M90:O90"/>
    <mergeCell ref="P90:R90"/>
    <mergeCell ref="B91:C91"/>
    <mergeCell ref="I91:J91"/>
    <mergeCell ref="K91:L91"/>
    <mergeCell ref="M91:O91"/>
    <mergeCell ref="P91:R91"/>
    <mergeCell ref="B92:C92"/>
    <mergeCell ref="D92:F92"/>
    <mergeCell ref="I92:J92"/>
    <mergeCell ref="K92:L92"/>
    <mergeCell ref="M92:O92"/>
    <mergeCell ref="P92:R92"/>
    <mergeCell ref="B85:C85"/>
    <mergeCell ref="I85:J85"/>
    <mergeCell ref="K85:L85"/>
    <mergeCell ref="M85:O85"/>
    <mergeCell ref="P85:R85"/>
    <mergeCell ref="B86:C86"/>
    <mergeCell ref="D86:F86"/>
    <mergeCell ref="I86:J86"/>
    <mergeCell ref="K86:L86"/>
    <mergeCell ref="M86:O86"/>
    <mergeCell ref="P86:R86"/>
    <mergeCell ref="B87:C87"/>
    <mergeCell ref="I87:J87"/>
    <mergeCell ref="K87:L87"/>
    <mergeCell ref="M87:O87"/>
    <mergeCell ref="P87:R87"/>
    <mergeCell ref="B88:C88"/>
    <mergeCell ref="I88:J88"/>
    <mergeCell ref="K88:L88"/>
    <mergeCell ref="M88:O88"/>
    <mergeCell ref="P88:R88"/>
    <mergeCell ref="B81:C81"/>
    <mergeCell ref="I81:J81"/>
    <mergeCell ref="K81:L81"/>
    <mergeCell ref="M81:O81"/>
    <mergeCell ref="P81:R81"/>
    <mergeCell ref="B82:C82"/>
    <mergeCell ref="I82:J82"/>
    <mergeCell ref="K82:L82"/>
    <mergeCell ref="M82:O82"/>
    <mergeCell ref="P82:R82"/>
    <mergeCell ref="B83:C83"/>
    <mergeCell ref="D83:F83"/>
    <mergeCell ref="I83:J83"/>
    <mergeCell ref="K83:L83"/>
    <mergeCell ref="M83:O83"/>
    <mergeCell ref="P83:R83"/>
    <mergeCell ref="B84:C84"/>
    <mergeCell ref="I84:J84"/>
    <mergeCell ref="K84:L84"/>
    <mergeCell ref="M84:O84"/>
    <mergeCell ref="P84:R84"/>
    <mergeCell ref="B77:C77"/>
    <mergeCell ref="D77:F77"/>
    <mergeCell ref="I77:J77"/>
    <mergeCell ref="K77:L77"/>
    <mergeCell ref="M77:O77"/>
    <mergeCell ref="P77:R77"/>
    <mergeCell ref="B78:C78"/>
    <mergeCell ref="I78:J78"/>
    <mergeCell ref="K78:L78"/>
    <mergeCell ref="M78:O78"/>
    <mergeCell ref="P78:R78"/>
    <mergeCell ref="B79:C79"/>
    <mergeCell ref="I79:J79"/>
    <mergeCell ref="K79:L79"/>
    <mergeCell ref="M79:O79"/>
    <mergeCell ref="P79:R79"/>
    <mergeCell ref="B80:C80"/>
    <mergeCell ref="D80:F80"/>
    <mergeCell ref="I80:J80"/>
    <mergeCell ref="K80:L80"/>
    <mergeCell ref="M80:O80"/>
    <mergeCell ref="P80:R80"/>
    <mergeCell ref="B72:C72"/>
    <mergeCell ref="I72:J72"/>
    <mergeCell ref="B73:C73"/>
    <mergeCell ref="I73:J73"/>
    <mergeCell ref="M73:N73"/>
    <mergeCell ref="P73:Q73"/>
    <mergeCell ref="B74:C74"/>
    <mergeCell ref="D74:F74"/>
    <mergeCell ref="I74:J74"/>
    <mergeCell ref="K74:L74"/>
    <mergeCell ref="M74:O74"/>
    <mergeCell ref="P74:R74"/>
    <mergeCell ref="B75:C75"/>
    <mergeCell ref="K75:L75"/>
    <mergeCell ref="M75:O75"/>
    <mergeCell ref="P75:R75"/>
    <mergeCell ref="B76:C76"/>
    <mergeCell ref="I76:J76"/>
    <mergeCell ref="K76:L76"/>
    <mergeCell ref="M76:O76"/>
    <mergeCell ref="P76:R76"/>
    <mergeCell ref="B68:C68"/>
    <mergeCell ref="D68:F68"/>
    <mergeCell ref="I68:J68"/>
    <mergeCell ref="K68:L68"/>
    <mergeCell ref="M68:O68"/>
    <mergeCell ref="P68:R68"/>
    <mergeCell ref="B69:C69"/>
    <mergeCell ref="I69:J69"/>
    <mergeCell ref="B70:C70"/>
    <mergeCell ref="I70:J70"/>
    <mergeCell ref="M70:N70"/>
    <mergeCell ref="P70:Q70"/>
    <mergeCell ref="B71:C71"/>
    <mergeCell ref="D71:F71"/>
    <mergeCell ref="I71:J71"/>
    <mergeCell ref="K71:L71"/>
    <mergeCell ref="M71:O71"/>
    <mergeCell ref="P71:R71"/>
    <mergeCell ref="B63:C63"/>
    <mergeCell ref="I63:J63"/>
    <mergeCell ref="B64:C64"/>
    <mergeCell ref="I64:J64"/>
    <mergeCell ref="M64:N64"/>
    <mergeCell ref="P64:Q64"/>
    <mergeCell ref="B65:C65"/>
    <mergeCell ref="D65:F65"/>
    <mergeCell ref="I65:J65"/>
    <mergeCell ref="K65:L65"/>
    <mergeCell ref="M65:O65"/>
    <mergeCell ref="P65:R65"/>
    <mergeCell ref="B66:C66"/>
    <mergeCell ref="I66:J66"/>
    <mergeCell ref="B67:C67"/>
    <mergeCell ref="I67:J67"/>
    <mergeCell ref="M67:N67"/>
    <mergeCell ref="P67:Q67"/>
    <mergeCell ref="D63:F64"/>
    <mergeCell ref="D66:F67"/>
    <mergeCell ref="B59:C59"/>
    <mergeCell ref="D59:F59"/>
    <mergeCell ref="I59:J59"/>
    <mergeCell ref="K59:L59"/>
    <mergeCell ref="M59:O59"/>
    <mergeCell ref="P59:R59"/>
    <mergeCell ref="B60:C60"/>
    <mergeCell ref="I60:J60"/>
    <mergeCell ref="B61:C61"/>
    <mergeCell ref="I61:J61"/>
    <mergeCell ref="M61:N61"/>
    <mergeCell ref="P61:Q61"/>
    <mergeCell ref="B62:C62"/>
    <mergeCell ref="D62:F62"/>
    <mergeCell ref="I62:J62"/>
    <mergeCell ref="K62:L62"/>
    <mergeCell ref="M62:O62"/>
    <mergeCell ref="P62:R62"/>
    <mergeCell ref="B54:C54"/>
    <mergeCell ref="I54:J54"/>
    <mergeCell ref="B55:C55"/>
    <mergeCell ref="I55:J55"/>
    <mergeCell ref="M55:N55"/>
    <mergeCell ref="P55:Q55"/>
    <mergeCell ref="B56:C56"/>
    <mergeCell ref="D56:F56"/>
    <mergeCell ref="I56:J56"/>
    <mergeCell ref="K56:L56"/>
    <mergeCell ref="M56:O56"/>
    <mergeCell ref="P56:R56"/>
    <mergeCell ref="B57:C57"/>
    <mergeCell ref="I57:J57"/>
    <mergeCell ref="B58:C58"/>
    <mergeCell ref="I58:J58"/>
    <mergeCell ref="M58:N58"/>
    <mergeCell ref="P58:Q58"/>
    <mergeCell ref="D54:F55"/>
    <mergeCell ref="B50:C50"/>
    <mergeCell ref="D50:F50"/>
    <mergeCell ref="I50:J50"/>
    <mergeCell ref="K50:L50"/>
    <mergeCell ref="M50:O50"/>
    <mergeCell ref="P50:R50"/>
    <mergeCell ref="B51:C51"/>
    <mergeCell ref="I51:J51"/>
    <mergeCell ref="B52:C52"/>
    <mergeCell ref="I52:J52"/>
    <mergeCell ref="M52:N52"/>
    <mergeCell ref="P52:Q52"/>
    <mergeCell ref="B53:C53"/>
    <mergeCell ref="D53:F53"/>
    <mergeCell ref="I53:J53"/>
    <mergeCell ref="K53:L53"/>
    <mergeCell ref="M53:O53"/>
    <mergeCell ref="P53:R53"/>
    <mergeCell ref="D51:F52"/>
    <mergeCell ref="B45:C45"/>
    <mergeCell ref="I45:J45"/>
    <mergeCell ref="B46:C46"/>
    <mergeCell ref="I46:J46"/>
    <mergeCell ref="M46:N46"/>
    <mergeCell ref="P46:Q46"/>
    <mergeCell ref="B47:C47"/>
    <mergeCell ref="D47:F47"/>
    <mergeCell ref="I47:J47"/>
    <mergeCell ref="K47:L47"/>
    <mergeCell ref="M47:O47"/>
    <mergeCell ref="P47:R47"/>
    <mergeCell ref="B48:C48"/>
    <mergeCell ref="I48:J48"/>
    <mergeCell ref="B49:C49"/>
    <mergeCell ref="I49:J49"/>
    <mergeCell ref="M49:N49"/>
    <mergeCell ref="P49:Q49"/>
    <mergeCell ref="B41:C41"/>
    <mergeCell ref="D41:F41"/>
    <mergeCell ref="I41:J41"/>
    <mergeCell ref="K41:L41"/>
    <mergeCell ref="M41:O41"/>
    <mergeCell ref="P41:R41"/>
    <mergeCell ref="B42:C42"/>
    <mergeCell ref="I42:J42"/>
    <mergeCell ref="B43:C43"/>
    <mergeCell ref="I43:J43"/>
    <mergeCell ref="M43:N43"/>
    <mergeCell ref="P43:Q43"/>
    <mergeCell ref="B44:C44"/>
    <mergeCell ref="D44:F44"/>
    <mergeCell ref="I44:J44"/>
    <mergeCell ref="K44:L44"/>
    <mergeCell ref="M44:O44"/>
    <mergeCell ref="P44:R44"/>
    <mergeCell ref="D42:F43"/>
    <mergeCell ref="B36:C36"/>
    <mergeCell ref="I36:J36"/>
    <mergeCell ref="B37:C37"/>
    <mergeCell ref="I37:J37"/>
    <mergeCell ref="M37:N37"/>
    <mergeCell ref="P37:Q37"/>
    <mergeCell ref="B38:C38"/>
    <mergeCell ref="D38:F38"/>
    <mergeCell ref="I38:J38"/>
    <mergeCell ref="K38:L38"/>
    <mergeCell ref="M38:O38"/>
    <mergeCell ref="P38:R38"/>
    <mergeCell ref="B39:C39"/>
    <mergeCell ref="I39:J39"/>
    <mergeCell ref="B40:C40"/>
    <mergeCell ref="I40:J40"/>
    <mergeCell ref="M40:N40"/>
    <mergeCell ref="P40:Q40"/>
    <mergeCell ref="D36:F37"/>
    <mergeCell ref="B32:C32"/>
    <mergeCell ref="D32:F32"/>
    <mergeCell ref="I32:J32"/>
    <mergeCell ref="K32:L32"/>
    <mergeCell ref="M32:O32"/>
    <mergeCell ref="P32:R32"/>
    <mergeCell ref="B33:C33"/>
    <mergeCell ref="I33:J33"/>
    <mergeCell ref="B34:C34"/>
    <mergeCell ref="I34:J34"/>
    <mergeCell ref="M34:N34"/>
    <mergeCell ref="P34:Q34"/>
    <mergeCell ref="B35:C35"/>
    <mergeCell ref="D35:F35"/>
    <mergeCell ref="I35:J35"/>
    <mergeCell ref="K35:L35"/>
    <mergeCell ref="M35:O35"/>
    <mergeCell ref="P35:R35"/>
    <mergeCell ref="B27:C27"/>
    <mergeCell ref="I27:J27"/>
    <mergeCell ref="B28:C28"/>
    <mergeCell ref="I28:J28"/>
    <mergeCell ref="M28:N28"/>
    <mergeCell ref="P28:Q28"/>
    <mergeCell ref="B29:C29"/>
    <mergeCell ref="D29:F29"/>
    <mergeCell ref="I29:J29"/>
    <mergeCell ref="K29:L29"/>
    <mergeCell ref="M29:O29"/>
    <mergeCell ref="P29:R29"/>
    <mergeCell ref="B30:C30"/>
    <mergeCell ref="I30:J30"/>
    <mergeCell ref="B31:C31"/>
    <mergeCell ref="I31:J31"/>
    <mergeCell ref="M31:N31"/>
    <mergeCell ref="P31:Q31"/>
    <mergeCell ref="D27:F28"/>
    <mergeCell ref="B22:C22"/>
    <mergeCell ref="I22:J22"/>
    <mergeCell ref="M22:N22"/>
    <mergeCell ref="P22:Q22"/>
    <mergeCell ref="B23:C23"/>
    <mergeCell ref="D23:F23"/>
    <mergeCell ref="I23:J23"/>
    <mergeCell ref="K23:L23"/>
    <mergeCell ref="M23:O23"/>
    <mergeCell ref="P23:R23"/>
    <mergeCell ref="B24:C24"/>
    <mergeCell ref="I24:J24"/>
    <mergeCell ref="B25:C25"/>
    <mergeCell ref="I25:J25"/>
    <mergeCell ref="M25:N25"/>
    <mergeCell ref="P25:Q25"/>
    <mergeCell ref="B26:C26"/>
    <mergeCell ref="D26:F26"/>
    <mergeCell ref="I26:J26"/>
    <mergeCell ref="K26:L26"/>
    <mergeCell ref="M26:O26"/>
    <mergeCell ref="P26:R26"/>
    <mergeCell ref="D21:F22"/>
    <mergeCell ref="F18:G18"/>
    <mergeCell ref="I18:J18"/>
    <mergeCell ref="L18:S18"/>
    <mergeCell ref="B19:C19"/>
    <mergeCell ref="D19:F19"/>
    <mergeCell ref="G19:H19"/>
    <mergeCell ref="I19:J19"/>
    <mergeCell ref="K19:L19"/>
    <mergeCell ref="M19:O19"/>
    <mergeCell ref="P19:R19"/>
    <mergeCell ref="B20:C20"/>
    <mergeCell ref="D20:F20"/>
    <mergeCell ref="I20:J20"/>
    <mergeCell ref="K20:L20"/>
    <mergeCell ref="M20:O20"/>
    <mergeCell ref="P20:R20"/>
    <mergeCell ref="B21:C21"/>
    <mergeCell ref="I21:J21"/>
    <mergeCell ref="T12:V12"/>
    <mergeCell ref="W12:AB12"/>
    <mergeCell ref="C13:S13"/>
    <mergeCell ref="T13:V13"/>
    <mergeCell ref="W13:AB13"/>
    <mergeCell ref="A14:C14"/>
    <mergeCell ref="D14:S14"/>
    <mergeCell ref="T14:V14"/>
    <mergeCell ref="W14:AB14"/>
    <mergeCell ref="C15:S15"/>
    <mergeCell ref="T15:V15"/>
    <mergeCell ref="W15:AB15"/>
    <mergeCell ref="B16:S16"/>
    <mergeCell ref="T16:V16"/>
    <mergeCell ref="W16:AB16"/>
    <mergeCell ref="A17:K17"/>
    <mergeCell ref="L17:N17"/>
    <mergeCell ref="O17:S17"/>
    <mergeCell ref="W17:AC17"/>
    <mergeCell ref="A10:D10"/>
    <mergeCell ref="E10:F10"/>
    <mergeCell ref="G10:J10"/>
    <mergeCell ref="K10:N10"/>
    <mergeCell ref="O10:S10"/>
    <mergeCell ref="A11:B11"/>
    <mergeCell ref="C11:D11"/>
    <mergeCell ref="G11:H11"/>
    <mergeCell ref="L11:M11"/>
    <mergeCell ref="O11:P11"/>
    <mergeCell ref="R11:S11"/>
    <mergeCell ref="A12:D12"/>
    <mergeCell ref="G12:H12"/>
    <mergeCell ref="I12:J12"/>
    <mergeCell ref="K12:M12"/>
    <mergeCell ref="N12:P12"/>
    <mergeCell ref="Q12:S12"/>
    <mergeCell ref="A6:D6"/>
    <mergeCell ref="E6:F6"/>
    <mergeCell ref="G6:J6"/>
    <mergeCell ref="K6:N6"/>
    <mergeCell ref="O6:S6"/>
    <mergeCell ref="A7:B7"/>
    <mergeCell ref="C7:D7"/>
    <mergeCell ref="H7:J7"/>
    <mergeCell ref="L7:N7"/>
    <mergeCell ref="P7:S7"/>
    <mergeCell ref="A8:D8"/>
    <mergeCell ref="E8:F8"/>
    <mergeCell ref="G8:I8"/>
    <mergeCell ref="K8:N8"/>
    <mergeCell ref="O8:S8"/>
    <mergeCell ref="A9:B9"/>
    <mergeCell ref="C9:D9"/>
    <mergeCell ref="H9:J9"/>
    <mergeCell ref="L9:N9"/>
    <mergeCell ref="P9:S9"/>
    <mergeCell ref="A1:S1"/>
    <mergeCell ref="A2:B2"/>
    <mergeCell ref="C2:E2"/>
    <mergeCell ref="G2:H2"/>
    <mergeCell ref="J2:N2"/>
    <mergeCell ref="A3:B3"/>
    <mergeCell ref="C3:D3"/>
    <mergeCell ref="H3:J3"/>
    <mergeCell ref="L3:N3"/>
    <mergeCell ref="P3:S3"/>
    <mergeCell ref="A4:D4"/>
    <mergeCell ref="E4:F4"/>
    <mergeCell ref="G4:I4"/>
    <mergeCell ref="K4:N4"/>
    <mergeCell ref="O4:S4"/>
    <mergeCell ref="A5:B5"/>
    <mergeCell ref="G5:J5"/>
    <mergeCell ref="L5:N5"/>
    <mergeCell ref="O5:P5"/>
    <mergeCell ref="Q5:S5"/>
  </mergeCells>
  <phoneticPr fontId="39" type="noConversion"/>
  <pageMargins left="0.16" right="0.04" top="0.16" bottom="0.08" header="0.08" footer="0.12"/>
  <pageSetup paperSize="9" scale="29" fitToHeight="0" orientation="portrait" r:id="rId1"/>
  <headerFooter scaleWithDoc="0" alignWithMargins="0"/>
  <rowBreaks count="4" manualBreakCount="4">
    <brk id="73" max="18" man="1"/>
    <brk id="91" max="18" man="1"/>
    <brk id="133" max="18" man="1"/>
    <brk id="175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I40"/>
  <sheetViews>
    <sheetView showZeros="0" view="pageBreakPreview" zoomScaleNormal="100" workbookViewId="0">
      <selection activeCell="H24" sqref="H24"/>
    </sheetView>
  </sheetViews>
  <sheetFormatPr defaultColWidth="9" defaultRowHeight="14.25" x14ac:dyDescent="0.15"/>
  <cols>
    <col min="1" max="1" width="3.75" customWidth="1"/>
    <col min="2" max="2" width="12.375" customWidth="1"/>
    <col min="3" max="3" width="30.75" customWidth="1"/>
    <col min="4" max="4" width="8.875" customWidth="1"/>
    <col min="5" max="5" width="4.25" customWidth="1"/>
    <col min="6" max="6" width="12.25" customWidth="1"/>
    <col min="7" max="7" width="4.5" customWidth="1"/>
    <col min="8" max="8" width="13" customWidth="1"/>
    <col min="9" max="9" width="0.625" hidden="1" customWidth="1"/>
  </cols>
  <sheetData>
    <row r="1" spans="1:8" ht="72" customHeight="1" x14ac:dyDescent="0.15">
      <c r="A1" s="265" t="s">
        <v>61</v>
      </c>
      <c r="B1" s="265"/>
      <c r="C1" s="265"/>
      <c r="D1" s="265"/>
      <c r="E1" s="265"/>
      <c r="F1" s="265"/>
      <c r="G1" s="265"/>
      <c r="H1" s="265"/>
    </row>
    <row r="2" spans="1:8" ht="26.1" customHeight="1" x14ac:dyDescent="0.15">
      <c r="A2" s="56"/>
      <c r="B2" s="56"/>
      <c r="C2" s="56"/>
      <c r="D2" s="56"/>
      <c r="E2" s="56"/>
      <c r="F2" s="58" t="s">
        <v>62</v>
      </c>
      <c r="G2" s="266" t="str">
        <f>报关单!A10</f>
        <v>FBA19GTDMPSV</v>
      </c>
      <c r="H2" s="266"/>
    </row>
    <row r="3" spans="1:8" ht="33.950000000000003" customHeight="1" x14ac:dyDescent="0.15">
      <c r="A3" s="267" t="s">
        <v>63</v>
      </c>
      <c r="B3" s="267"/>
      <c r="C3" s="266" t="str">
        <f>报关单!A6</f>
        <v>Amazon.com Services, Inc.</v>
      </c>
      <c r="D3" s="266"/>
      <c r="F3" s="99" t="s">
        <v>64</v>
      </c>
      <c r="G3" s="268">
        <v>46006</v>
      </c>
      <c r="H3" s="266"/>
    </row>
    <row r="4" spans="1:8" ht="15.75" customHeight="1" x14ac:dyDescent="0.15">
      <c r="C4" s="269"/>
      <c r="D4" s="269"/>
      <c r="F4" s="269"/>
      <c r="G4" s="269"/>
      <c r="H4" s="269"/>
    </row>
    <row r="5" spans="1:8" ht="6" customHeight="1" x14ac:dyDescent="0.15">
      <c r="B5" s="269"/>
      <c r="C5" s="269"/>
    </row>
    <row r="6" spans="1:8" ht="18" customHeight="1" x14ac:dyDescent="0.15">
      <c r="B6" s="6"/>
      <c r="C6" s="6"/>
      <c r="F6" s="21" t="s">
        <v>65</v>
      </c>
      <c r="G6" s="269">
        <f>报关单!V4</f>
        <v>0</v>
      </c>
      <c r="H6" s="269"/>
    </row>
    <row r="7" spans="1:8" ht="30" customHeight="1" x14ac:dyDescent="0.15">
      <c r="A7" s="270" t="s">
        <v>66</v>
      </c>
      <c r="B7" s="271"/>
      <c r="C7" s="107" t="s">
        <v>67</v>
      </c>
      <c r="D7" s="270" t="s">
        <v>68</v>
      </c>
      <c r="E7" s="270"/>
      <c r="F7" s="107" t="s">
        <v>69</v>
      </c>
      <c r="G7" s="270" t="s">
        <v>70</v>
      </c>
      <c r="H7" s="270"/>
    </row>
    <row r="8" spans="1:8" ht="30" customHeight="1" x14ac:dyDescent="0.15">
      <c r="A8" s="123"/>
      <c r="B8" s="124">
        <v>1</v>
      </c>
      <c r="C8" s="125" t="str">
        <f ca="1">OFFSET(报关单!$D$1,ROW(报关单!D1)*3+16,0)</f>
        <v>手抓球</v>
      </c>
      <c r="D8" s="125">
        <f>报关单!G21</f>
        <v>67</v>
      </c>
      <c r="E8" s="126" t="str">
        <f>报关单!H21</f>
        <v>盒</v>
      </c>
      <c r="F8" s="127">
        <f>报关单!I20</f>
        <v>2</v>
      </c>
      <c r="G8" s="128" t="str">
        <f ca="1">OFFSET(报关单!$I$1,ROW(报关单!I1)*3+18,0)</f>
        <v>美元</v>
      </c>
      <c r="H8" s="127">
        <f ca="1">OFFSET(报关单!$I$1,ROW(报关单!I1)*3+17,0)</f>
        <v>134</v>
      </c>
    </row>
    <row r="9" spans="1:8" ht="30" customHeight="1" x14ac:dyDescent="0.15">
      <c r="A9" s="123"/>
      <c r="B9" s="124">
        <v>2</v>
      </c>
      <c r="C9" s="125" t="str">
        <f ca="1">OFFSET(报关单!$D$1,ROW(报关单!D2)*3+16,0)</f>
        <v>软积木</v>
      </c>
      <c r="D9" s="125">
        <f>报关单!G24</f>
        <v>56</v>
      </c>
      <c r="E9" s="126" t="str">
        <f>报关单!H24</f>
        <v>盒</v>
      </c>
      <c r="F9" s="127">
        <f>报关单!I23</f>
        <v>3</v>
      </c>
      <c r="G9" s="128" t="str">
        <f ca="1">OFFSET(报关单!$I$1,ROW(报关单!I2)*3+18,0)</f>
        <v>美元</v>
      </c>
      <c r="H9" s="127">
        <f ca="1">OFFSET(报关单!$I$1,ROW(报关单!I2)*3+17,0)</f>
        <v>168</v>
      </c>
    </row>
    <row r="10" spans="1:8" ht="30" customHeight="1" x14ac:dyDescent="0.15">
      <c r="A10" s="123"/>
      <c r="B10" s="124">
        <v>3</v>
      </c>
      <c r="C10" s="125" t="str">
        <f ca="1">OFFSET(报关单!$D$1,ROW(报关单!D3)*3+16,0)</f>
        <v>球铃组合</v>
      </c>
      <c r="D10" s="125">
        <f>报关单!G27</f>
        <v>7</v>
      </c>
      <c r="E10" s="126" t="str">
        <f>报关单!H27</f>
        <v>盒</v>
      </c>
      <c r="F10" s="127">
        <f>报关单!I26</f>
        <v>3</v>
      </c>
      <c r="G10" s="128" t="str">
        <f ca="1">OFFSET(报关单!$I$1,ROW(报关单!I3)*3+18,0)</f>
        <v>美元</v>
      </c>
      <c r="H10" s="127">
        <f ca="1">OFFSET(报关单!$I$1,ROW(报关单!I3)*3+17,0)</f>
        <v>21</v>
      </c>
    </row>
    <row r="11" spans="1:8" ht="30" customHeight="1" x14ac:dyDescent="0.15">
      <c r="A11" s="123"/>
      <c r="B11" s="124">
        <v>4</v>
      </c>
      <c r="C11" s="125" t="str">
        <f ca="1">OFFSET(报关单!$D$1,ROW(报关单!D4)*3+16,0)</f>
        <v>落球塔</v>
      </c>
      <c r="D11" s="125">
        <f>报关单!G30</f>
        <v>2</v>
      </c>
      <c r="E11" s="126" t="str">
        <f>报关单!H30</f>
        <v>盒</v>
      </c>
      <c r="F11" s="127">
        <f>报关单!I29</f>
        <v>6</v>
      </c>
      <c r="G11" s="128" t="str">
        <f ca="1">OFFSET(报关单!$I$1,ROW(报关单!I4)*3+18,0)</f>
        <v>美元</v>
      </c>
      <c r="H11" s="127">
        <f ca="1">OFFSET(报关单!$I$1,ROW(报关单!I4)*3+17,0)</f>
        <v>12</v>
      </c>
    </row>
    <row r="12" spans="1:8" ht="30" customHeight="1" x14ac:dyDescent="0.15">
      <c r="A12" s="123"/>
      <c r="B12" s="124">
        <v>5</v>
      </c>
      <c r="C12" s="125" t="str">
        <f ca="1">OFFSET(报关单!$D$1,ROW(报关单!D5)*3+16,0)</f>
        <v>缝纫机</v>
      </c>
      <c r="D12" s="125">
        <f>报关单!G33</f>
        <v>2</v>
      </c>
      <c r="E12" s="126" t="str">
        <f>报关单!H33</f>
        <v>盒</v>
      </c>
      <c r="F12" s="127">
        <f>报关单!I32</f>
        <v>6</v>
      </c>
      <c r="G12" s="128" t="str">
        <f ca="1">OFFSET(报关单!$I$1,ROW(报关单!I5)*3+18,0)</f>
        <v>美元</v>
      </c>
      <c r="H12" s="127">
        <f ca="1">OFFSET(报关单!$I$1,ROW(报关单!I5)*3+17,0)</f>
        <v>12</v>
      </c>
    </row>
    <row r="13" spans="1:8" ht="30" customHeight="1" x14ac:dyDescent="0.15">
      <c r="A13" s="123"/>
      <c r="B13" s="124">
        <v>6</v>
      </c>
      <c r="C13" s="125" t="str">
        <f ca="1">OFFSET(报关单!$D$1,ROW(报关单!D6)*3+16,0)</f>
        <v>假泥鳅</v>
      </c>
      <c r="D13" s="125">
        <f>报关单!G36</f>
        <v>8</v>
      </c>
      <c r="E13" s="126" t="str">
        <f>报关单!H36</f>
        <v>盒</v>
      </c>
      <c r="F13" s="127">
        <f>报关单!I35</f>
        <v>2</v>
      </c>
      <c r="G13" s="128" t="str">
        <f ca="1">OFFSET(报关单!$I$1,ROW(报关单!I6)*3+18,0)</f>
        <v>美元</v>
      </c>
      <c r="H13" s="127">
        <f ca="1">OFFSET(报关单!$I$1,ROW(报关单!I6)*3+17,0)</f>
        <v>16</v>
      </c>
    </row>
    <row r="14" spans="1:8" ht="30" customHeight="1" x14ac:dyDescent="0.15">
      <c r="A14" s="123"/>
      <c r="B14" s="124">
        <v>7</v>
      </c>
      <c r="C14" s="125" t="str">
        <f ca="1">OFFSET(报关单!$D$1,ROW(报关单!D7)*3+16,0)</f>
        <v>立体拼图</v>
      </c>
      <c r="D14" s="125">
        <f>报关单!G39</f>
        <v>8</v>
      </c>
      <c r="E14" s="126" t="str">
        <f>报关单!H39</f>
        <v>盒</v>
      </c>
      <c r="F14" s="127">
        <f>报关单!I38</f>
        <v>2</v>
      </c>
      <c r="G14" s="128" t="str">
        <f ca="1">OFFSET(报关单!$I$1,ROW(报关单!I7)*3+18,0)</f>
        <v>美元</v>
      </c>
      <c r="H14" s="127">
        <f ca="1">OFFSET(报关单!$I$1,ROW(报关单!I7)*3+17,0)</f>
        <v>16</v>
      </c>
    </row>
    <row r="15" spans="1:8" ht="30" customHeight="1" x14ac:dyDescent="0.15">
      <c r="A15" s="123"/>
      <c r="B15" s="124">
        <v>8</v>
      </c>
      <c r="C15" s="125" t="str">
        <f ca="1">OFFSET(报关单!$D$1,ROW(报关单!D8)*3+16,0)</f>
        <v>升空火箭</v>
      </c>
      <c r="D15" s="125">
        <f>报关单!G42</f>
        <v>6</v>
      </c>
      <c r="E15" s="126" t="str">
        <f>报关单!H42</f>
        <v>盒</v>
      </c>
      <c r="F15" s="127">
        <f>报关单!I41</f>
        <v>9</v>
      </c>
      <c r="G15" s="128" t="str">
        <f ca="1">OFFSET(报关单!$I$1,ROW(报关单!I8)*3+18,0)</f>
        <v>美元</v>
      </c>
      <c r="H15" s="127">
        <f ca="1">OFFSET(报关单!$I$1,ROW(报关单!I8)*3+17,0)</f>
        <v>54</v>
      </c>
    </row>
    <row r="16" spans="1:8" ht="30" customHeight="1" x14ac:dyDescent="0.15">
      <c r="A16" s="123"/>
      <c r="B16" s="124">
        <v>9</v>
      </c>
      <c r="C16" s="125" t="str">
        <f ca="1">OFFSET(报关单!$D$1,ROW(报关单!D9)*3+16,0)</f>
        <v>谷雨小车</v>
      </c>
      <c r="D16" s="125">
        <f>报关单!G45</f>
        <v>14</v>
      </c>
      <c r="E16" s="126" t="str">
        <f>报关单!H45</f>
        <v>盒</v>
      </c>
      <c r="F16" s="127">
        <f>报关单!I44</f>
        <v>3</v>
      </c>
      <c r="G16" s="128" t="str">
        <f ca="1">OFFSET(报关单!$I$1,ROW(报关单!I9)*3+18,0)</f>
        <v>美元</v>
      </c>
      <c r="H16" s="127">
        <f ca="1">OFFSET(报关单!$I$1,ROW(报关单!I9)*3+17,0)</f>
        <v>42</v>
      </c>
    </row>
    <row r="17" spans="1:8" ht="30" customHeight="1" x14ac:dyDescent="0.15">
      <c r="A17" s="123"/>
      <c r="B17" s="124">
        <v>10</v>
      </c>
      <c r="C17" s="125">
        <f ca="1">OFFSET(报关单!$D$1,ROW(报关单!D10)*3+16,0)</f>
        <v>0</v>
      </c>
      <c r="D17" s="125">
        <f>报关单!G48</f>
        <v>0</v>
      </c>
      <c r="E17" s="126">
        <f>报关单!H48</f>
        <v>0</v>
      </c>
      <c r="F17" s="127">
        <f>报关单!I47</f>
        <v>0</v>
      </c>
      <c r="G17" s="128">
        <f ca="1">OFFSET(报关单!$I$1,ROW(报关单!I10)*3+18,0)</f>
        <v>0</v>
      </c>
      <c r="H17" s="127">
        <f ca="1">OFFSET(报关单!$I$1,ROW(报关单!I10)*3+17,0)</f>
        <v>0</v>
      </c>
    </row>
    <row r="18" spans="1:8" ht="30" customHeight="1" x14ac:dyDescent="0.15">
      <c r="A18" s="123"/>
      <c r="B18" s="124">
        <v>11</v>
      </c>
      <c r="C18" s="125">
        <f ca="1">OFFSET(报关单!$D$1,ROW(报关单!D11)*3+16,0)</f>
        <v>0</v>
      </c>
      <c r="D18" s="125">
        <f>报关单!G51</f>
        <v>0</v>
      </c>
      <c r="E18" s="126">
        <f>报关单!H51</f>
        <v>0</v>
      </c>
      <c r="F18" s="127">
        <f>报关单!I50</f>
        <v>0</v>
      </c>
      <c r="G18" s="128">
        <f ca="1">OFFSET(报关单!$I$1,ROW(报关单!I11)*3+18,0)</f>
        <v>0</v>
      </c>
      <c r="H18" s="127">
        <f ca="1">OFFSET(报关单!$I$1,ROW(报关单!I11)*3+17,0)</f>
        <v>0</v>
      </c>
    </row>
    <row r="19" spans="1:8" ht="30" customHeight="1" x14ac:dyDescent="0.15">
      <c r="A19" s="123"/>
      <c r="B19" s="124">
        <v>12</v>
      </c>
      <c r="C19" s="125">
        <f ca="1">OFFSET(报关单!$D$1,ROW(报关单!D12)*3+16,0)</f>
        <v>0</v>
      </c>
      <c r="D19" s="125">
        <f>报关单!G54</f>
        <v>0</v>
      </c>
      <c r="E19" s="126">
        <f>报关单!H54</f>
        <v>0</v>
      </c>
      <c r="F19" s="127">
        <f>报关单!I53</f>
        <v>0</v>
      </c>
      <c r="G19" s="128">
        <f ca="1">OFFSET(报关单!$I$1,ROW(报关单!I12)*3+18,0)</f>
        <v>0</v>
      </c>
      <c r="H19" s="127">
        <f ca="1">OFFSET(报关单!$I$1,ROW(报关单!I12)*3+17,0)</f>
        <v>0</v>
      </c>
    </row>
    <row r="20" spans="1:8" ht="30" customHeight="1" x14ac:dyDescent="0.15">
      <c r="A20" s="123"/>
      <c r="B20" s="124">
        <v>13</v>
      </c>
      <c r="C20" s="125">
        <f ca="1">OFFSET(报关单!$D$1,ROW(报关单!D13)*3+16,0)</f>
        <v>0</v>
      </c>
      <c r="D20" s="125">
        <f>报关单!G57</f>
        <v>0</v>
      </c>
      <c r="E20" s="126">
        <f>报关单!H57</f>
        <v>0</v>
      </c>
      <c r="F20" s="127">
        <f>报关单!I56</f>
        <v>0</v>
      </c>
      <c r="G20" s="128">
        <f ca="1">OFFSET(报关单!$I$1,ROW(报关单!I13)*3+18,0)</f>
        <v>0</v>
      </c>
      <c r="H20" s="127">
        <f ca="1">OFFSET(报关单!$I$1,ROW(报关单!I13)*3+17,0)</f>
        <v>0</v>
      </c>
    </row>
    <row r="21" spans="1:8" ht="30" customHeight="1" x14ac:dyDescent="0.15">
      <c r="A21" s="123"/>
      <c r="B21" s="124">
        <v>14</v>
      </c>
      <c r="C21" s="125">
        <f ca="1">OFFSET(报关单!$D$1,ROW(报关单!D14)*3+16,0)</f>
        <v>0</v>
      </c>
      <c r="D21" s="125">
        <f>报关单!G60</f>
        <v>0</v>
      </c>
      <c r="E21" s="126">
        <f>报关单!H60</f>
        <v>0</v>
      </c>
      <c r="F21" s="127">
        <f>报关单!I59</f>
        <v>0</v>
      </c>
      <c r="G21" s="128">
        <f ca="1">OFFSET(报关单!$I$1,ROW(报关单!I14)*3+18,0)</f>
        <v>0</v>
      </c>
      <c r="H21" s="127">
        <f ca="1">OFFSET(报关单!$I$1,ROW(报关单!I14)*3+17,0)</f>
        <v>0</v>
      </c>
    </row>
    <row r="22" spans="1:8" ht="30" customHeight="1" x14ac:dyDescent="0.15">
      <c r="A22" s="123"/>
      <c r="B22" s="124">
        <v>15</v>
      </c>
      <c r="C22" s="125">
        <f ca="1">OFFSET(报关单!$D$1,ROW(报关单!D15)*3+16,0)</f>
        <v>0</v>
      </c>
      <c r="D22" s="125">
        <f>报关单!G63</f>
        <v>0</v>
      </c>
      <c r="E22" s="126">
        <f>报关单!H63</f>
        <v>0</v>
      </c>
      <c r="F22" s="127">
        <f>报关单!I62</f>
        <v>0</v>
      </c>
      <c r="G22" s="128">
        <f ca="1">OFFSET(报关单!$I$1,ROW(报关单!I11)*3+18,0)</f>
        <v>0</v>
      </c>
      <c r="H22" s="127">
        <f ca="1">OFFSET(报关单!$I$1,ROW(报关单!I15)*3+17,0)</f>
        <v>0</v>
      </c>
    </row>
    <row r="23" spans="1:8" ht="30" customHeight="1" x14ac:dyDescent="0.15">
      <c r="A23" s="123"/>
      <c r="B23" s="124">
        <v>16</v>
      </c>
      <c r="C23" s="125">
        <f ca="1">OFFSET(报关单!$D$1,ROW(报关单!D16)*3+16,0)</f>
        <v>0</v>
      </c>
      <c r="D23" s="125">
        <f>报关单!G66</f>
        <v>0</v>
      </c>
      <c r="E23" s="126">
        <f>报关单!H66</f>
        <v>0</v>
      </c>
      <c r="F23" s="127">
        <f>报关单!I65</f>
        <v>0</v>
      </c>
      <c r="G23" s="128">
        <f ca="1">OFFSET(报关单!$I$1,ROW(报关单!I12)*3+18,0)</f>
        <v>0</v>
      </c>
      <c r="H23" s="127">
        <f ca="1">OFFSET(报关单!$I$1,ROW(报关单!I16)*3+17,0)</f>
        <v>0</v>
      </c>
    </row>
    <row r="24" spans="1:8" ht="30" customHeight="1" x14ac:dyDescent="0.15">
      <c r="A24" s="123"/>
      <c r="B24" s="124">
        <v>17</v>
      </c>
      <c r="C24" s="125">
        <f ca="1">OFFSET(报关单!$D$1,ROW(报关单!D17)*3+16,0)</f>
        <v>0</v>
      </c>
      <c r="D24" s="125">
        <f>报关单!G69</f>
        <v>0</v>
      </c>
      <c r="E24" s="126">
        <f>报关单!H69</f>
        <v>0</v>
      </c>
      <c r="F24" s="127">
        <f>报关单!I68</f>
        <v>0</v>
      </c>
      <c r="G24" s="128">
        <f ca="1">OFFSET(报关单!$I$1,ROW(报关单!I13)*3+18,0)</f>
        <v>0</v>
      </c>
      <c r="H24" s="127">
        <f ca="1">OFFSET(报关单!$I$1,ROW(报关单!I17)*3+17,0)</f>
        <v>0</v>
      </c>
    </row>
    <row r="25" spans="1:8" ht="30" customHeight="1" x14ac:dyDescent="0.15">
      <c r="A25" s="123"/>
      <c r="B25" s="124">
        <v>18</v>
      </c>
      <c r="C25" s="125">
        <f ca="1">OFFSET(报关单!$D$1,ROW(报关单!D18)*3+16,0)</f>
        <v>0</v>
      </c>
      <c r="D25" s="125">
        <f>报关单!G72</f>
        <v>0</v>
      </c>
      <c r="E25" s="126">
        <f>报关单!H72</f>
        <v>0</v>
      </c>
      <c r="F25" s="127">
        <f>报关单!I71</f>
        <v>0</v>
      </c>
      <c r="G25" s="128">
        <f ca="1">OFFSET(报关单!$I$1,ROW(报关单!I14)*3+18,0)</f>
        <v>0</v>
      </c>
      <c r="H25" s="127">
        <f ca="1">OFFSET(报关单!$I$1,ROW(报关单!I18)*3+17,0)</f>
        <v>0</v>
      </c>
    </row>
    <row r="26" spans="1:8" ht="30" customHeight="1" x14ac:dyDescent="0.15">
      <c r="A26" s="123"/>
      <c r="B26" s="124"/>
      <c r="C26" s="125">
        <f ca="1">OFFSET(报关单!$D$1,ROW(报关单!D19)*3+16,0)</f>
        <v>0</v>
      </c>
      <c r="D26" s="125"/>
      <c r="E26" s="126"/>
      <c r="F26" s="127"/>
      <c r="G26" s="128"/>
      <c r="H26" s="127"/>
    </row>
    <row r="27" spans="1:8" ht="25.5" customHeight="1" x14ac:dyDescent="0.15">
      <c r="A27" s="272" t="str">
        <f ca="1">IF(G27="CNY","总计人民币:",IF(G27="USD","总计美元: ","  "))</f>
        <v xml:space="preserve">  </v>
      </c>
      <c r="B27" s="272"/>
      <c r="C27" s="273">
        <f ca="1">H27</f>
        <v>475</v>
      </c>
      <c r="D27" s="273"/>
      <c r="E27" s="273"/>
      <c r="F27" s="129" t="s">
        <v>71</v>
      </c>
      <c r="G27" s="130" t="str">
        <f ca="1">G8</f>
        <v>美元</v>
      </c>
      <c r="H27" s="131">
        <f ca="1">SUM(H8:H26)</f>
        <v>475</v>
      </c>
    </row>
    <row r="28" spans="1:8" x14ac:dyDescent="0.15">
      <c r="A28" s="274" t="s">
        <v>72</v>
      </c>
      <c r="B28" s="275"/>
      <c r="C28" s="269"/>
      <c r="D28" s="7"/>
      <c r="E28" s="7"/>
      <c r="F28" s="276" t="s">
        <v>40</v>
      </c>
      <c r="G28" s="276"/>
      <c r="H28" s="276"/>
    </row>
    <row r="29" spans="1:8" x14ac:dyDescent="0.15">
      <c r="A29" s="275"/>
      <c r="B29" s="275"/>
      <c r="C29" s="269"/>
      <c r="D29" s="7"/>
      <c r="E29" s="7"/>
      <c r="F29" s="276"/>
      <c r="G29" s="276"/>
      <c r="H29" s="276"/>
    </row>
    <row r="30" spans="1:8" ht="18.95" customHeight="1" x14ac:dyDescent="0.15">
      <c r="A30" s="275"/>
      <c r="B30" s="275"/>
      <c r="C30" s="7"/>
      <c r="D30" s="7"/>
      <c r="E30" s="7"/>
      <c r="F30" s="7"/>
      <c r="G30" s="7"/>
      <c r="H30" s="7"/>
    </row>
    <row r="34" spans="3:3" x14ac:dyDescent="0.15">
      <c r="C34" t="s">
        <v>73</v>
      </c>
    </row>
    <row r="40" spans="3:3" ht="3.75" customHeight="1" x14ac:dyDescent="0.15"/>
  </sheetData>
  <mergeCells count="17">
    <mergeCell ref="A27:B27"/>
    <mergeCell ref="C27:E27"/>
    <mergeCell ref="C28:C29"/>
    <mergeCell ref="A28:B30"/>
    <mergeCell ref="F28:H29"/>
    <mergeCell ref="C4:D4"/>
    <mergeCell ref="F4:H4"/>
    <mergeCell ref="B5:C5"/>
    <mergeCell ref="G6:H6"/>
    <mergeCell ref="A7:B7"/>
    <mergeCell ref="D7:E7"/>
    <mergeCell ref="G7:H7"/>
    <mergeCell ref="A1:H1"/>
    <mergeCell ref="G2:H2"/>
    <mergeCell ref="A3:B3"/>
    <mergeCell ref="C3:D3"/>
    <mergeCell ref="G3:H3"/>
  </mergeCells>
  <phoneticPr fontId="39" type="noConversion"/>
  <pageMargins left="0.31" right="0.2" top="0.35" bottom="0.24" header="0.24" footer="0.08"/>
  <pageSetup paperSize="9" orientation="portrait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I30"/>
  <sheetViews>
    <sheetView showZeros="0" view="pageBreakPreview" zoomScaleNormal="100" workbookViewId="0">
      <selection activeCell="C14" sqref="C14"/>
    </sheetView>
  </sheetViews>
  <sheetFormatPr defaultColWidth="9" defaultRowHeight="15.75" x14ac:dyDescent="0.15"/>
  <cols>
    <col min="1" max="1" width="11.5" style="55" customWidth="1"/>
    <col min="2" max="2" width="23" style="55" customWidth="1"/>
    <col min="3" max="3" width="12.25" style="55" customWidth="1"/>
    <col min="4" max="4" width="8.625" style="60" customWidth="1"/>
    <col min="5" max="5" width="4.125" style="91" customWidth="1"/>
    <col min="6" max="6" width="13.5" style="55" customWidth="1"/>
    <col min="7" max="7" width="18.125" style="55" customWidth="1"/>
    <col min="8" max="16384" width="9" style="55"/>
  </cols>
  <sheetData>
    <row r="1" spans="1:9" ht="12.95" customHeight="1" x14ac:dyDescent="0.15"/>
    <row r="2" spans="1:9" ht="18.95" customHeight="1" x14ac:dyDescent="0.15">
      <c r="B2" s="281" t="s">
        <v>74</v>
      </c>
      <c r="C2" s="281"/>
      <c r="D2" s="281"/>
      <c r="E2" s="282"/>
    </row>
    <row r="3" spans="1:9" ht="33" customHeight="1" x14ac:dyDescent="0.15">
      <c r="A3" s="93"/>
      <c r="B3" s="281"/>
      <c r="C3" s="281"/>
      <c r="D3" s="281"/>
      <c r="E3" s="282"/>
      <c r="F3" s="94" t="s">
        <v>75</v>
      </c>
      <c r="G3" s="95">
        <f>发票!G3</f>
        <v>46006</v>
      </c>
    </row>
    <row r="4" spans="1:9" ht="30" customHeight="1" x14ac:dyDescent="0.15">
      <c r="B4" s="96"/>
      <c r="C4" s="97"/>
      <c r="D4" s="66"/>
      <c r="E4" s="98"/>
      <c r="F4" s="99" t="s">
        <v>76</v>
      </c>
      <c r="G4" s="100" t="str">
        <f>发票!G2</f>
        <v>FBA19GTDMPSV</v>
      </c>
    </row>
    <row r="5" spans="1:9" ht="29.25" customHeight="1" x14ac:dyDescent="0.15">
      <c r="A5" s="94" t="s">
        <v>77</v>
      </c>
      <c r="B5" s="266" t="str">
        <f>发票!C3</f>
        <v>Amazon.com Services, Inc.</v>
      </c>
      <c r="C5" s="266"/>
      <c r="D5" s="266"/>
      <c r="E5" s="266"/>
      <c r="F5" s="99" t="s">
        <v>78</v>
      </c>
      <c r="G5" s="100" t="str">
        <f>报关单!A10</f>
        <v>FBA19GTDMPSV</v>
      </c>
    </row>
    <row r="6" spans="1:9" ht="11.1" customHeight="1" x14ac:dyDescent="0.25">
      <c r="A6" s="101"/>
      <c r="B6" s="102"/>
      <c r="C6" s="102" t="s">
        <v>79</v>
      </c>
      <c r="D6" s="269"/>
      <c r="E6" s="277"/>
      <c r="F6" s="103"/>
      <c r="G6"/>
      <c r="I6" s="60"/>
    </row>
    <row r="7" spans="1:9" ht="25.5" x14ac:dyDescent="0.15">
      <c r="A7" s="104"/>
      <c r="B7" s="105" t="s">
        <v>80</v>
      </c>
      <c r="C7" t="s">
        <v>81</v>
      </c>
      <c r="D7" s="269" t="str">
        <f>报关单!E10</f>
        <v>美国</v>
      </c>
      <c r="E7" s="278"/>
      <c r="F7" s="99" t="s">
        <v>82</v>
      </c>
      <c r="G7" s="106" t="str">
        <f>报关单!I12</f>
        <v>CNF</v>
      </c>
    </row>
    <row r="8" spans="1:9" ht="3.95" customHeight="1" x14ac:dyDescent="0.15">
      <c r="A8" s="104"/>
      <c r="B8" s="105"/>
      <c r="C8"/>
      <c r="D8" s="6"/>
      <c r="F8" s="99"/>
      <c r="G8" s="6"/>
    </row>
    <row r="9" spans="1:9" ht="30" customHeight="1" x14ac:dyDescent="0.15">
      <c r="A9" s="107" t="s">
        <v>83</v>
      </c>
      <c r="B9" s="107" t="s">
        <v>84</v>
      </c>
      <c r="C9" s="108" t="s">
        <v>85</v>
      </c>
      <c r="D9" s="270" t="s">
        <v>86</v>
      </c>
      <c r="E9" s="279"/>
      <c r="F9" s="109" t="s">
        <v>87</v>
      </c>
      <c r="G9" s="107" t="s">
        <v>88</v>
      </c>
    </row>
    <row r="10" spans="1:9" ht="30" customHeight="1" x14ac:dyDescent="0.15">
      <c r="A10" s="110">
        <v>1</v>
      </c>
      <c r="B10" s="111" t="str">
        <f ca="1">发票!C8</f>
        <v>手抓球</v>
      </c>
      <c r="C10" s="112">
        <f>报关单!G22</f>
        <v>4</v>
      </c>
      <c r="D10" s="113">
        <f>报关单!G21</f>
        <v>67</v>
      </c>
      <c r="E10" s="114" t="str">
        <f>报关单!H21</f>
        <v>盒</v>
      </c>
      <c r="F10" s="76">
        <f>报关单!R22</f>
        <v>0</v>
      </c>
      <c r="G10" s="112">
        <f>报关单!O22</f>
        <v>0</v>
      </c>
      <c r="H10" s="115"/>
    </row>
    <row r="11" spans="1:9" ht="30" customHeight="1" x14ac:dyDescent="0.15">
      <c r="A11" s="110">
        <v>2</v>
      </c>
      <c r="B11" s="111" t="str">
        <f ca="1">发票!C9</f>
        <v>软积木</v>
      </c>
      <c r="C11" s="112">
        <f>报关单!G25</f>
        <v>4</v>
      </c>
      <c r="D11" s="113">
        <f>报关单!G24</f>
        <v>56</v>
      </c>
      <c r="E11" s="114" t="str">
        <f>报关单!H24</f>
        <v>盒</v>
      </c>
      <c r="F11" s="116">
        <f>报关单!R25</f>
        <v>0</v>
      </c>
      <c r="G11" s="112">
        <f>报关单!O25</f>
        <v>0</v>
      </c>
      <c r="H11" s="115"/>
    </row>
    <row r="12" spans="1:9" ht="30" customHeight="1" x14ac:dyDescent="0.15">
      <c r="A12" s="110">
        <v>3</v>
      </c>
      <c r="B12" s="111" t="str">
        <f ca="1">发票!C10</f>
        <v>球铃组合</v>
      </c>
      <c r="C12" s="112">
        <f>报关单!G28</f>
        <v>1</v>
      </c>
      <c r="D12" s="113">
        <f>报关单!G27</f>
        <v>7</v>
      </c>
      <c r="E12" s="114" t="str">
        <f>报关单!H27</f>
        <v>盒</v>
      </c>
      <c r="F12" s="116">
        <f>报关单!R28</f>
        <v>0</v>
      </c>
      <c r="G12" s="112">
        <f>报关单!O28</f>
        <v>0</v>
      </c>
      <c r="H12" s="115"/>
    </row>
    <row r="13" spans="1:9" ht="30" customHeight="1" x14ac:dyDescent="0.15">
      <c r="A13" s="110">
        <v>4</v>
      </c>
      <c r="B13" s="111" t="str">
        <f ca="1">发票!C11</f>
        <v>落球塔</v>
      </c>
      <c r="C13" s="112">
        <f>报关单!G31</f>
        <v>1</v>
      </c>
      <c r="D13" s="113">
        <f>报关单!G30</f>
        <v>2</v>
      </c>
      <c r="E13" s="114" t="str">
        <f>报关单!H30</f>
        <v>盒</v>
      </c>
      <c r="F13" s="116">
        <f>报关单!R31</f>
        <v>0</v>
      </c>
      <c r="G13" s="112">
        <f>报关单!O31</f>
        <v>0</v>
      </c>
      <c r="H13" s="115"/>
    </row>
    <row r="14" spans="1:9" ht="30" customHeight="1" x14ac:dyDescent="0.15">
      <c r="A14" s="110">
        <v>5</v>
      </c>
      <c r="B14" s="111" t="str">
        <f ca="1">发票!C12</f>
        <v>缝纫机</v>
      </c>
      <c r="C14" s="112">
        <f>报关单!G34</f>
        <v>1</v>
      </c>
      <c r="D14" s="113">
        <f>报关单!G33</f>
        <v>2</v>
      </c>
      <c r="E14" s="114" t="str">
        <f>报关单!H33</f>
        <v>盒</v>
      </c>
      <c r="F14" s="116">
        <f>报关单!R34</f>
        <v>0</v>
      </c>
      <c r="G14" s="112">
        <f>报关单!O34</f>
        <v>0</v>
      </c>
      <c r="H14" s="115"/>
    </row>
    <row r="15" spans="1:9" ht="30" customHeight="1" x14ac:dyDescent="0.15">
      <c r="A15" s="110">
        <v>6</v>
      </c>
      <c r="B15" s="111" t="str">
        <f ca="1">发票!C13</f>
        <v>假泥鳅</v>
      </c>
      <c r="C15" s="112">
        <f>报关单!G37</f>
        <v>1</v>
      </c>
      <c r="D15" s="113">
        <f>报关单!G36</f>
        <v>8</v>
      </c>
      <c r="E15" s="114" t="str">
        <f>报关单!H36</f>
        <v>盒</v>
      </c>
      <c r="F15" s="116">
        <f>报关单!R37</f>
        <v>26.38</v>
      </c>
      <c r="G15" s="112">
        <f>报关单!O37</f>
        <v>25.12</v>
      </c>
      <c r="H15" s="115"/>
    </row>
    <row r="16" spans="1:9" ht="30" customHeight="1" x14ac:dyDescent="0.15">
      <c r="A16" s="110">
        <v>7</v>
      </c>
      <c r="B16" s="111" t="str">
        <f ca="1">发票!C14</f>
        <v>立体拼图</v>
      </c>
      <c r="C16" s="112">
        <f>报关单!G40</f>
        <v>1</v>
      </c>
      <c r="D16" s="113">
        <f>报关单!G39</f>
        <v>8</v>
      </c>
      <c r="E16" s="114" t="str">
        <f>报关单!H39</f>
        <v>盒</v>
      </c>
      <c r="F16" s="116">
        <f>报关单!R40</f>
        <v>0</v>
      </c>
      <c r="G16" s="112">
        <f>报关单!O40</f>
        <v>0</v>
      </c>
      <c r="H16" s="115"/>
    </row>
    <row r="17" spans="1:8" ht="30" customHeight="1" x14ac:dyDescent="0.15">
      <c r="A17" s="110">
        <v>8</v>
      </c>
      <c r="B17" s="111" t="str">
        <f ca="1">发票!C15</f>
        <v>升空火箭</v>
      </c>
      <c r="C17" s="112">
        <f>报关单!G43</f>
        <v>1</v>
      </c>
      <c r="D17" s="113">
        <f>报关单!G42</f>
        <v>6</v>
      </c>
      <c r="E17" s="114" t="str">
        <f>报关单!H42</f>
        <v>盒</v>
      </c>
      <c r="F17" s="116">
        <f>报关单!R43</f>
        <v>0</v>
      </c>
      <c r="G17" s="112">
        <f>报关单!O43</f>
        <v>0</v>
      </c>
      <c r="H17" s="115"/>
    </row>
    <row r="18" spans="1:8" ht="30" customHeight="1" x14ac:dyDescent="0.15">
      <c r="A18" s="110">
        <v>9</v>
      </c>
      <c r="B18" s="111" t="str">
        <f ca="1">发票!C16</f>
        <v>谷雨小车</v>
      </c>
      <c r="C18" s="112">
        <f>报关单!G46</f>
        <v>1</v>
      </c>
      <c r="D18" s="113">
        <f>报关单!G45</f>
        <v>14</v>
      </c>
      <c r="E18" s="114" t="str">
        <f>报关单!H45</f>
        <v>盒</v>
      </c>
      <c r="F18" s="116">
        <f>报关单!R46</f>
        <v>0</v>
      </c>
      <c r="G18" s="112">
        <f>报关单!O46</f>
        <v>0</v>
      </c>
      <c r="H18" s="115"/>
    </row>
    <row r="19" spans="1:8" ht="30" customHeight="1" x14ac:dyDescent="0.15">
      <c r="A19" s="110">
        <v>10</v>
      </c>
      <c r="B19" s="111">
        <f ca="1">发票!C17</f>
        <v>0</v>
      </c>
      <c r="C19" s="112">
        <f>报关单!G49</f>
        <v>0</v>
      </c>
      <c r="D19" s="113">
        <f>报关单!G48</f>
        <v>0</v>
      </c>
      <c r="E19" s="114">
        <f>报关单!H48</f>
        <v>0</v>
      </c>
      <c r="F19" s="116">
        <f>报关单!R49</f>
        <v>0</v>
      </c>
      <c r="G19" s="112">
        <f>报关单!O49</f>
        <v>0</v>
      </c>
      <c r="H19" s="115"/>
    </row>
    <row r="20" spans="1:8" ht="30" customHeight="1" x14ac:dyDescent="0.15">
      <c r="A20" s="110">
        <v>11</v>
      </c>
      <c r="B20" s="111">
        <f ca="1">发票!C18</f>
        <v>0</v>
      </c>
      <c r="C20" s="112">
        <f>报关单!G52</f>
        <v>0</v>
      </c>
      <c r="D20" s="113">
        <f>报关单!G51</f>
        <v>0</v>
      </c>
      <c r="E20" s="114">
        <f>报关单!H51</f>
        <v>0</v>
      </c>
      <c r="F20" s="116">
        <f>报关单!R52</f>
        <v>0</v>
      </c>
      <c r="G20" s="112">
        <f>报关单!O52</f>
        <v>0</v>
      </c>
      <c r="H20" s="115"/>
    </row>
    <row r="21" spans="1:8" ht="30" customHeight="1" x14ac:dyDescent="0.15">
      <c r="A21" s="110">
        <v>12</v>
      </c>
      <c r="B21" s="111">
        <f ca="1">发票!C19</f>
        <v>0</v>
      </c>
      <c r="C21" s="112">
        <f>报关单!G55</f>
        <v>0</v>
      </c>
      <c r="D21" s="113">
        <f>报关单!G54</f>
        <v>0</v>
      </c>
      <c r="E21" s="114">
        <f>报关单!H54</f>
        <v>0</v>
      </c>
      <c r="F21" s="116">
        <f>报关单!R55</f>
        <v>0</v>
      </c>
      <c r="G21" s="112">
        <f>报关单!O55</f>
        <v>0</v>
      </c>
      <c r="H21" s="115"/>
    </row>
    <row r="22" spans="1:8" ht="30" customHeight="1" x14ac:dyDescent="0.15">
      <c r="A22" s="110">
        <v>13</v>
      </c>
      <c r="B22" s="111">
        <f ca="1">发票!C20</f>
        <v>0</v>
      </c>
      <c r="C22" s="112">
        <f>报关单!G58</f>
        <v>0</v>
      </c>
      <c r="D22" s="113">
        <f>报关单!G57</f>
        <v>0</v>
      </c>
      <c r="E22" s="114">
        <f>报关单!H57</f>
        <v>0</v>
      </c>
      <c r="F22" s="116">
        <f>报关单!R58</f>
        <v>0</v>
      </c>
      <c r="G22" s="112">
        <f>报关单!O58</f>
        <v>0</v>
      </c>
      <c r="H22" s="115"/>
    </row>
    <row r="23" spans="1:8" ht="30" customHeight="1" x14ac:dyDescent="0.15">
      <c r="A23" s="110">
        <v>14</v>
      </c>
      <c r="B23" s="111">
        <f ca="1">发票!C21</f>
        <v>0</v>
      </c>
      <c r="C23" s="112">
        <f>报关单!G61</f>
        <v>0</v>
      </c>
      <c r="D23" s="113">
        <f>报关单!G60</f>
        <v>0</v>
      </c>
      <c r="E23" s="114">
        <f>报关单!H60</f>
        <v>0</v>
      </c>
      <c r="F23" s="116">
        <f>报关单!R61</f>
        <v>0</v>
      </c>
      <c r="G23" s="112">
        <f>报关单!O61</f>
        <v>0</v>
      </c>
      <c r="H23" s="115"/>
    </row>
    <row r="24" spans="1:8" ht="30" customHeight="1" x14ac:dyDescent="0.15">
      <c r="A24" s="110">
        <v>15</v>
      </c>
      <c r="B24" s="111">
        <f ca="1">发票!C22</f>
        <v>0</v>
      </c>
      <c r="C24" s="112">
        <f>报关单!G64</f>
        <v>0</v>
      </c>
      <c r="D24" s="113">
        <f>报关单!G63</f>
        <v>0</v>
      </c>
      <c r="E24" s="114">
        <f>报关单!H63</f>
        <v>0</v>
      </c>
      <c r="F24" s="116">
        <f>报关单!R64</f>
        <v>0</v>
      </c>
      <c r="G24" s="112">
        <f>报关单!O64</f>
        <v>0</v>
      </c>
      <c r="H24" s="115"/>
    </row>
    <row r="25" spans="1:8" ht="30" customHeight="1" x14ac:dyDescent="0.15">
      <c r="A25" s="110">
        <v>16</v>
      </c>
      <c r="B25" s="111">
        <f ca="1">发票!C23</f>
        <v>0</v>
      </c>
      <c r="C25" s="112">
        <f>报关单!G67</f>
        <v>0</v>
      </c>
      <c r="D25" s="113">
        <f>报关单!G66</f>
        <v>0</v>
      </c>
      <c r="E25" s="114">
        <f>报关单!H66</f>
        <v>0</v>
      </c>
      <c r="F25" s="116">
        <f>报关单!R67</f>
        <v>0</v>
      </c>
      <c r="G25" s="112">
        <f>报关单!O67</f>
        <v>0</v>
      </c>
      <c r="H25" s="115"/>
    </row>
    <row r="26" spans="1:8" ht="30" customHeight="1" x14ac:dyDescent="0.15">
      <c r="A26" s="110">
        <v>17</v>
      </c>
      <c r="B26" s="111">
        <f ca="1">发票!C24</f>
        <v>0</v>
      </c>
      <c r="C26" s="112">
        <f>报关单!G70</f>
        <v>0</v>
      </c>
      <c r="D26" s="113">
        <f>报关单!G69</f>
        <v>0</v>
      </c>
      <c r="E26" s="114">
        <f>报关单!H69</f>
        <v>0</v>
      </c>
      <c r="F26" s="116">
        <f>报关单!R70</f>
        <v>0</v>
      </c>
      <c r="G26" s="112">
        <f>报关单!O70</f>
        <v>0</v>
      </c>
      <c r="H26" s="115"/>
    </row>
    <row r="27" spans="1:8" ht="30" customHeight="1" x14ac:dyDescent="0.15">
      <c r="A27" s="110">
        <v>18</v>
      </c>
      <c r="B27" s="111">
        <f ca="1">发票!C25</f>
        <v>0</v>
      </c>
      <c r="C27" s="112">
        <f>报关单!G73</f>
        <v>0</v>
      </c>
      <c r="D27" s="113">
        <f>报关单!G72</f>
        <v>0</v>
      </c>
      <c r="E27" s="114">
        <f>报关单!H72</f>
        <v>0</v>
      </c>
      <c r="F27" s="116">
        <f>报关单!R73</f>
        <v>0</v>
      </c>
      <c r="G27" s="112">
        <f>报关单!O73</f>
        <v>0</v>
      </c>
      <c r="H27" s="115"/>
    </row>
    <row r="28" spans="1:8" ht="29.1" customHeight="1" x14ac:dyDescent="0.15">
      <c r="A28" s="117" t="s">
        <v>89</v>
      </c>
      <c r="B28" s="118"/>
      <c r="C28" s="119">
        <f>SUM(C10:C27)</f>
        <v>15</v>
      </c>
      <c r="D28" s="120">
        <f>SUM(D10:D27)</f>
        <v>170</v>
      </c>
      <c r="E28" s="121"/>
      <c r="F28" s="122">
        <f>SUM(F10:F27)</f>
        <v>26.38</v>
      </c>
      <c r="G28" s="119">
        <f>SUM(G10:G27)</f>
        <v>25.12</v>
      </c>
    </row>
    <row r="29" spans="1:8" ht="18.95" customHeight="1" x14ac:dyDescent="0.15">
      <c r="A29" s="280" t="s">
        <v>72</v>
      </c>
      <c r="B29" s="278"/>
      <c r="C29" s="278"/>
      <c r="D29" s="283"/>
      <c r="E29" s="278"/>
      <c r="F29" s="278"/>
      <c r="G29" s="278"/>
    </row>
    <row r="30" spans="1:8" ht="18.95" customHeight="1" x14ac:dyDescent="0.15">
      <c r="A30" s="280"/>
      <c r="B30" s="278"/>
      <c r="C30" s="278"/>
      <c r="D30" s="283"/>
      <c r="E30" s="278"/>
      <c r="F30" s="278"/>
      <c r="G30" s="278"/>
    </row>
  </sheetData>
  <mergeCells count="7">
    <mergeCell ref="B2:E3"/>
    <mergeCell ref="B29:G30"/>
    <mergeCell ref="B5:E5"/>
    <mergeCell ref="D6:E6"/>
    <mergeCell ref="D7:E7"/>
    <mergeCell ref="D9:E9"/>
    <mergeCell ref="A29:A30"/>
  </mergeCells>
  <phoneticPr fontId="39" type="noConversion"/>
  <pageMargins left="0.2" right="0.16" top="0.24" bottom="0.2" header="0.2" footer="0.08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J67"/>
  <sheetViews>
    <sheetView showZeros="0" view="pageBreakPreview" zoomScaleNormal="100" workbookViewId="0">
      <selection activeCell="N20" sqref="N20"/>
    </sheetView>
  </sheetViews>
  <sheetFormatPr defaultColWidth="9" defaultRowHeight="15.75" x14ac:dyDescent="0.15"/>
  <cols>
    <col min="1" max="1" width="0.25" customWidth="1"/>
    <col min="2" max="2" width="16.5" style="55" customWidth="1"/>
    <col min="3" max="3" width="14.25" style="55" customWidth="1"/>
    <col min="4" max="4" width="12.5" style="55" customWidth="1"/>
    <col min="5" max="5" width="14" style="55" customWidth="1"/>
    <col min="6" max="6" width="12.875" style="55" customWidth="1"/>
    <col min="7" max="7" width="5.875" style="55" customWidth="1"/>
    <col min="8" max="8" width="12.75" style="55" customWidth="1"/>
    <col min="9" max="9" width="1.5" style="55" customWidth="1"/>
    <col min="10" max="10" width="6.25" style="55" customWidth="1"/>
    <col min="11" max="16384" width="9" style="55"/>
  </cols>
  <sheetData>
    <row r="1" spans="1:10" ht="57" customHeight="1" x14ac:dyDescent="0.15">
      <c r="B1" s="265" t="s">
        <v>90</v>
      </c>
      <c r="C1" s="284"/>
      <c r="D1" s="284"/>
      <c r="E1" s="284"/>
      <c r="F1" s="284"/>
      <c r="G1" s="284"/>
      <c r="H1" s="284"/>
      <c r="I1" s="284"/>
    </row>
    <row r="2" spans="1:10" ht="12" customHeight="1" x14ac:dyDescent="0.15">
      <c r="B2" s="57" t="s">
        <v>91</v>
      </c>
      <c r="C2" s="321">
        <f>报关单!V5</f>
        <v>0</v>
      </c>
      <c r="D2" s="321"/>
      <c r="E2" s="321"/>
      <c r="F2" s="59"/>
      <c r="G2" s="57"/>
      <c r="H2" s="283"/>
      <c r="I2" s="283"/>
    </row>
    <row r="3" spans="1:10" ht="9.9499999999999993" customHeight="1" x14ac:dyDescent="0.15">
      <c r="B3" s="57" t="s">
        <v>92</v>
      </c>
      <c r="C3" s="322"/>
      <c r="D3" s="322"/>
      <c r="E3" s="322"/>
      <c r="F3" s="61"/>
      <c r="G3" s="285"/>
      <c r="H3" s="285"/>
      <c r="I3" s="285"/>
    </row>
    <row r="4" spans="1:10" ht="11.1" customHeight="1" x14ac:dyDescent="0.15">
      <c r="B4" s="62" t="s">
        <v>93</v>
      </c>
      <c r="C4" s="315" t="s">
        <v>94</v>
      </c>
      <c r="D4" s="323"/>
      <c r="E4" s="323"/>
      <c r="F4" s="63"/>
      <c r="G4" s="64"/>
      <c r="H4" s="283"/>
      <c r="I4" s="283"/>
    </row>
    <row r="5" spans="1:10" ht="15" customHeight="1" x14ac:dyDescent="0.15">
      <c r="B5" s="62" t="s">
        <v>95</v>
      </c>
      <c r="C5" s="324"/>
      <c r="D5" s="324"/>
      <c r="E5" s="324"/>
      <c r="F5" s="59" t="s">
        <v>96</v>
      </c>
      <c r="G5" s="57"/>
      <c r="H5" s="283"/>
      <c r="I5" s="283"/>
    </row>
    <row r="6" spans="1:10" ht="12.95" customHeight="1" x14ac:dyDescent="0.15">
      <c r="B6" s="62" t="s">
        <v>97</v>
      </c>
      <c r="C6" s="305" t="s">
        <v>98</v>
      </c>
      <c r="D6" s="65" t="s">
        <v>99</v>
      </c>
      <c r="E6" s="305" t="s">
        <v>100</v>
      </c>
      <c r="F6" s="61" t="s">
        <v>101</v>
      </c>
      <c r="G6" s="285" t="str">
        <f>报关单!A10</f>
        <v>FBA19GTDMPSV</v>
      </c>
      <c r="H6" s="285"/>
      <c r="I6" s="285"/>
      <c r="J6" s="60"/>
    </row>
    <row r="7" spans="1:10" ht="12.95" customHeight="1" x14ac:dyDescent="0.15">
      <c r="B7" s="66" t="s">
        <v>102</v>
      </c>
      <c r="C7" s="306"/>
      <c r="D7" s="67" t="s">
        <v>103</v>
      </c>
      <c r="E7" s="306"/>
      <c r="F7" s="61" t="s">
        <v>104</v>
      </c>
      <c r="G7" s="62"/>
      <c r="H7" s="283"/>
      <c r="I7" s="283"/>
    </row>
    <row r="8" spans="1:10" ht="11.1" customHeight="1" x14ac:dyDescent="0.15">
      <c r="B8" s="68" t="s">
        <v>105</v>
      </c>
      <c r="C8" s="312" t="str">
        <f>箱单!B5</f>
        <v>Amazon.com Services, Inc.</v>
      </c>
      <c r="D8" s="313"/>
      <c r="E8" s="313"/>
      <c r="F8" s="61" t="s">
        <v>106</v>
      </c>
      <c r="G8" s="286">
        <f>发票!G3</f>
        <v>46006</v>
      </c>
      <c r="H8" s="286"/>
      <c r="I8" s="286"/>
    </row>
    <row r="9" spans="1:10" ht="13.5" customHeight="1" x14ac:dyDescent="0.15">
      <c r="B9" s="57" t="s">
        <v>107</v>
      </c>
      <c r="C9" s="314"/>
      <c r="D9" s="314"/>
      <c r="E9" s="314"/>
      <c r="F9" s="69" t="s">
        <v>108</v>
      </c>
      <c r="G9" s="70"/>
      <c r="H9" s="287"/>
      <c r="I9" s="287"/>
    </row>
    <row r="10" spans="1:10" ht="16.5" customHeight="1" x14ac:dyDescent="0.15">
      <c r="B10" s="57" t="s">
        <v>109</v>
      </c>
      <c r="C10" s="315" t="s">
        <v>110</v>
      </c>
      <c r="D10" s="316"/>
      <c r="E10" s="316"/>
      <c r="F10" s="61" t="s">
        <v>111</v>
      </c>
      <c r="G10" s="288" t="s">
        <v>81</v>
      </c>
      <c r="H10" s="285"/>
      <c r="I10" s="285"/>
    </row>
    <row r="11" spans="1:10" ht="13.5" customHeight="1" x14ac:dyDescent="0.15">
      <c r="B11" s="57" t="s">
        <v>112</v>
      </c>
      <c r="C11" s="317"/>
      <c r="D11" s="317"/>
      <c r="E11" s="317"/>
      <c r="F11" s="308" t="s">
        <v>113</v>
      </c>
      <c r="G11" s="318">
        <f>报关单!V4</f>
        <v>0</v>
      </c>
      <c r="H11" s="318"/>
      <c r="I11" s="71"/>
    </row>
    <row r="12" spans="1:10" ht="9.9499999999999993" customHeight="1" x14ac:dyDescent="0.15">
      <c r="B12" s="57" t="s">
        <v>114</v>
      </c>
      <c r="C12" s="307"/>
      <c r="D12" s="72" t="s">
        <v>115</v>
      </c>
      <c r="E12" s="307">
        <f>报关单!Y10</f>
        <v>0</v>
      </c>
      <c r="F12" s="309"/>
      <c r="G12" s="318"/>
      <c r="H12" s="318"/>
      <c r="I12" s="71"/>
    </row>
    <row r="13" spans="1:10" ht="9" customHeight="1" x14ac:dyDescent="0.15">
      <c r="B13" s="66" t="s">
        <v>116</v>
      </c>
      <c r="C13" s="295"/>
      <c r="D13" s="66" t="s">
        <v>103</v>
      </c>
      <c r="E13" s="295"/>
      <c r="F13" s="73"/>
      <c r="G13" s="73"/>
      <c r="H13" s="283"/>
      <c r="I13" s="283"/>
    </row>
    <row r="14" spans="1:10" ht="13.5" customHeight="1" x14ac:dyDescent="0.15">
      <c r="B14" s="25" t="s">
        <v>117</v>
      </c>
      <c r="C14" s="40"/>
      <c r="D14" s="73"/>
      <c r="E14" s="73"/>
      <c r="F14" s="73"/>
      <c r="G14" s="73"/>
      <c r="H14" s="283"/>
      <c r="I14" s="283"/>
    </row>
    <row r="15" spans="1:10" ht="13.5" customHeight="1" x14ac:dyDescent="0.15">
      <c r="B15" s="289" t="s">
        <v>118</v>
      </c>
      <c r="C15" s="289"/>
      <c r="D15" s="289"/>
      <c r="E15" s="289"/>
      <c r="F15" s="289"/>
      <c r="G15" s="289"/>
      <c r="H15" s="289"/>
      <c r="I15" s="289"/>
    </row>
    <row r="16" spans="1:10" ht="15.75" customHeight="1" x14ac:dyDescent="0.15">
      <c r="A16" s="55"/>
      <c r="B16" s="290" t="s">
        <v>119</v>
      </c>
      <c r="C16" s="291"/>
      <c r="D16" s="74" t="s">
        <v>120</v>
      </c>
      <c r="E16" s="74" t="s">
        <v>121</v>
      </c>
      <c r="F16" s="74" t="s">
        <v>122</v>
      </c>
      <c r="G16" s="290" t="s">
        <v>123</v>
      </c>
      <c r="H16" s="292"/>
      <c r="I16" s="291"/>
    </row>
    <row r="17" spans="2:9" s="55" customFormat="1" ht="10.5" customHeight="1" x14ac:dyDescent="0.15">
      <c r="B17" s="293" t="s">
        <v>124</v>
      </c>
      <c r="C17" s="294"/>
      <c r="D17" s="75" t="s">
        <v>125</v>
      </c>
      <c r="E17" s="75" t="s">
        <v>126</v>
      </c>
      <c r="F17" s="75" t="s">
        <v>127</v>
      </c>
      <c r="G17" s="293" t="s">
        <v>128</v>
      </c>
      <c r="H17" s="295"/>
      <c r="I17" s="294"/>
    </row>
    <row r="18" spans="2:9" s="55" customFormat="1" ht="12" customHeight="1" x14ac:dyDescent="0.15">
      <c r="B18" s="296" t="str">
        <f ca="1">发票!C8</f>
        <v>手抓球</v>
      </c>
      <c r="C18" s="297"/>
      <c r="D18" s="76">
        <f>发票!D8</f>
        <v>67</v>
      </c>
      <c r="E18" s="36" t="str">
        <f>发票!E8</f>
        <v>盒</v>
      </c>
      <c r="F18" s="77">
        <f>发票!F8</f>
        <v>2</v>
      </c>
      <c r="G18" s="78" t="str">
        <f ca="1">发票!G8</f>
        <v>美元</v>
      </c>
      <c r="H18" s="298">
        <f ca="1">发票!H8</f>
        <v>134</v>
      </c>
      <c r="I18" s="299"/>
    </row>
    <row r="19" spans="2:9" s="55" customFormat="1" ht="12" customHeight="1" x14ac:dyDescent="0.15">
      <c r="B19" s="296" t="str">
        <f ca="1">发票!C9</f>
        <v>软积木</v>
      </c>
      <c r="C19" s="297"/>
      <c r="D19" s="76">
        <f>发票!D9</f>
        <v>56</v>
      </c>
      <c r="E19" s="36" t="str">
        <f>发票!E9</f>
        <v>盒</v>
      </c>
      <c r="F19" s="77">
        <f>发票!F9</f>
        <v>3</v>
      </c>
      <c r="G19" s="78" t="str">
        <f ca="1">发票!G9</f>
        <v>美元</v>
      </c>
      <c r="H19" s="298">
        <f ca="1">发票!H9</f>
        <v>168</v>
      </c>
      <c r="I19" s="299"/>
    </row>
    <row r="20" spans="2:9" s="55" customFormat="1" ht="12" customHeight="1" x14ac:dyDescent="0.15">
      <c r="B20" s="296" t="str">
        <f ca="1">发票!C10</f>
        <v>球铃组合</v>
      </c>
      <c r="C20" s="297"/>
      <c r="D20" s="76">
        <f>发票!D10</f>
        <v>7</v>
      </c>
      <c r="E20" s="36" t="str">
        <f>发票!E10</f>
        <v>盒</v>
      </c>
      <c r="F20" s="77">
        <f>发票!F10</f>
        <v>3</v>
      </c>
      <c r="G20" s="78" t="str">
        <f ca="1">发票!G10</f>
        <v>美元</v>
      </c>
      <c r="H20" s="298">
        <f ca="1">发票!H10</f>
        <v>21</v>
      </c>
      <c r="I20" s="299"/>
    </row>
    <row r="21" spans="2:9" s="55" customFormat="1" ht="12" customHeight="1" x14ac:dyDescent="0.15">
      <c r="B21" s="296" t="str">
        <f ca="1">发票!C11</f>
        <v>落球塔</v>
      </c>
      <c r="C21" s="297"/>
      <c r="D21" s="76">
        <f>发票!D11</f>
        <v>2</v>
      </c>
      <c r="E21" s="36" t="str">
        <f>发票!E11</f>
        <v>盒</v>
      </c>
      <c r="F21" s="77">
        <f>发票!F11</f>
        <v>6</v>
      </c>
      <c r="G21" s="78" t="str">
        <f ca="1">发票!G11</f>
        <v>美元</v>
      </c>
      <c r="H21" s="298">
        <f ca="1">发票!H11</f>
        <v>12</v>
      </c>
      <c r="I21" s="299"/>
    </row>
    <row r="22" spans="2:9" s="55" customFormat="1" ht="12" customHeight="1" x14ac:dyDescent="0.15">
      <c r="B22" s="296" t="str">
        <f ca="1">发票!C12</f>
        <v>缝纫机</v>
      </c>
      <c r="C22" s="297"/>
      <c r="D22" s="76">
        <f>发票!D12</f>
        <v>2</v>
      </c>
      <c r="E22" s="36" t="str">
        <f>发票!E12</f>
        <v>盒</v>
      </c>
      <c r="F22" s="77">
        <f>发票!F12</f>
        <v>6</v>
      </c>
      <c r="G22" s="78" t="str">
        <f ca="1">发票!G12</f>
        <v>美元</v>
      </c>
      <c r="H22" s="298">
        <f ca="1">发票!H12</f>
        <v>12</v>
      </c>
      <c r="I22" s="299"/>
    </row>
    <row r="23" spans="2:9" s="55" customFormat="1" ht="12" customHeight="1" x14ac:dyDescent="0.15">
      <c r="B23" s="296" t="str">
        <f ca="1">发票!C13</f>
        <v>假泥鳅</v>
      </c>
      <c r="C23" s="297"/>
      <c r="D23" s="76">
        <f>发票!D13</f>
        <v>8</v>
      </c>
      <c r="E23" s="36" t="str">
        <f>发票!E13</f>
        <v>盒</v>
      </c>
      <c r="F23" s="77">
        <f>发票!F13</f>
        <v>2</v>
      </c>
      <c r="G23" s="78" t="str">
        <f ca="1">发票!G13</f>
        <v>美元</v>
      </c>
      <c r="H23" s="298">
        <f ca="1">发票!H13</f>
        <v>16</v>
      </c>
      <c r="I23" s="299"/>
    </row>
    <row r="24" spans="2:9" s="55" customFormat="1" ht="12" customHeight="1" x14ac:dyDescent="0.15">
      <c r="B24" s="296" t="str">
        <f ca="1">发票!C14</f>
        <v>立体拼图</v>
      </c>
      <c r="C24" s="297"/>
      <c r="D24" s="76">
        <f>发票!D14</f>
        <v>8</v>
      </c>
      <c r="E24" s="36" t="str">
        <f>发票!E14</f>
        <v>盒</v>
      </c>
      <c r="F24" s="77">
        <f>发票!F14</f>
        <v>2</v>
      </c>
      <c r="G24" s="78" t="str">
        <f ca="1">发票!G14</f>
        <v>美元</v>
      </c>
      <c r="H24" s="298">
        <f ca="1">发票!H14</f>
        <v>16</v>
      </c>
      <c r="I24" s="299"/>
    </row>
    <row r="25" spans="2:9" s="55" customFormat="1" ht="12" customHeight="1" x14ac:dyDescent="0.15">
      <c r="B25" s="296" t="str">
        <f ca="1">发票!C15</f>
        <v>升空火箭</v>
      </c>
      <c r="C25" s="297"/>
      <c r="D25" s="76">
        <f>发票!D15</f>
        <v>6</v>
      </c>
      <c r="E25" s="36" t="str">
        <f>发票!E15</f>
        <v>盒</v>
      </c>
      <c r="F25" s="77">
        <f>发票!F15</f>
        <v>9</v>
      </c>
      <c r="G25" s="78" t="str">
        <f ca="1">发票!G15</f>
        <v>美元</v>
      </c>
      <c r="H25" s="298">
        <f ca="1">发票!H15</f>
        <v>54</v>
      </c>
      <c r="I25" s="299"/>
    </row>
    <row r="26" spans="2:9" s="55" customFormat="1" ht="12" customHeight="1" x14ac:dyDescent="0.15">
      <c r="B26" s="296" t="str">
        <f ca="1">发票!C16</f>
        <v>谷雨小车</v>
      </c>
      <c r="C26" s="297"/>
      <c r="D26" s="76">
        <f>发票!D16</f>
        <v>14</v>
      </c>
      <c r="E26" s="36" t="str">
        <f>发票!E16</f>
        <v>盒</v>
      </c>
      <c r="F26" s="77">
        <f>发票!F16</f>
        <v>3</v>
      </c>
      <c r="G26" s="78" t="str">
        <f ca="1">发票!G16</f>
        <v>美元</v>
      </c>
      <c r="H26" s="298">
        <f ca="1">发票!H16</f>
        <v>42</v>
      </c>
      <c r="I26" s="299"/>
    </row>
    <row r="27" spans="2:9" s="55" customFormat="1" ht="12" customHeight="1" x14ac:dyDescent="0.15">
      <c r="B27" s="296">
        <f ca="1">发票!C17</f>
        <v>0</v>
      </c>
      <c r="C27" s="297"/>
      <c r="D27" s="76">
        <f>发票!D17</f>
        <v>0</v>
      </c>
      <c r="E27" s="36">
        <f>发票!E17</f>
        <v>0</v>
      </c>
      <c r="F27" s="77">
        <f>发票!F17</f>
        <v>0</v>
      </c>
      <c r="G27" s="78">
        <f ca="1">发票!G17</f>
        <v>0</v>
      </c>
      <c r="H27" s="298">
        <f ca="1">发票!H17</f>
        <v>0</v>
      </c>
      <c r="I27" s="299"/>
    </row>
    <row r="28" spans="2:9" s="55" customFormat="1" ht="12" customHeight="1" x14ac:dyDescent="0.15">
      <c r="B28" s="296">
        <f ca="1">发票!C18</f>
        <v>0</v>
      </c>
      <c r="C28" s="297"/>
      <c r="D28" s="76">
        <f>发票!D18</f>
        <v>0</v>
      </c>
      <c r="E28" s="36">
        <f>发票!E18</f>
        <v>0</v>
      </c>
      <c r="F28" s="77">
        <f>发票!F18</f>
        <v>0</v>
      </c>
      <c r="G28" s="78">
        <f ca="1">发票!G18</f>
        <v>0</v>
      </c>
      <c r="H28" s="298">
        <f ca="1">发票!H18</f>
        <v>0</v>
      </c>
      <c r="I28" s="299"/>
    </row>
    <row r="29" spans="2:9" s="55" customFormat="1" ht="12" customHeight="1" x14ac:dyDescent="0.15">
      <c r="B29" s="296">
        <f ca="1">发票!C19</f>
        <v>0</v>
      </c>
      <c r="C29" s="297"/>
      <c r="D29" s="76">
        <f>发票!D19</f>
        <v>0</v>
      </c>
      <c r="E29" s="36">
        <f>发票!E19</f>
        <v>0</v>
      </c>
      <c r="F29" s="77">
        <f>发票!F19</f>
        <v>0</v>
      </c>
      <c r="G29" s="78">
        <f ca="1">发票!G19</f>
        <v>0</v>
      </c>
      <c r="H29" s="298">
        <f ca="1">发票!H19</f>
        <v>0</v>
      </c>
      <c r="I29" s="299"/>
    </row>
    <row r="30" spans="2:9" s="55" customFormat="1" ht="12" customHeight="1" x14ac:dyDescent="0.15">
      <c r="B30" s="296">
        <f ca="1">发票!C20</f>
        <v>0</v>
      </c>
      <c r="C30" s="297"/>
      <c r="D30" s="76">
        <f>发票!D20</f>
        <v>0</v>
      </c>
      <c r="E30" s="36">
        <f>发票!E20</f>
        <v>0</v>
      </c>
      <c r="F30" s="77">
        <f>发票!F20</f>
        <v>0</v>
      </c>
      <c r="G30" s="78">
        <f ca="1">发票!G20</f>
        <v>0</v>
      </c>
      <c r="H30" s="298">
        <f ca="1">发票!H20</f>
        <v>0</v>
      </c>
      <c r="I30" s="299"/>
    </row>
    <row r="31" spans="2:9" s="55" customFormat="1" ht="12" customHeight="1" x14ac:dyDescent="0.15">
      <c r="B31" s="296">
        <f ca="1">发票!C21</f>
        <v>0</v>
      </c>
      <c r="C31" s="297"/>
      <c r="D31" s="76">
        <f>发票!D21</f>
        <v>0</v>
      </c>
      <c r="E31" s="36">
        <f>发票!E21</f>
        <v>0</v>
      </c>
      <c r="F31" s="77">
        <f>发票!F21</f>
        <v>0</v>
      </c>
      <c r="G31" s="78">
        <f ca="1">发票!G21</f>
        <v>0</v>
      </c>
      <c r="H31" s="298">
        <f ca="1">发票!H21</f>
        <v>0</v>
      </c>
      <c r="I31" s="299"/>
    </row>
    <row r="32" spans="2:9" s="55" customFormat="1" ht="12" customHeight="1" x14ac:dyDescent="0.15">
      <c r="B32" s="296">
        <f ca="1">发票!C22</f>
        <v>0</v>
      </c>
      <c r="C32" s="297"/>
      <c r="D32" s="76">
        <f>发票!D22</f>
        <v>0</v>
      </c>
      <c r="E32" s="36">
        <f>发票!E22</f>
        <v>0</v>
      </c>
      <c r="F32" s="77">
        <f>发票!F22</f>
        <v>0</v>
      </c>
      <c r="G32" s="78">
        <f ca="1">发票!G22</f>
        <v>0</v>
      </c>
      <c r="H32" s="298">
        <f ca="1">发票!H22</f>
        <v>0</v>
      </c>
      <c r="I32" s="299"/>
    </row>
    <row r="33" spans="1:9" ht="12" customHeight="1" x14ac:dyDescent="0.15">
      <c r="A33" s="55"/>
      <c r="B33" s="296">
        <f ca="1">发票!C23</f>
        <v>0</v>
      </c>
      <c r="C33" s="297"/>
      <c r="D33" s="76">
        <f>发票!D23</f>
        <v>0</v>
      </c>
      <c r="E33" s="36">
        <f>发票!E23</f>
        <v>0</v>
      </c>
      <c r="F33" s="77">
        <f>发票!F23</f>
        <v>0</v>
      </c>
      <c r="G33" s="78">
        <f ca="1">发票!G23</f>
        <v>0</v>
      </c>
      <c r="H33" s="298">
        <f ca="1">发票!H23</f>
        <v>0</v>
      </c>
      <c r="I33" s="299"/>
    </row>
    <row r="34" spans="1:9" ht="12" customHeight="1" x14ac:dyDescent="0.15">
      <c r="A34" s="55"/>
      <c r="B34" s="296">
        <f ca="1">发票!C24</f>
        <v>0</v>
      </c>
      <c r="C34" s="297"/>
      <c r="D34" s="76">
        <f>发票!D24</f>
        <v>0</v>
      </c>
      <c r="E34" s="36">
        <f>发票!E24</f>
        <v>0</v>
      </c>
      <c r="F34" s="77">
        <f>发票!F24</f>
        <v>0</v>
      </c>
      <c r="G34" s="78">
        <f ca="1">发票!G24</f>
        <v>0</v>
      </c>
      <c r="H34" s="298">
        <f ca="1">发票!H24</f>
        <v>0</v>
      </c>
      <c r="I34" s="299"/>
    </row>
    <row r="35" spans="1:9" ht="12" customHeight="1" x14ac:dyDescent="0.15">
      <c r="A35" s="55"/>
      <c r="B35" s="296">
        <f ca="1">发票!C25</f>
        <v>0</v>
      </c>
      <c r="C35" s="297"/>
      <c r="D35" s="76">
        <f>发票!D25</f>
        <v>0</v>
      </c>
      <c r="E35" s="36">
        <f>发票!E25</f>
        <v>0</v>
      </c>
      <c r="F35" s="77">
        <f>发票!F25</f>
        <v>0</v>
      </c>
      <c r="G35" s="78">
        <f ca="1">发票!G25</f>
        <v>0</v>
      </c>
      <c r="H35" s="298">
        <f ca="1">发票!H25</f>
        <v>0</v>
      </c>
      <c r="I35" s="299"/>
    </row>
    <row r="36" spans="1:9" ht="12" customHeight="1" x14ac:dyDescent="0.15">
      <c r="A36" s="55"/>
      <c r="B36" s="296">
        <f ca="1">发票!C26</f>
        <v>0</v>
      </c>
      <c r="C36" s="297"/>
      <c r="D36" s="76"/>
      <c r="E36" s="36"/>
      <c r="F36" s="77"/>
      <c r="G36" s="78"/>
      <c r="H36" s="79"/>
      <c r="I36" s="80"/>
    </row>
    <row r="37" spans="1:9" ht="12" customHeight="1" x14ac:dyDescent="0.15">
      <c r="A37" s="55"/>
      <c r="B37" s="296"/>
      <c r="C37" s="297"/>
      <c r="D37" s="76"/>
      <c r="E37" s="36"/>
      <c r="F37" s="77"/>
      <c r="G37" s="78"/>
      <c r="H37" s="79"/>
      <c r="I37" s="80"/>
    </row>
    <row r="38" spans="1:9" ht="12" customHeight="1" x14ac:dyDescent="0.15">
      <c r="A38" s="55"/>
      <c r="B38" s="296">
        <f>发票!C28</f>
        <v>0</v>
      </c>
      <c r="C38" s="297"/>
      <c r="D38" s="76"/>
      <c r="E38" s="36"/>
      <c r="F38" s="77"/>
      <c r="G38" s="78"/>
      <c r="H38" s="79"/>
      <c r="I38" s="80"/>
    </row>
    <row r="39" spans="1:9" ht="12" customHeight="1" x14ac:dyDescent="0.15">
      <c r="A39" s="55"/>
      <c r="B39" s="296"/>
      <c r="C39" s="297"/>
      <c r="D39" s="76"/>
      <c r="E39" s="36"/>
      <c r="F39" s="77"/>
      <c r="G39" s="78"/>
      <c r="H39" s="298"/>
      <c r="I39" s="299"/>
    </row>
    <row r="40" spans="1:9" ht="6" customHeight="1" x14ac:dyDescent="0.15">
      <c r="A40" s="55"/>
      <c r="B40" s="296">
        <f>发票!C28</f>
        <v>0</v>
      </c>
      <c r="C40" s="297"/>
      <c r="D40" s="81"/>
      <c r="E40" s="35"/>
      <c r="F40" s="82"/>
      <c r="G40" s="83"/>
      <c r="H40" s="300"/>
      <c r="I40" s="301"/>
    </row>
    <row r="41" spans="1:9" ht="13.5" customHeight="1" x14ac:dyDescent="0.15">
      <c r="B41" s="25" t="s">
        <v>129</v>
      </c>
      <c r="C41" s="25"/>
      <c r="D41" s="73"/>
      <c r="E41" s="73"/>
      <c r="F41" s="84" t="s">
        <v>130</v>
      </c>
      <c r="G41" s="310" t="str">
        <f ca="1">G18</f>
        <v>美元</v>
      </c>
      <c r="H41" s="319">
        <f ca="1">SUM(H18:I40)</f>
        <v>475</v>
      </c>
      <c r="I41" s="319"/>
    </row>
    <row r="42" spans="1:9" ht="13.5" customHeight="1" x14ac:dyDescent="0.15">
      <c r="B42" s="302" t="s">
        <v>131</v>
      </c>
      <c r="C42" s="302"/>
      <c r="D42" s="302"/>
      <c r="E42" s="302"/>
      <c r="F42" s="85" t="s">
        <v>132</v>
      </c>
      <c r="G42" s="311"/>
      <c r="H42" s="320"/>
      <c r="I42" s="320"/>
    </row>
    <row r="43" spans="1:9" ht="13.5" customHeight="1" x14ac:dyDescent="0.15">
      <c r="B43" s="7" t="s">
        <v>133</v>
      </c>
      <c r="C43"/>
      <c r="D43" s="86" t="str">
        <f ca="1">IF(G41="CNY","总计人民币:",IF(G41="USD","总计美元: ","  "))</f>
        <v xml:space="preserve">  </v>
      </c>
      <c r="E43" s="303">
        <f ca="1">H41</f>
        <v>475</v>
      </c>
      <c r="F43" s="303"/>
      <c r="G43" s="303"/>
      <c r="H43" s="303"/>
      <c r="I43" s="87"/>
    </row>
    <row r="44" spans="1:9" ht="13.5" customHeight="1" x14ac:dyDescent="0.15">
      <c r="B44" s="73" t="s">
        <v>134</v>
      </c>
      <c r="C44" s="73"/>
      <c r="D44" s="86"/>
      <c r="E44" s="87"/>
      <c r="F44" s="87"/>
      <c r="G44" s="87"/>
      <c r="H44" s="87"/>
      <c r="I44" s="87"/>
    </row>
    <row r="45" spans="1:9" ht="13.5" customHeight="1" x14ac:dyDescent="0.15">
      <c r="B45" s="55" t="s">
        <v>135</v>
      </c>
      <c r="C45" s="6"/>
      <c r="D45" s="249" t="str">
        <f>报关单!A12</f>
        <v>纸箱包装</v>
      </c>
      <c r="E45" s="249"/>
      <c r="F45" s="88"/>
      <c r="G45" s="88"/>
      <c r="H45" s="88"/>
      <c r="I45" s="88"/>
    </row>
    <row r="46" spans="1:9" ht="12" customHeight="1" x14ac:dyDescent="0.15">
      <c r="B46" s="73" t="s">
        <v>136</v>
      </c>
      <c r="C46" s="73"/>
      <c r="D46" s="249"/>
      <c r="E46" s="249"/>
      <c r="F46" s="88"/>
      <c r="G46" s="88"/>
      <c r="H46" s="88"/>
      <c r="I46" s="88"/>
    </row>
    <row r="47" spans="1:9" ht="13.5" customHeight="1" x14ac:dyDescent="0.15">
      <c r="B47" s="55" t="s">
        <v>137</v>
      </c>
      <c r="D47" s="88"/>
      <c r="E47" s="88"/>
      <c r="F47" s="88"/>
      <c r="G47" s="88"/>
      <c r="H47" s="88"/>
      <c r="I47" s="88"/>
    </row>
    <row r="48" spans="1:9" ht="11.1" customHeight="1" x14ac:dyDescent="0.15">
      <c r="B48" s="55" t="s">
        <v>138</v>
      </c>
      <c r="C48" s="304">
        <f ca="1">TODAY()+15</f>
        <v>46226</v>
      </c>
      <c r="D48" s="304"/>
      <c r="E48" s="7" t="s">
        <v>139</v>
      </c>
      <c r="H48" s="283"/>
      <c r="I48" s="283"/>
    </row>
    <row r="49" spans="2:9" ht="13.5" customHeight="1" x14ac:dyDescent="0.15">
      <c r="B49" s="55" t="s">
        <v>140</v>
      </c>
      <c r="D49" t="str">
        <f>报关单!E10</f>
        <v>美国</v>
      </c>
      <c r="E49" t="s">
        <v>141</v>
      </c>
      <c r="H49" s="283"/>
      <c r="I49" s="283"/>
    </row>
    <row r="50" spans="2:9" ht="9.9499999999999993" customHeight="1" x14ac:dyDescent="0.15">
      <c r="B50" s="55" t="s">
        <v>142</v>
      </c>
    </row>
    <row r="51" spans="2:9" ht="13.5" customHeight="1" x14ac:dyDescent="0.15">
      <c r="B51" s="55" t="s">
        <v>143</v>
      </c>
      <c r="G51" s="73"/>
      <c r="H51" s="89"/>
      <c r="I51" s="89"/>
    </row>
    <row r="52" spans="2:9" ht="12" customHeight="1" x14ac:dyDescent="0.15">
      <c r="B52" s="73" t="s">
        <v>144</v>
      </c>
      <c r="G52" s="90"/>
      <c r="H52" s="89"/>
      <c r="I52" s="89"/>
    </row>
    <row r="53" spans="2:9" ht="13.5" customHeight="1" x14ac:dyDescent="0.15">
      <c r="B53" s="55" t="s">
        <v>145</v>
      </c>
      <c r="C53" s="269" t="str">
        <f>箱单!G7</f>
        <v>CNF</v>
      </c>
      <c r="D53" s="269"/>
      <c r="H53" s="89"/>
      <c r="I53" s="89"/>
    </row>
    <row r="54" spans="2:9" ht="12" customHeight="1" x14ac:dyDescent="0.15">
      <c r="B54" s="55" t="s">
        <v>146</v>
      </c>
      <c r="C54" s="269"/>
      <c r="D54" s="269"/>
      <c r="H54" s="89"/>
      <c r="I54" s="89"/>
    </row>
    <row r="55" spans="2:9" ht="13.5" customHeight="1" x14ac:dyDescent="0.15">
      <c r="B55" s="55" t="s">
        <v>147</v>
      </c>
      <c r="C55" s="283"/>
      <c r="D55" s="283"/>
      <c r="E55" s="283"/>
      <c r="F55" s="283"/>
      <c r="G55" s="283"/>
      <c r="H55" s="89"/>
      <c r="I55" s="89"/>
    </row>
    <row r="56" spans="2:9" ht="12" customHeight="1" x14ac:dyDescent="0.15">
      <c r="B56" s="55" t="s">
        <v>148</v>
      </c>
      <c r="C56" s="283"/>
      <c r="D56" s="283"/>
      <c r="E56" s="283"/>
      <c r="F56" s="283"/>
      <c r="G56" s="283"/>
      <c r="H56" s="89"/>
      <c r="I56" s="89"/>
    </row>
    <row r="57" spans="2:9" ht="13.5" hidden="1" customHeight="1" x14ac:dyDescent="0.15">
      <c r="C57" s="283"/>
      <c r="D57" s="283"/>
      <c r="E57" s="283"/>
      <c r="F57" s="283"/>
      <c r="G57" s="283"/>
      <c r="H57" s="89"/>
      <c r="I57" s="89"/>
    </row>
    <row r="58" spans="2:9" ht="2.25" customHeight="1" x14ac:dyDescent="0.15">
      <c r="H58" s="89"/>
      <c r="I58" s="89"/>
    </row>
    <row r="59" spans="2:9" ht="9" customHeight="1" x14ac:dyDescent="0.15">
      <c r="H59" s="89"/>
      <c r="I59" s="89"/>
    </row>
    <row r="60" spans="2:9" ht="13.5" customHeight="1" x14ac:dyDescent="0.15">
      <c r="B60" s="91"/>
      <c r="E60" s="91"/>
      <c r="H60" s="89"/>
      <c r="I60" s="89"/>
    </row>
    <row r="61" spans="2:9" ht="13.5" customHeight="1" x14ac:dyDescent="0.15">
      <c r="B61" s="91"/>
      <c r="E61" s="91"/>
      <c r="H61" s="89"/>
      <c r="I61" s="89"/>
    </row>
    <row r="62" spans="2:9" ht="13.5" customHeight="1" x14ac:dyDescent="0.15">
      <c r="B62" s="55" t="s">
        <v>149</v>
      </c>
      <c r="E62" s="55" t="s">
        <v>150</v>
      </c>
      <c r="H62" s="89"/>
      <c r="I62" s="89"/>
    </row>
    <row r="63" spans="2:9" ht="13.5" customHeight="1" x14ac:dyDescent="0.15">
      <c r="B63" s="92" t="s">
        <v>151</v>
      </c>
      <c r="E63" s="55" t="s">
        <v>152</v>
      </c>
      <c r="H63" s="89"/>
      <c r="I63" s="89"/>
    </row>
    <row r="64" spans="2:9" ht="13.5" customHeight="1" x14ac:dyDescent="0.15">
      <c r="B64" s="55" t="s">
        <v>153</v>
      </c>
      <c r="E64" s="55" t="s">
        <v>153</v>
      </c>
      <c r="H64" s="89"/>
      <c r="I64" s="89"/>
    </row>
    <row r="65" spans="8:9" ht="9" customHeight="1" x14ac:dyDescent="0.15">
      <c r="H65" s="89"/>
      <c r="I65" s="89"/>
    </row>
    <row r="66" spans="8:9" ht="13.5" customHeight="1" x14ac:dyDescent="0.15"/>
    <row r="67" spans="8:9" ht="13.5" customHeight="1" x14ac:dyDescent="0.15"/>
  </sheetData>
  <mergeCells count="79">
    <mergeCell ref="C55:G57"/>
    <mergeCell ref="C53:D54"/>
    <mergeCell ref="D45:E46"/>
    <mergeCell ref="H48:I49"/>
    <mergeCell ref="C8:E9"/>
    <mergeCell ref="C10:E11"/>
    <mergeCell ref="G11:H12"/>
    <mergeCell ref="H41:I42"/>
    <mergeCell ref="E43:H43"/>
    <mergeCell ref="C48:D48"/>
    <mergeCell ref="C6:C7"/>
    <mergeCell ref="C12:C13"/>
    <mergeCell ref="E6:E7"/>
    <mergeCell ref="E12:E13"/>
    <mergeCell ref="F11:F12"/>
    <mergeCell ref="G41:G42"/>
    <mergeCell ref="B39:C39"/>
    <mergeCell ref="H39:I39"/>
    <mergeCell ref="B40:C40"/>
    <mergeCell ref="H40:I40"/>
    <mergeCell ref="B42:E42"/>
    <mergeCell ref="B35:C35"/>
    <mergeCell ref="H35:I35"/>
    <mergeCell ref="B36:C36"/>
    <mergeCell ref="B37:C37"/>
    <mergeCell ref="B38:C38"/>
    <mergeCell ref="B32:C32"/>
    <mergeCell ref="H32:I32"/>
    <mergeCell ref="B33:C33"/>
    <mergeCell ref="H33:I33"/>
    <mergeCell ref="B34:C34"/>
    <mergeCell ref="H34:I34"/>
    <mergeCell ref="B29:C29"/>
    <mergeCell ref="H29:I29"/>
    <mergeCell ref="B30:C30"/>
    <mergeCell ref="H30:I30"/>
    <mergeCell ref="B31:C31"/>
    <mergeCell ref="H31:I31"/>
    <mergeCell ref="B26:C26"/>
    <mergeCell ref="H26:I26"/>
    <mergeCell ref="B27:C27"/>
    <mergeCell ref="H27:I27"/>
    <mergeCell ref="B28:C28"/>
    <mergeCell ref="H28:I28"/>
    <mergeCell ref="B23:C23"/>
    <mergeCell ref="H23:I23"/>
    <mergeCell ref="B24:C24"/>
    <mergeCell ref="H24:I24"/>
    <mergeCell ref="B25:C25"/>
    <mergeCell ref="H25:I25"/>
    <mergeCell ref="B20:C20"/>
    <mergeCell ref="H20:I20"/>
    <mergeCell ref="B21:C21"/>
    <mergeCell ref="H21:I21"/>
    <mergeCell ref="B22:C22"/>
    <mergeCell ref="H22:I22"/>
    <mergeCell ref="B17:C17"/>
    <mergeCell ref="G17:I17"/>
    <mergeCell ref="B18:C18"/>
    <mergeCell ref="H18:I18"/>
    <mergeCell ref="B19:C19"/>
    <mergeCell ref="H19:I19"/>
    <mergeCell ref="H13:I13"/>
    <mergeCell ref="H14:I14"/>
    <mergeCell ref="B15:I15"/>
    <mergeCell ref="B16:C16"/>
    <mergeCell ref="G16:I16"/>
    <mergeCell ref="G6:I6"/>
    <mergeCell ref="H7:I7"/>
    <mergeCell ref="G8:I8"/>
    <mergeCell ref="H9:I9"/>
    <mergeCell ref="G10:I10"/>
    <mergeCell ref="B1:I1"/>
    <mergeCell ref="H2:I2"/>
    <mergeCell ref="G3:I3"/>
    <mergeCell ref="H4:I4"/>
    <mergeCell ref="H5:I5"/>
    <mergeCell ref="C2:E3"/>
    <mergeCell ref="C4:E5"/>
  </mergeCells>
  <phoneticPr fontId="39" type="noConversion"/>
  <pageMargins left="0.2" right="0.2" top="0.28000000000000003" bottom="0.24" header="0.24" footer="0.08"/>
  <pageSetup paperSize="9" orientation="portrait" r:id="rId1"/>
  <headerFooter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B1:J49"/>
  <sheetViews>
    <sheetView showZeros="0" view="pageBreakPreview" zoomScaleNormal="100" workbookViewId="0">
      <selection activeCell="G32" sqref="G32"/>
    </sheetView>
  </sheetViews>
  <sheetFormatPr defaultColWidth="9" defaultRowHeight="14.25" x14ac:dyDescent="0.15"/>
  <cols>
    <col min="1" max="1" width="2.875" customWidth="1"/>
    <col min="2" max="2" width="11.5" customWidth="1"/>
    <col min="3" max="3" width="9" customWidth="1"/>
    <col min="4" max="4" width="7" customWidth="1"/>
    <col min="5" max="5" width="12.5" customWidth="1"/>
    <col min="6" max="6" width="2.125" customWidth="1"/>
    <col min="7" max="7" width="12.625" customWidth="1"/>
    <col min="8" max="8" width="14" customWidth="1"/>
    <col min="10" max="10" width="4.75" customWidth="1"/>
  </cols>
  <sheetData>
    <row r="1" spans="2:9" ht="12" customHeight="1" x14ac:dyDescent="0.15"/>
    <row r="2" spans="2:9" ht="9" customHeight="1" x14ac:dyDescent="0.15"/>
    <row r="3" spans="2:9" ht="18.75" x14ac:dyDescent="0.15">
      <c r="E3" s="23" t="s">
        <v>154</v>
      </c>
    </row>
    <row r="5" spans="2:9" x14ac:dyDescent="0.15">
      <c r="G5" t="s">
        <v>155</v>
      </c>
    </row>
    <row r="6" spans="2:9" x14ac:dyDescent="0.15">
      <c r="C6" s="24">
        <f>报关单!V11</f>
        <v>0</v>
      </c>
    </row>
    <row r="7" spans="2:9" x14ac:dyDescent="0.15">
      <c r="B7" s="25" t="s">
        <v>156</v>
      </c>
    </row>
    <row r="8" spans="2:9" x14ac:dyDescent="0.15">
      <c r="B8" s="25" t="s">
        <v>157</v>
      </c>
    </row>
    <row r="9" spans="2:9" x14ac:dyDescent="0.15">
      <c r="B9" s="25" t="s">
        <v>158</v>
      </c>
    </row>
    <row r="10" spans="2:9" x14ac:dyDescent="0.15">
      <c r="B10" s="25" t="s">
        <v>159</v>
      </c>
    </row>
    <row r="11" spans="2:9" x14ac:dyDescent="0.15">
      <c r="B11" s="25" t="s">
        <v>160</v>
      </c>
    </row>
    <row r="12" spans="2:9" x14ac:dyDescent="0.15">
      <c r="B12" s="25" t="s">
        <v>161</v>
      </c>
      <c r="E12" s="26" t="s">
        <v>162</v>
      </c>
    </row>
    <row r="13" spans="2:9" x14ac:dyDescent="0.15">
      <c r="G13" s="27" t="s">
        <v>163</v>
      </c>
    </row>
    <row r="15" spans="2:9" x14ac:dyDescent="0.15">
      <c r="D15" s="27" t="s">
        <v>164</v>
      </c>
    </row>
    <row r="16" spans="2:9" x14ac:dyDescent="0.15">
      <c r="H16" s="325">
        <f ca="1">TODAY()-1</f>
        <v>46210</v>
      </c>
      <c r="I16" s="325"/>
    </row>
    <row r="18" spans="2:10" ht="18.75" x14ac:dyDescent="0.15">
      <c r="E18" s="23" t="s">
        <v>165</v>
      </c>
    </row>
    <row r="20" spans="2:10" x14ac:dyDescent="0.15">
      <c r="B20" s="25" t="s">
        <v>166</v>
      </c>
    </row>
    <row r="21" spans="2:10" x14ac:dyDescent="0.15">
      <c r="B21" s="28" t="s">
        <v>167</v>
      </c>
      <c r="C21" s="326" t="str">
        <f>报关单!A4</f>
        <v>深圳市宴君跨境电商有限公司</v>
      </c>
      <c r="D21" s="326"/>
      <c r="E21" s="326"/>
      <c r="F21" s="25"/>
      <c r="G21" s="28" t="s">
        <v>168</v>
      </c>
      <c r="H21" s="327">
        <f>报关单!Y11</f>
        <v>0</v>
      </c>
      <c r="I21" s="327"/>
      <c r="J21" s="327"/>
    </row>
    <row r="22" spans="2:10" x14ac:dyDescent="0.15">
      <c r="B22" s="29" t="s">
        <v>169</v>
      </c>
      <c r="C22" s="328" t="str">
        <f ca="1">发票!C8</f>
        <v>手抓球</v>
      </c>
      <c r="D22" s="328"/>
      <c r="E22" s="328"/>
      <c r="F22" s="25"/>
      <c r="G22" s="29" t="s">
        <v>170</v>
      </c>
      <c r="H22" s="329"/>
      <c r="I22" s="329"/>
      <c r="J22" s="329"/>
    </row>
    <row r="23" spans="2:10" x14ac:dyDescent="0.15">
      <c r="B23" s="30" t="s">
        <v>171</v>
      </c>
      <c r="C23" s="330">
        <f>报关单!B20</f>
        <v>9503008900</v>
      </c>
      <c r="D23" s="331"/>
      <c r="E23" s="330"/>
      <c r="F23" s="25"/>
      <c r="G23" s="30" t="s">
        <v>172</v>
      </c>
      <c r="H23" s="332">
        <f ca="1">TODAY()</f>
        <v>46211</v>
      </c>
      <c r="I23" s="332"/>
      <c r="J23" s="332"/>
    </row>
    <row r="24" spans="2:10" x14ac:dyDescent="0.15">
      <c r="B24" s="31" t="s">
        <v>173</v>
      </c>
      <c r="C24" s="32" t="str">
        <f ca="1">发票!G27</f>
        <v>美元</v>
      </c>
      <c r="D24" s="33">
        <f ca="1">发票!H27</f>
        <v>475</v>
      </c>
      <c r="E24" s="34"/>
      <c r="F24" s="25"/>
      <c r="G24" s="333" t="s">
        <v>174</v>
      </c>
      <c r="H24" s="31" t="s">
        <v>175</v>
      </c>
      <c r="I24" s="333" t="s">
        <v>176</v>
      </c>
      <c r="J24" s="333"/>
    </row>
    <row r="25" spans="2:10" x14ac:dyDescent="0.15">
      <c r="B25" s="31" t="s">
        <v>177</v>
      </c>
      <c r="C25" s="334">
        <f ca="1">TODAY()+1</f>
        <v>46212</v>
      </c>
      <c r="D25" s="335"/>
      <c r="E25" s="334"/>
      <c r="F25" s="25"/>
      <c r="G25" s="333"/>
      <c r="H25" s="31" t="s">
        <v>178</v>
      </c>
      <c r="I25" s="333" t="s">
        <v>179</v>
      </c>
      <c r="J25" s="333"/>
    </row>
    <row r="26" spans="2:10" x14ac:dyDescent="0.15">
      <c r="B26" s="35" t="s">
        <v>180</v>
      </c>
      <c r="C26" s="336"/>
      <c r="D26" s="336"/>
      <c r="E26" s="336"/>
      <c r="F26" s="25"/>
      <c r="G26" s="333"/>
      <c r="H26" s="31" t="s">
        <v>181</v>
      </c>
      <c r="I26" s="333" t="s">
        <v>182</v>
      </c>
      <c r="J26" s="333"/>
    </row>
    <row r="27" spans="2:10" x14ac:dyDescent="0.15">
      <c r="B27" s="37" t="s">
        <v>183</v>
      </c>
      <c r="C27" s="337">
        <f>报关单!E8</f>
        <v>9810</v>
      </c>
      <c r="D27" s="337"/>
      <c r="E27" s="338"/>
      <c r="F27" s="25"/>
      <c r="G27" s="333"/>
      <c r="H27" s="339" t="s">
        <v>184</v>
      </c>
      <c r="I27" s="339"/>
      <c r="J27" s="339"/>
    </row>
    <row r="28" spans="2:10" x14ac:dyDescent="0.15">
      <c r="B28" s="38" t="s">
        <v>185</v>
      </c>
      <c r="C28" s="331" t="str">
        <f>报关单!P20</f>
        <v>广东汕头</v>
      </c>
      <c r="D28" s="331"/>
      <c r="E28" s="331"/>
      <c r="F28" s="25"/>
      <c r="G28" s="35" t="s">
        <v>186</v>
      </c>
      <c r="H28" s="340" t="s">
        <v>187</v>
      </c>
      <c r="I28" s="340"/>
      <c r="J28" s="340"/>
    </row>
    <row r="29" spans="2:10" x14ac:dyDescent="0.15">
      <c r="B29" s="39" t="s">
        <v>188</v>
      </c>
      <c r="C29" s="40"/>
      <c r="D29" s="40"/>
      <c r="E29" s="41"/>
      <c r="G29" s="39" t="s">
        <v>189</v>
      </c>
      <c r="H29" s="40"/>
      <c r="I29" s="40"/>
      <c r="J29" s="41"/>
    </row>
    <row r="30" spans="2:10" x14ac:dyDescent="0.15">
      <c r="B30" s="42"/>
      <c r="C30" s="25"/>
      <c r="D30" s="25"/>
      <c r="E30" s="43"/>
      <c r="G30" s="42"/>
      <c r="H30" s="25"/>
      <c r="I30" s="25"/>
      <c r="J30" s="43"/>
    </row>
    <row r="31" spans="2:10" x14ac:dyDescent="0.15">
      <c r="B31" s="42"/>
      <c r="C31" s="25"/>
      <c r="D31" s="25"/>
      <c r="E31" s="43"/>
      <c r="G31" s="42"/>
      <c r="H31" s="25"/>
      <c r="I31" s="25"/>
      <c r="J31" s="43"/>
    </row>
    <row r="32" spans="2:10" x14ac:dyDescent="0.15">
      <c r="B32" s="42"/>
      <c r="C32" s="25"/>
      <c r="D32" s="25"/>
      <c r="E32" s="43"/>
      <c r="G32" s="42"/>
      <c r="H32" s="25"/>
      <c r="I32" s="25"/>
      <c r="J32" s="43"/>
    </row>
    <row r="33" spans="2:10" x14ac:dyDescent="0.15">
      <c r="B33" s="42"/>
      <c r="C33" s="25"/>
      <c r="D33" s="25"/>
      <c r="E33" s="43"/>
      <c r="G33" s="42"/>
      <c r="H33" s="25"/>
      <c r="I33" s="25"/>
      <c r="J33" s="43"/>
    </row>
    <row r="34" spans="2:10" x14ac:dyDescent="0.15">
      <c r="B34" s="42"/>
      <c r="C34" s="25"/>
      <c r="D34" s="25"/>
      <c r="E34" s="43"/>
      <c r="G34" s="42"/>
      <c r="H34" s="25"/>
      <c r="I34" s="25"/>
      <c r="J34" s="43"/>
    </row>
    <row r="35" spans="2:10" x14ac:dyDescent="0.15">
      <c r="B35" s="42"/>
      <c r="C35" s="25"/>
      <c r="D35" s="25"/>
      <c r="E35" s="43"/>
      <c r="G35" s="42"/>
      <c r="H35" s="25"/>
      <c r="I35" s="25"/>
      <c r="J35" s="43"/>
    </row>
    <row r="36" spans="2:10" x14ac:dyDescent="0.15">
      <c r="B36" s="343" t="s">
        <v>190</v>
      </c>
      <c r="C36" s="344"/>
      <c r="D36" s="344"/>
      <c r="E36" s="345"/>
      <c r="G36" s="343" t="s">
        <v>190</v>
      </c>
      <c r="H36" s="349"/>
      <c r="I36" s="349"/>
      <c r="J36" s="350"/>
    </row>
    <row r="37" spans="2:10" x14ac:dyDescent="0.15">
      <c r="B37" s="346"/>
      <c r="C37" s="347"/>
      <c r="D37" s="347"/>
      <c r="E37" s="348"/>
      <c r="G37" s="351"/>
      <c r="H37" s="352"/>
      <c r="I37" s="352"/>
      <c r="J37" s="353"/>
    </row>
    <row r="38" spans="2:10" x14ac:dyDescent="0.15">
      <c r="B38" s="346"/>
      <c r="C38" s="347"/>
      <c r="D38" s="347"/>
      <c r="E38" s="348"/>
      <c r="G38" s="351"/>
      <c r="H38" s="352"/>
      <c r="I38" s="352"/>
      <c r="J38" s="353"/>
    </row>
    <row r="39" spans="2:10" x14ac:dyDescent="0.15">
      <c r="B39" s="44" t="s">
        <v>191</v>
      </c>
      <c r="C39" s="45"/>
      <c r="D39" s="45"/>
      <c r="E39" s="46"/>
      <c r="G39" s="39" t="s">
        <v>192</v>
      </c>
      <c r="H39" s="45"/>
      <c r="I39" s="45"/>
      <c r="J39" s="46"/>
    </row>
    <row r="40" spans="2:10" x14ac:dyDescent="0.15">
      <c r="B40" s="47"/>
      <c r="E40" s="48"/>
      <c r="G40" s="47"/>
      <c r="J40" s="48"/>
    </row>
    <row r="41" spans="2:10" x14ac:dyDescent="0.15">
      <c r="B41" s="47"/>
      <c r="E41" s="48"/>
      <c r="G41" s="47"/>
      <c r="J41" s="48"/>
    </row>
    <row r="42" spans="2:10" x14ac:dyDescent="0.15">
      <c r="B42" s="47"/>
      <c r="E42" s="48"/>
      <c r="G42" s="47"/>
      <c r="J42" s="48"/>
    </row>
    <row r="43" spans="2:10" x14ac:dyDescent="0.15">
      <c r="B43" s="47"/>
      <c r="E43" s="48"/>
      <c r="G43" s="47"/>
      <c r="J43" s="48"/>
    </row>
    <row r="44" spans="2:10" x14ac:dyDescent="0.15">
      <c r="B44" s="42" t="s">
        <v>193</v>
      </c>
      <c r="E44" s="48"/>
      <c r="G44" s="42" t="s">
        <v>194</v>
      </c>
      <c r="H44" s="25"/>
      <c r="I44" s="25"/>
      <c r="J44" s="43"/>
    </row>
    <row r="45" spans="2:10" x14ac:dyDescent="0.15">
      <c r="B45" s="42" t="s">
        <v>195</v>
      </c>
      <c r="D45" s="49"/>
      <c r="E45" s="50">
        <f ca="1">TODAY()-1</f>
        <v>46210</v>
      </c>
      <c r="G45" s="42" t="s">
        <v>195</v>
      </c>
      <c r="H45" s="22"/>
      <c r="I45" s="341">
        <f ca="1">TODAY()</f>
        <v>46211</v>
      </c>
      <c r="J45" s="342"/>
    </row>
    <row r="46" spans="2:10" x14ac:dyDescent="0.15">
      <c r="B46" s="47"/>
      <c r="E46" s="48"/>
      <c r="G46" s="47"/>
      <c r="J46" s="48"/>
    </row>
    <row r="47" spans="2:10" ht="9" customHeight="1" x14ac:dyDescent="0.15">
      <c r="B47" s="51"/>
      <c r="C47" s="52"/>
      <c r="D47" s="52"/>
      <c r="E47" s="53"/>
      <c r="G47" s="51"/>
      <c r="H47" s="52"/>
      <c r="I47" s="52"/>
      <c r="J47" s="53"/>
    </row>
    <row r="48" spans="2:10" ht="23.1" customHeight="1" x14ac:dyDescent="0.15">
      <c r="B48" s="6"/>
      <c r="C48" s="54" t="s">
        <v>196</v>
      </c>
      <c r="D48" s="22"/>
      <c r="E48" s="6"/>
      <c r="G48" s="6"/>
      <c r="H48" s="6"/>
      <c r="I48" s="20" t="s">
        <v>197</v>
      </c>
      <c r="J48" s="6"/>
    </row>
    <row r="49" ht="9.9499999999999993" customHeight="1" x14ac:dyDescent="0.15"/>
  </sheetData>
  <mergeCells count="20">
    <mergeCell ref="I45:J45"/>
    <mergeCell ref="G24:G27"/>
    <mergeCell ref="B36:E38"/>
    <mergeCell ref="G36:J38"/>
    <mergeCell ref="C26:E26"/>
    <mergeCell ref="I26:J26"/>
    <mergeCell ref="C27:E27"/>
    <mergeCell ref="H27:J27"/>
    <mergeCell ref="C28:E28"/>
    <mergeCell ref="H28:J28"/>
    <mergeCell ref="C23:E23"/>
    <mergeCell ref="H23:J23"/>
    <mergeCell ref="I24:J24"/>
    <mergeCell ref="C25:E25"/>
    <mergeCell ref="I25:J25"/>
    <mergeCell ref="H16:I16"/>
    <mergeCell ref="C21:E21"/>
    <mergeCell ref="H21:J21"/>
    <mergeCell ref="C22:E22"/>
    <mergeCell ref="H22:J22"/>
  </mergeCells>
  <phoneticPr fontId="39" type="noConversion"/>
  <pageMargins left="0.2" right="0.12" top="0.47" bottom="0.31" header="0.16" footer="0.0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H22"/>
  <sheetViews>
    <sheetView showZeros="0" view="pageBreakPreview" zoomScaleNormal="100" workbookViewId="0">
      <selection activeCell="G19" sqref="G19"/>
    </sheetView>
  </sheetViews>
  <sheetFormatPr defaultColWidth="9" defaultRowHeight="14.25" x14ac:dyDescent="0.15"/>
  <cols>
    <col min="1" max="1" width="19.375" customWidth="1"/>
    <col min="2" max="2" width="5.75" customWidth="1"/>
    <col min="3" max="3" width="5.25" customWidth="1"/>
    <col min="4" max="4" width="6.625" customWidth="1"/>
    <col min="6" max="6" width="8.875" customWidth="1"/>
    <col min="7" max="7" width="15.125" customWidth="1"/>
  </cols>
  <sheetData>
    <row r="1" spans="1:8" ht="31.5" x14ac:dyDescent="0.15">
      <c r="A1" s="354" t="s">
        <v>198</v>
      </c>
      <c r="B1" s="354"/>
      <c r="C1" s="354"/>
      <c r="D1" s="354"/>
      <c r="E1" s="354"/>
      <c r="F1" s="354"/>
      <c r="G1" s="354"/>
      <c r="H1" s="354"/>
    </row>
    <row r="2" spans="1:8" ht="22.5" x14ac:dyDescent="0.15">
      <c r="A2" s="12" t="s">
        <v>199</v>
      </c>
      <c r="B2" s="355" t="s">
        <v>200</v>
      </c>
      <c r="C2" s="355"/>
      <c r="D2" s="355"/>
      <c r="E2" s="12"/>
      <c r="F2" s="12"/>
      <c r="G2" s="12"/>
      <c r="H2" s="13"/>
    </row>
    <row r="3" spans="1:8" ht="22.5" x14ac:dyDescent="0.15">
      <c r="A3" t="s">
        <v>201</v>
      </c>
      <c r="B3" s="12"/>
      <c r="C3" s="12"/>
      <c r="D3" s="12"/>
      <c r="E3" s="12"/>
      <c r="F3" s="12"/>
      <c r="G3" s="12"/>
      <c r="H3" s="13"/>
    </row>
    <row r="4" spans="1:8" ht="22.5" x14ac:dyDescent="0.15">
      <c r="A4" s="14" t="s">
        <v>202</v>
      </c>
      <c r="B4" s="12"/>
      <c r="C4" s="12"/>
      <c r="D4" s="12"/>
      <c r="E4" s="12"/>
      <c r="F4" s="12"/>
      <c r="G4" s="12"/>
      <c r="H4" s="13"/>
    </row>
    <row r="5" spans="1:8" ht="22.5" x14ac:dyDescent="0.15">
      <c r="A5" t="s">
        <v>203</v>
      </c>
      <c r="B5" s="356" t="str">
        <f>报关单!D20</f>
        <v>手抓球</v>
      </c>
      <c r="C5" s="356"/>
      <c r="D5" s="356"/>
      <c r="E5" s="15" t="e">
        <v>#REF!</v>
      </c>
      <c r="F5" s="15"/>
      <c r="G5" s="16"/>
      <c r="H5" s="13"/>
    </row>
    <row r="6" spans="1:8" ht="22.5" x14ac:dyDescent="0.15">
      <c r="A6" t="s">
        <v>204</v>
      </c>
      <c r="B6" s="357" t="str">
        <f>报关单!P20</f>
        <v>广东汕头</v>
      </c>
      <c r="C6" s="357"/>
      <c r="D6" s="357"/>
      <c r="E6" s="357"/>
      <c r="F6" s="357"/>
      <c r="G6" s="16"/>
      <c r="H6" s="13"/>
    </row>
    <row r="7" spans="1:8" ht="22.5" x14ac:dyDescent="0.15">
      <c r="A7" t="s">
        <v>205</v>
      </c>
      <c r="B7" s="357" t="str">
        <f>报关单!A12</f>
        <v>纸箱包装</v>
      </c>
      <c r="C7" s="357"/>
      <c r="D7" s="357"/>
      <c r="E7" s="17"/>
      <c r="F7" s="17"/>
      <c r="G7" s="16"/>
      <c r="H7" s="13"/>
    </row>
    <row r="8" spans="1:8" ht="22.5" x14ac:dyDescent="0.15">
      <c r="A8" t="s">
        <v>206</v>
      </c>
      <c r="B8" s="357">
        <f>报关单!E12</f>
        <v>5</v>
      </c>
      <c r="C8" s="357"/>
      <c r="D8" s="358" t="s">
        <v>207</v>
      </c>
      <c r="E8" s="358"/>
      <c r="F8" s="17"/>
      <c r="G8" s="18"/>
      <c r="H8" s="13"/>
    </row>
    <row r="9" spans="1:8" ht="22.5" x14ac:dyDescent="0.15">
      <c r="A9" t="s">
        <v>208</v>
      </c>
      <c r="B9" s="357">
        <f>报关单!F12</f>
        <v>26.38</v>
      </c>
      <c r="C9" s="357"/>
      <c r="D9" s="17" t="s">
        <v>209</v>
      </c>
      <c r="E9" s="17"/>
      <c r="F9" s="17"/>
      <c r="G9" s="16"/>
      <c r="H9" s="13"/>
    </row>
    <row r="10" spans="1:8" ht="22.5" x14ac:dyDescent="0.15">
      <c r="A10" t="s">
        <v>210</v>
      </c>
      <c r="B10" s="19" t="str">
        <f>报关单!I22</f>
        <v>美元</v>
      </c>
      <c r="C10" s="359">
        <f ca="1">发票!H27</f>
        <v>475</v>
      </c>
      <c r="D10" s="359"/>
      <c r="E10" s="359"/>
      <c r="F10" s="17"/>
      <c r="G10" s="16"/>
      <c r="H10" s="13"/>
    </row>
    <row r="11" spans="1:8" ht="22.5" x14ac:dyDescent="0.15">
      <c r="A11" t="s">
        <v>211</v>
      </c>
      <c r="B11" s="357">
        <f>报关单!G6</f>
        <v>0</v>
      </c>
      <c r="C11" s="357"/>
      <c r="D11" s="357"/>
      <c r="E11" s="17"/>
      <c r="F11" s="17"/>
      <c r="G11" s="16"/>
      <c r="H11" s="13"/>
    </row>
    <row r="12" spans="1:8" ht="22.5" x14ac:dyDescent="0.15">
      <c r="A12" t="s">
        <v>212</v>
      </c>
      <c r="B12" s="357">
        <f>报关单!O10</f>
        <v>0</v>
      </c>
      <c r="C12" s="357"/>
      <c r="D12" s="357"/>
      <c r="E12" s="17"/>
      <c r="F12" s="17"/>
      <c r="G12" s="16"/>
      <c r="H12" s="13"/>
    </row>
    <row r="13" spans="1:8" ht="22.5" x14ac:dyDescent="0.15">
      <c r="A13" t="s">
        <v>213</v>
      </c>
      <c r="B13" s="357" t="s">
        <v>214</v>
      </c>
      <c r="C13" s="357"/>
      <c r="D13" s="357"/>
      <c r="E13" s="17"/>
      <c r="F13" s="17"/>
      <c r="G13" s="16"/>
      <c r="H13" s="13"/>
    </row>
    <row r="14" spans="1:8" ht="22.5" x14ac:dyDescent="0.15">
      <c r="A14" t="s">
        <v>215</v>
      </c>
      <c r="B14" s="12"/>
      <c r="C14" s="12"/>
      <c r="D14" s="12"/>
      <c r="E14" s="12"/>
      <c r="F14" s="12"/>
      <c r="G14" s="12"/>
      <c r="H14" s="13"/>
    </row>
    <row r="15" spans="1:8" ht="22.5" x14ac:dyDescent="0.15">
      <c r="A15" t="s">
        <v>216</v>
      </c>
      <c r="B15" s="12"/>
      <c r="C15" s="12"/>
      <c r="D15" s="12"/>
      <c r="E15" s="12"/>
      <c r="F15" s="12"/>
      <c r="G15" s="12"/>
      <c r="H15" s="13"/>
    </row>
    <row r="16" spans="1:8" ht="22.5" x14ac:dyDescent="0.15">
      <c r="A16" s="269"/>
      <c r="B16" s="12"/>
      <c r="C16" s="12"/>
      <c r="D16" s="12"/>
      <c r="E16" s="12"/>
      <c r="F16" s="12"/>
      <c r="G16" s="12"/>
      <c r="H16" s="13"/>
    </row>
    <row r="17" spans="1:8" ht="22.5" x14ac:dyDescent="0.15">
      <c r="A17" s="269"/>
      <c r="B17" s="12"/>
      <c r="C17" s="12"/>
      <c r="D17" s="12"/>
      <c r="E17" s="12"/>
      <c r="F17" s="12"/>
      <c r="G17" s="12"/>
      <c r="H17" s="13"/>
    </row>
    <row r="18" spans="1:8" ht="22.5" x14ac:dyDescent="0.15">
      <c r="A18" t="s">
        <v>217</v>
      </c>
      <c r="B18" s="362">
        <f>报关单!V6</f>
        <v>0</v>
      </c>
      <c r="C18" s="363"/>
      <c r="D18" s="363"/>
      <c r="E18" s="363"/>
      <c r="F18" s="363"/>
      <c r="G18" s="21" t="s">
        <v>218</v>
      </c>
      <c r="H18" s="13"/>
    </row>
    <row r="19" spans="1:8" ht="22.5" x14ac:dyDescent="0.15">
      <c r="B19" s="363"/>
      <c r="C19" s="363"/>
      <c r="D19" s="363"/>
      <c r="E19" s="363"/>
      <c r="F19" s="363"/>
      <c r="G19" s="21"/>
      <c r="H19" s="13"/>
    </row>
    <row r="20" spans="1:8" ht="22.5" x14ac:dyDescent="0.15">
      <c r="A20" t="s">
        <v>219</v>
      </c>
      <c r="B20" s="227">
        <f>报关单!V7</f>
        <v>0</v>
      </c>
      <c r="C20" s="227"/>
      <c r="D20" s="227"/>
      <c r="E20" s="227"/>
      <c r="F20" s="13"/>
      <c r="G20" s="21" t="s">
        <v>220</v>
      </c>
    </row>
    <row r="21" spans="1:8" ht="20.25" x14ac:dyDescent="0.15">
      <c r="A21" t="s">
        <v>221</v>
      </c>
      <c r="B21" s="227"/>
      <c r="C21" s="227"/>
      <c r="D21" s="227"/>
      <c r="E21" s="227"/>
      <c r="F21" s="12"/>
      <c r="G21" s="360">
        <f ca="1">TODAY()-1</f>
        <v>46210</v>
      </c>
      <c r="H21" s="269"/>
    </row>
    <row r="22" spans="1:8" ht="22.5" x14ac:dyDescent="0.15">
      <c r="A22" s="12"/>
      <c r="B22" s="361"/>
      <c r="C22" s="361"/>
      <c r="D22" s="361"/>
      <c r="E22" s="12"/>
      <c r="F22" s="16"/>
      <c r="G22" s="12"/>
      <c r="H22" s="13"/>
    </row>
  </sheetData>
  <mergeCells count="19">
    <mergeCell ref="G21:H21"/>
    <mergeCell ref="B22:D22"/>
    <mergeCell ref="A16:A17"/>
    <mergeCell ref="B18:F19"/>
    <mergeCell ref="B11:D11"/>
    <mergeCell ref="B12:D12"/>
    <mergeCell ref="B13:D13"/>
    <mergeCell ref="B20:E20"/>
    <mergeCell ref="B21:E21"/>
    <mergeCell ref="B7:D7"/>
    <mergeCell ref="B8:C8"/>
    <mergeCell ref="D8:E8"/>
    <mergeCell ref="B9:C9"/>
    <mergeCell ref="C10:E10"/>
    <mergeCell ref="A1:H1"/>
    <mergeCell ref="B2:D2"/>
    <mergeCell ref="B5:D5"/>
    <mergeCell ref="B6:D6"/>
    <mergeCell ref="E6:F6"/>
  </mergeCells>
  <phoneticPr fontId="39" type="noConversion"/>
  <pageMargins left="0.75" right="0.75" top="1" bottom="1" header="0.51" footer="0.51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B60"/>
  <sheetViews>
    <sheetView showZeros="0" view="pageBreakPreview" topLeftCell="A8" zoomScaleNormal="100" workbookViewId="0">
      <selection activeCell="B21" sqref="B21"/>
    </sheetView>
  </sheetViews>
  <sheetFormatPr defaultColWidth="9" defaultRowHeight="14.25" x14ac:dyDescent="0.15"/>
  <cols>
    <col min="2" max="2" width="64.125" customWidth="1"/>
  </cols>
  <sheetData>
    <row r="1" spans="1:2" ht="20.25" x14ac:dyDescent="0.15">
      <c r="A1" s="1"/>
      <c r="B1" s="2" t="s">
        <v>222</v>
      </c>
    </row>
    <row r="2" spans="1:2" ht="15.95" customHeight="1" x14ac:dyDescent="0.15">
      <c r="A2" s="1"/>
      <c r="B2" s="2"/>
    </row>
    <row r="3" spans="1:2" x14ac:dyDescent="0.15">
      <c r="A3" s="3">
        <f>报关单!A20</f>
        <v>1</v>
      </c>
      <c r="B3" s="4" t="str">
        <f>报关单!D20</f>
        <v>手抓球</v>
      </c>
    </row>
    <row r="4" spans="1:2" x14ac:dyDescent="0.15">
      <c r="A4" s="3"/>
      <c r="B4" s="4" t="s">
        <v>223</v>
      </c>
    </row>
    <row r="5" spans="1:2" ht="30.95" customHeight="1" x14ac:dyDescent="0.15">
      <c r="A5" s="3"/>
      <c r="B5" s="5" t="str">
        <f>报关单!D21</f>
        <v>给孩子玩具for baby development</v>
      </c>
    </row>
    <row r="6" spans="1:2" x14ac:dyDescent="0.15">
      <c r="A6" s="3">
        <f>报关单!A23</f>
        <v>2</v>
      </c>
      <c r="B6" s="4" t="str">
        <f>报关单!D23</f>
        <v>软积木</v>
      </c>
    </row>
    <row r="7" spans="1:2" x14ac:dyDescent="0.15">
      <c r="A7" s="3"/>
      <c r="B7" s="4" t="s">
        <v>223</v>
      </c>
    </row>
    <row r="8" spans="1:2" ht="29.1" customHeight="1" x14ac:dyDescent="0.15">
      <c r="A8" s="3"/>
      <c r="B8" s="5" t="str">
        <f>报关单!D24</f>
        <v>给孩子玩具for baby development</v>
      </c>
    </row>
    <row r="9" spans="1:2" ht="17.100000000000001" customHeight="1" x14ac:dyDescent="0.15">
      <c r="A9" s="3">
        <f>报关单!A26</f>
        <v>3</v>
      </c>
      <c r="B9" s="4" t="str">
        <f>报关单!D26</f>
        <v>球铃组合</v>
      </c>
    </row>
    <row r="10" spans="1:2" x14ac:dyDescent="0.15">
      <c r="A10" s="3"/>
      <c r="B10" s="4" t="s">
        <v>223</v>
      </c>
    </row>
    <row r="11" spans="1:2" ht="33" customHeight="1" x14ac:dyDescent="0.15">
      <c r="A11" s="3"/>
      <c r="B11" s="5" t="str">
        <f>报关单!D27</f>
        <v>给孩子玩具for baby development</v>
      </c>
    </row>
    <row r="12" spans="1:2" x14ac:dyDescent="0.15">
      <c r="A12" s="6">
        <f>报关单!A29</f>
        <v>4</v>
      </c>
      <c r="B12" s="7" t="str">
        <f>报关单!D29</f>
        <v>落球塔</v>
      </c>
    </row>
    <row r="13" spans="1:2" x14ac:dyDescent="0.15">
      <c r="A13" s="6"/>
      <c r="B13" s="7" t="s">
        <v>223</v>
      </c>
    </row>
    <row r="14" spans="1:2" ht="36" customHeight="1" x14ac:dyDescent="0.15">
      <c r="A14" s="6"/>
      <c r="B14" s="8" t="str">
        <f>报关单!D30</f>
        <v>给孩子玩具for baby development</v>
      </c>
    </row>
    <row r="15" spans="1:2" x14ac:dyDescent="0.15">
      <c r="A15" s="6">
        <v>5</v>
      </c>
      <c r="B15" s="7" t="str">
        <f>报关单!D35</f>
        <v>假泥鳅</v>
      </c>
    </row>
    <row r="16" spans="1:2" x14ac:dyDescent="0.15">
      <c r="A16" s="6"/>
      <c r="B16" s="7" t="s">
        <v>223</v>
      </c>
    </row>
    <row r="17" spans="1:2" ht="33.950000000000003" customHeight="1" x14ac:dyDescent="0.15">
      <c r="A17" s="6"/>
      <c r="B17" s="8" t="str">
        <f>报关单!D36</f>
        <v>for fishing钓鱼</v>
      </c>
    </row>
    <row r="18" spans="1:2" x14ac:dyDescent="0.15">
      <c r="A18" s="6">
        <v>6</v>
      </c>
      <c r="B18" s="7" t="str">
        <f>报关单!D38</f>
        <v>立体拼图</v>
      </c>
    </row>
    <row r="19" spans="1:2" x14ac:dyDescent="0.15">
      <c r="A19" s="6"/>
      <c r="B19" s="7" t="s">
        <v>223</v>
      </c>
    </row>
    <row r="20" spans="1:2" ht="33.950000000000003" customHeight="1" x14ac:dyDescent="0.15">
      <c r="A20" s="6"/>
      <c r="B20" s="9" t="str">
        <f>报关单!D39</f>
        <v>给孩子玩具for baby development</v>
      </c>
    </row>
    <row r="21" spans="1:2" x14ac:dyDescent="0.15">
      <c r="A21" s="6">
        <v>7</v>
      </c>
      <c r="B21" s="7">
        <f>报关单!D62</f>
        <v>0</v>
      </c>
    </row>
    <row r="22" spans="1:2" x14ac:dyDescent="0.15">
      <c r="A22" s="6"/>
      <c r="B22" s="7" t="s">
        <v>223</v>
      </c>
    </row>
    <row r="23" spans="1:2" ht="38.1" customHeight="1" x14ac:dyDescent="0.15">
      <c r="A23" s="6"/>
      <c r="B23" s="9">
        <f>报关单!D63</f>
        <v>0</v>
      </c>
    </row>
    <row r="24" spans="1:2" x14ac:dyDescent="0.15">
      <c r="A24" s="6">
        <v>8</v>
      </c>
      <c r="B24" s="7">
        <f>报关单!D71</f>
        <v>0</v>
      </c>
    </row>
    <row r="25" spans="1:2" x14ac:dyDescent="0.15">
      <c r="A25" s="6"/>
      <c r="B25" s="7" t="s">
        <v>223</v>
      </c>
    </row>
    <row r="26" spans="1:2" ht="39.950000000000003" customHeight="1" x14ac:dyDescent="0.15">
      <c r="A26" s="6"/>
      <c r="B26" s="9">
        <f>报关单!D72</f>
        <v>0</v>
      </c>
    </row>
    <row r="27" spans="1:2" x14ac:dyDescent="0.15">
      <c r="A27" s="6">
        <v>9</v>
      </c>
      <c r="B27" s="7">
        <f>报关单!D74</f>
        <v>0</v>
      </c>
    </row>
    <row r="28" spans="1:2" x14ac:dyDescent="0.15">
      <c r="A28" s="6"/>
      <c r="B28" s="7" t="s">
        <v>223</v>
      </c>
    </row>
    <row r="29" spans="1:2" ht="39.950000000000003" customHeight="1" x14ac:dyDescent="0.15">
      <c r="A29" s="6"/>
      <c r="B29" s="9">
        <f>报关单!D75</f>
        <v>0</v>
      </c>
    </row>
    <row r="30" spans="1:2" x14ac:dyDescent="0.15">
      <c r="A30" s="6">
        <v>10</v>
      </c>
      <c r="B30" s="7">
        <f>报关单!D77</f>
        <v>0</v>
      </c>
    </row>
    <row r="31" spans="1:2" x14ac:dyDescent="0.15">
      <c r="A31" s="6"/>
      <c r="B31" s="7" t="s">
        <v>223</v>
      </c>
    </row>
    <row r="32" spans="1:2" ht="39.950000000000003" customHeight="1" x14ac:dyDescent="0.15">
      <c r="A32" s="6"/>
      <c r="B32" s="9">
        <f>报关单!D78</f>
        <v>0</v>
      </c>
    </row>
    <row r="33" spans="1:2" x14ac:dyDescent="0.15">
      <c r="A33" s="6">
        <v>11</v>
      </c>
      <c r="B33" s="7">
        <f>报关单!D80</f>
        <v>0</v>
      </c>
    </row>
    <row r="34" spans="1:2" x14ac:dyDescent="0.15">
      <c r="A34" s="6"/>
      <c r="B34" s="7" t="s">
        <v>223</v>
      </c>
    </row>
    <row r="35" spans="1:2" ht="39.950000000000003" customHeight="1" x14ac:dyDescent="0.15">
      <c r="A35" s="6"/>
      <c r="B35" s="9">
        <f>报关单!D81</f>
        <v>0</v>
      </c>
    </row>
    <row r="36" spans="1:2" x14ac:dyDescent="0.15">
      <c r="A36" s="6">
        <v>12</v>
      </c>
      <c r="B36" s="7">
        <f>报关单!D83</f>
        <v>0</v>
      </c>
    </row>
    <row r="37" spans="1:2" x14ac:dyDescent="0.15">
      <c r="A37" s="6"/>
      <c r="B37" s="7" t="s">
        <v>223</v>
      </c>
    </row>
    <row r="38" spans="1:2" ht="39.950000000000003" customHeight="1" x14ac:dyDescent="0.15">
      <c r="A38" s="6"/>
      <c r="B38" s="9">
        <f>报关单!D84</f>
        <v>0</v>
      </c>
    </row>
    <row r="39" spans="1:2" x14ac:dyDescent="0.15">
      <c r="A39" s="6">
        <v>13</v>
      </c>
      <c r="B39" s="7">
        <f>报关单!D86</f>
        <v>0</v>
      </c>
    </row>
    <row r="40" spans="1:2" x14ac:dyDescent="0.15">
      <c r="A40" s="6"/>
      <c r="B40" s="7" t="s">
        <v>223</v>
      </c>
    </row>
    <row r="41" spans="1:2" ht="39.950000000000003" customHeight="1" x14ac:dyDescent="0.15">
      <c r="A41" s="6"/>
      <c r="B41" s="9">
        <f>报关单!D87</f>
        <v>0</v>
      </c>
    </row>
    <row r="42" spans="1:2" x14ac:dyDescent="0.15">
      <c r="A42" s="6">
        <v>14</v>
      </c>
      <c r="B42" s="7">
        <f>报关单!D89</f>
        <v>0</v>
      </c>
    </row>
    <row r="43" spans="1:2" x14ac:dyDescent="0.15">
      <c r="A43" s="6"/>
      <c r="B43" s="7" t="s">
        <v>223</v>
      </c>
    </row>
    <row r="44" spans="1:2" ht="39.950000000000003" customHeight="1" x14ac:dyDescent="0.15">
      <c r="A44" s="6"/>
      <c r="B44" s="9">
        <f>报关单!D90</f>
        <v>0</v>
      </c>
    </row>
    <row r="45" spans="1:2" x14ac:dyDescent="0.15">
      <c r="A45" s="6">
        <v>15</v>
      </c>
      <c r="B45" s="7">
        <f>报关单!D92</f>
        <v>0</v>
      </c>
    </row>
    <row r="46" spans="1:2" x14ac:dyDescent="0.15">
      <c r="A46" s="6"/>
      <c r="B46" s="7" t="s">
        <v>223</v>
      </c>
    </row>
    <row r="47" spans="1:2" ht="39.950000000000003" customHeight="1" x14ac:dyDescent="0.15">
      <c r="A47" s="6"/>
      <c r="B47" s="9">
        <f>报关单!D93</f>
        <v>0</v>
      </c>
    </row>
    <row r="48" spans="1:2" x14ac:dyDescent="0.15">
      <c r="A48" s="6">
        <v>16</v>
      </c>
      <c r="B48" s="7">
        <f>报关单!D95</f>
        <v>0</v>
      </c>
    </row>
    <row r="49" spans="1:2" x14ac:dyDescent="0.15">
      <c r="A49" s="6"/>
      <c r="B49" s="7" t="s">
        <v>223</v>
      </c>
    </row>
    <row r="50" spans="1:2" ht="39.950000000000003" customHeight="1" x14ac:dyDescent="0.15">
      <c r="A50" s="6"/>
      <c r="B50" s="9">
        <f>报关单!D96</f>
        <v>0</v>
      </c>
    </row>
    <row r="51" spans="1:2" x14ac:dyDescent="0.15">
      <c r="A51" s="6">
        <v>17</v>
      </c>
      <c r="B51" s="7">
        <f>报关单!D98</f>
        <v>0</v>
      </c>
    </row>
    <row r="52" spans="1:2" x14ac:dyDescent="0.15">
      <c r="A52" s="6"/>
      <c r="B52" s="7" t="s">
        <v>223</v>
      </c>
    </row>
    <row r="53" spans="1:2" ht="39.950000000000003" customHeight="1" x14ac:dyDescent="0.15">
      <c r="A53" s="6"/>
      <c r="B53" s="9">
        <f>报关单!D99</f>
        <v>0</v>
      </c>
    </row>
    <row r="54" spans="1:2" x14ac:dyDescent="0.15">
      <c r="A54" s="6">
        <v>18</v>
      </c>
      <c r="B54" s="7">
        <f>报关单!D101</f>
        <v>0</v>
      </c>
    </row>
    <row r="55" spans="1:2" x14ac:dyDescent="0.15">
      <c r="A55" s="6"/>
      <c r="B55" s="7" t="s">
        <v>223</v>
      </c>
    </row>
    <row r="56" spans="1:2" ht="39.950000000000003" customHeight="1" x14ac:dyDescent="0.15">
      <c r="A56" s="6"/>
      <c r="B56" s="9">
        <f>报关单!D102</f>
        <v>0</v>
      </c>
    </row>
    <row r="58" spans="1:2" ht="15.75" x14ac:dyDescent="0.15">
      <c r="B58" s="10" t="s">
        <v>224</v>
      </c>
    </row>
    <row r="59" spans="1:2" x14ac:dyDescent="0.15">
      <c r="B59" s="11">
        <f ca="1">TODAY()</f>
        <v>46211</v>
      </c>
    </row>
    <row r="60" spans="1:2" x14ac:dyDescent="0.15">
      <c r="B60" s="6"/>
    </row>
  </sheetData>
  <phoneticPr fontId="39" type="noConversion"/>
  <pageMargins left="0.75" right="0.75" top="1" bottom="1" header="0.51" footer="0.5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6</vt:i4>
      </vt:variant>
    </vt:vector>
  </HeadingPairs>
  <TitlesOfParts>
    <vt:vector size="13" baseType="lpstr">
      <vt:lpstr>报关单</vt:lpstr>
      <vt:lpstr>发票</vt:lpstr>
      <vt:lpstr>箱单</vt:lpstr>
      <vt:lpstr>合同</vt:lpstr>
      <vt:lpstr>代理报关委托书</vt:lpstr>
      <vt:lpstr>存仓委托书</vt:lpstr>
      <vt:lpstr>申报要素清单</vt:lpstr>
      <vt:lpstr>报关单!Print_Area</vt:lpstr>
      <vt:lpstr>代理报关委托书!Print_Area</vt:lpstr>
      <vt:lpstr>发票!Print_Area</vt:lpstr>
      <vt:lpstr>合同!Print_Area</vt:lpstr>
      <vt:lpstr>申报要素清单!Print_Area</vt:lpstr>
      <vt:lpstr>箱单!Print_Area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junxing Teng</cp:lastModifiedBy>
  <dcterms:created xsi:type="dcterms:W3CDTF">2018-07-03T02:44:00Z</dcterms:created>
  <dcterms:modified xsi:type="dcterms:W3CDTF">2026-07-08T03:11:11Z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9777A260637C45318409AAA7527028A1_13</vt:lpwstr>
  </property>
  <property fmtid="{D5CDD505-2E9C-101B-9397-08002B2CF9AE}" pid="4" name="CalculationRule">
    <vt:i4>0</vt:i4>
  </property>
</Properties>
</file>